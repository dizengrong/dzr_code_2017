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90" windowWidth="21720" windowHeight="12945"/>
  </bookViews>
  <sheets>
    <sheet name="robot" sheetId="1" r:id="rId1"/>
    <sheet name="说明" sheetId="2" r:id="rId2"/>
    <sheet name="各职业基础配置" sheetId="4" r:id="rId3"/>
    <sheet name="Sheet1" sheetId="5" r:id="rId4"/>
    <sheet name="Sheet2" sheetId="6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2" i="1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2" i="1"/>
  <c r="AH3" i="1" l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R3" i="6"/>
  <c r="N3" i="6"/>
  <c r="B3" i="6"/>
  <c r="AF3" i="1" l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2" i="1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2" i="1"/>
  <c r="AI3" i="1" l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2" i="1"/>
  <c r="AS990" i="1" l="1"/>
  <c r="O990" i="1"/>
  <c r="AS978" i="1"/>
  <c r="O978" i="1"/>
  <c r="AS966" i="1"/>
  <c r="O966" i="1"/>
  <c r="AS958" i="1"/>
  <c r="O958" i="1"/>
  <c r="AS946" i="1"/>
  <c r="O946" i="1"/>
  <c r="AS934" i="1"/>
  <c r="O934" i="1"/>
  <c r="AS922" i="1"/>
  <c r="O922" i="1"/>
  <c r="AS914" i="1"/>
  <c r="O914" i="1"/>
  <c r="AS902" i="1"/>
  <c r="O902" i="1"/>
  <c r="AS894" i="1"/>
  <c r="O894" i="1"/>
  <c r="AS882" i="1"/>
  <c r="O882" i="1"/>
  <c r="AS870" i="1"/>
  <c r="O870" i="1"/>
  <c r="AS858" i="1"/>
  <c r="O858" i="1"/>
  <c r="AS846" i="1"/>
  <c r="O846" i="1"/>
  <c r="AS834" i="1"/>
  <c r="O834" i="1"/>
  <c r="AS830" i="1"/>
  <c r="O830" i="1"/>
  <c r="AS818" i="1"/>
  <c r="O818" i="1"/>
  <c r="AS806" i="1"/>
  <c r="O806" i="1"/>
  <c r="AS794" i="1"/>
  <c r="O794" i="1"/>
  <c r="AS782" i="1"/>
  <c r="O782" i="1"/>
  <c r="AS770" i="1"/>
  <c r="O770" i="1"/>
  <c r="AS758" i="1"/>
  <c r="O758" i="1"/>
  <c r="AS746" i="1"/>
  <c r="O746" i="1"/>
  <c r="AS734" i="1"/>
  <c r="O734" i="1"/>
  <c r="AS722" i="1"/>
  <c r="O722" i="1"/>
  <c r="AS710" i="1"/>
  <c r="O710" i="1"/>
  <c r="AS694" i="1"/>
  <c r="O694" i="1"/>
  <c r="AS682" i="1"/>
  <c r="O682" i="1"/>
  <c r="AS666" i="1"/>
  <c r="O666" i="1"/>
  <c r="AS654" i="1"/>
  <c r="O654" i="1"/>
  <c r="AS638" i="1"/>
  <c r="O638" i="1"/>
  <c r="AS622" i="1"/>
  <c r="O622" i="1"/>
  <c r="AS610" i="1"/>
  <c r="O610" i="1"/>
  <c r="AS594" i="1"/>
  <c r="O594" i="1"/>
  <c r="AS582" i="1"/>
  <c r="O582" i="1"/>
  <c r="AS566" i="1"/>
  <c r="O566" i="1"/>
  <c r="AS554" i="1"/>
  <c r="O554" i="1"/>
  <c r="AS542" i="1"/>
  <c r="O542" i="1"/>
  <c r="AS538" i="1"/>
  <c r="O538" i="1"/>
  <c r="AS522" i="1"/>
  <c r="O522" i="1"/>
  <c r="AS510" i="1"/>
  <c r="O510" i="1"/>
  <c r="AS498" i="1"/>
  <c r="O498" i="1"/>
  <c r="AS486" i="1"/>
  <c r="O486" i="1"/>
  <c r="AS470" i="1"/>
  <c r="O470" i="1"/>
  <c r="AS458" i="1"/>
  <c r="O458" i="1"/>
  <c r="AS446" i="1"/>
  <c r="O446" i="1"/>
  <c r="AS430" i="1"/>
  <c r="O430" i="1"/>
  <c r="AS418" i="1"/>
  <c r="O418" i="1"/>
  <c r="AS406" i="1"/>
  <c r="O406" i="1"/>
  <c r="AS398" i="1"/>
  <c r="O398" i="1"/>
  <c r="AS390" i="1"/>
  <c r="O390" i="1"/>
  <c r="AS378" i="1"/>
  <c r="O378" i="1"/>
  <c r="AS362" i="1"/>
  <c r="O362" i="1"/>
  <c r="AS354" i="1"/>
  <c r="O354" i="1"/>
  <c r="AS346" i="1"/>
  <c r="O346" i="1"/>
  <c r="AS334" i="1"/>
  <c r="O334" i="1"/>
  <c r="AS322" i="1"/>
  <c r="O322" i="1"/>
  <c r="AS306" i="1"/>
  <c r="O306" i="1"/>
  <c r="AS294" i="1"/>
  <c r="O294" i="1"/>
  <c r="AS282" i="1"/>
  <c r="O282" i="1"/>
  <c r="AS270" i="1"/>
  <c r="O270" i="1"/>
  <c r="AS258" i="1"/>
  <c r="O258" i="1"/>
  <c r="AS246" i="1"/>
  <c r="O246" i="1"/>
  <c r="AS234" i="1"/>
  <c r="O234" i="1"/>
  <c r="AS222" i="1"/>
  <c r="O222" i="1"/>
  <c r="AS210" i="1"/>
  <c r="O210" i="1"/>
  <c r="AS198" i="1"/>
  <c r="O198" i="1"/>
  <c r="AS186" i="1"/>
  <c r="O186" i="1"/>
  <c r="AS174" i="1"/>
  <c r="O174" i="1"/>
  <c r="AS162" i="1"/>
  <c r="O162" i="1"/>
  <c r="AS150" i="1"/>
  <c r="O150" i="1"/>
  <c r="AS146" i="1"/>
  <c r="O146" i="1"/>
  <c r="AS134" i="1"/>
  <c r="O134" i="1"/>
  <c r="AS122" i="1"/>
  <c r="O122" i="1"/>
  <c r="AS110" i="1"/>
  <c r="O110" i="1"/>
  <c r="AS98" i="1"/>
  <c r="O98" i="1"/>
  <c r="AS90" i="1"/>
  <c r="O90" i="1"/>
  <c r="AS82" i="1"/>
  <c r="O82" i="1"/>
  <c r="AS74" i="1"/>
  <c r="O74" i="1"/>
  <c r="AS66" i="1"/>
  <c r="O66" i="1"/>
  <c r="AS62" i="1"/>
  <c r="O62" i="1"/>
  <c r="AS58" i="1"/>
  <c r="O58" i="1"/>
  <c r="AS54" i="1"/>
  <c r="O54" i="1"/>
  <c r="AS50" i="1"/>
  <c r="O50" i="1"/>
  <c r="AS46" i="1"/>
  <c r="O46" i="1"/>
  <c r="AS42" i="1"/>
  <c r="O42" i="1"/>
  <c r="AS38" i="1"/>
  <c r="O38" i="1"/>
  <c r="AS34" i="1"/>
  <c r="O34" i="1"/>
  <c r="AS30" i="1"/>
  <c r="O30" i="1"/>
  <c r="AS26" i="1"/>
  <c r="O26" i="1"/>
  <c r="AS22" i="1"/>
  <c r="O22" i="1"/>
  <c r="AS18" i="1"/>
  <c r="O18" i="1"/>
  <c r="AS10" i="1"/>
  <c r="O10" i="1"/>
  <c r="AS1001" i="1"/>
  <c r="O1001" i="1"/>
  <c r="AS989" i="1"/>
  <c r="O989" i="1"/>
  <c r="AS977" i="1"/>
  <c r="O977" i="1"/>
  <c r="AS965" i="1"/>
  <c r="O965" i="1"/>
  <c r="AS957" i="1"/>
  <c r="O957" i="1"/>
  <c r="AS949" i="1"/>
  <c r="O949" i="1"/>
  <c r="AS941" i="1"/>
  <c r="O941" i="1"/>
  <c r="AS937" i="1"/>
  <c r="O937" i="1"/>
  <c r="AS933" i="1"/>
  <c r="O933" i="1"/>
  <c r="AS929" i="1"/>
  <c r="O929" i="1"/>
  <c r="AS925" i="1"/>
  <c r="O925" i="1"/>
  <c r="AS921" i="1"/>
  <c r="O921" i="1"/>
  <c r="AS917" i="1"/>
  <c r="O917" i="1"/>
  <c r="AS913" i="1"/>
  <c r="O913" i="1"/>
  <c r="AS909" i="1"/>
  <c r="O909" i="1"/>
  <c r="AS905" i="1"/>
  <c r="O905" i="1"/>
  <c r="AS901" i="1"/>
  <c r="O901" i="1"/>
  <c r="AS897" i="1"/>
  <c r="O897" i="1"/>
  <c r="AS893" i="1"/>
  <c r="O893" i="1"/>
  <c r="AS889" i="1"/>
  <c r="O889" i="1"/>
  <c r="AS885" i="1"/>
  <c r="O885" i="1"/>
  <c r="AS881" i="1"/>
  <c r="O881" i="1"/>
  <c r="AS877" i="1"/>
  <c r="O877" i="1"/>
  <c r="AS873" i="1"/>
  <c r="O873" i="1"/>
  <c r="AS869" i="1"/>
  <c r="O869" i="1"/>
  <c r="AS865" i="1"/>
  <c r="O865" i="1"/>
  <c r="AS861" i="1"/>
  <c r="O861" i="1"/>
  <c r="AS857" i="1"/>
  <c r="O857" i="1"/>
  <c r="AS853" i="1"/>
  <c r="O853" i="1"/>
  <c r="AS849" i="1"/>
  <c r="O849" i="1"/>
  <c r="AS845" i="1"/>
  <c r="O845" i="1"/>
  <c r="AS841" i="1"/>
  <c r="O841" i="1"/>
  <c r="AS837" i="1"/>
  <c r="O837" i="1"/>
  <c r="AS833" i="1"/>
  <c r="O833" i="1"/>
  <c r="AS829" i="1"/>
  <c r="O829" i="1"/>
  <c r="AS825" i="1"/>
  <c r="O825" i="1"/>
  <c r="AS821" i="1"/>
  <c r="O821" i="1"/>
  <c r="AS817" i="1"/>
  <c r="O817" i="1"/>
  <c r="AS813" i="1"/>
  <c r="O813" i="1"/>
  <c r="AS809" i="1"/>
  <c r="O809" i="1"/>
  <c r="AS805" i="1"/>
  <c r="O805" i="1"/>
  <c r="AS801" i="1"/>
  <c r="O801" i="1"/>
  <c r="AS797" i="1"/>
  <c r="O797" i="1"/>
  <c r="AS793" i="1"/>
  <c r="O793" i="1"/>
  <c r="AS789" i="1"/>
  <c r="O789" i="1"/>
  <c r="AS785" i="1"/>
  <c r="O785" i="1"/>
  <c r="AS781" i="1"/>
  <c r="O781" i="1"/>
  <c r="AS777" i="1"/>
  <c r="O777" i="1"/>
  <c r="AS773" i="1"/>
  <c r="O773" i="1"/>
  <c r="AS769" i="1"/>
  <c r="O769" i="1"/>
  <c r="AS765" i="1"/>
  <c r="O765" i="1"/>
  <c r="AS761" i="1"/>
  <c r="O761" i="1"/>
  <c r="AS757" i="1"/>
  <c r="O757" i="1"/>
  <c r="AS753" i="1"/>
  <c r="O753" i="1"/>
  <c r="AS749" i="1"/>
  <c r="O749" i="1"/>
  <c r="AS745" i="1"/>
  <c r="O745" i="1"/>
  <c r="AS741" i="1"/>
  <c r="O741" i="1"/>
  <c r="AS737" i="1"/>
  <c r="O737" i="1"/>
  <c r="AS733" i="1"/>
  <c r="O733" i="1"/>
  <c r="AS729" i="1"/>
  <c r="O729" i="1"/>
  <c r="AS725" i="1"/>
  <c r="O725" i="1"/>
  <c r="AS721" i="1"/>
  <c r="O721" i="1"/>
  <c r="AS717" i="1"/>
  <c r="O717" i="1"/>
  <c r="AS713" i="1"/>
  <c r="O713" i="1"/>
  <c r="AS709" i="1"/>
  <c r="O709" i="1"/>
  <c r="AS705" i="1"/>
  <c r="O705" i="1"/>
  <c r="AS701" i="1"/>
  <c r="O701" i="1"/>
  <c r="AS697" i="1"/>
  <c r="O697" i="1"/>
  <c r="AS693" i="1"/>
  <c r="O693" i="1"/>
  <c r="AS689" i="1"/>
  <c r="O689" i="1"/>
  <c r="AS685" i="1"/>
  <c r="O685" i="1"/>
  <c r="AS681" i="1"/>
  <c r="O681" i="1"/>
  <c r="AS677" i="1"/>
  <c r="O677" i="1"/>
  <c r="AS673" i="1"/>
  <c r="O673" i="1"/>
  <c r="AS669" i="1"/>
  <c r="O669" i="1"/>
  <c r="AS665" i="1"/>
  <c r="O665" i="1"/>
  <c r="AS661" i="1"/>
  <c r="O661" i="1"/>
  <c r="AS657" i="1"/>
  <c r="O657" i="1"/>
  <c r="AS653" i="1"/>
  <c r="O653" i="1"/>
  <c r="AS649" i="1"/>
  <c r="O649" i="1"/>
  <c r="AS645" i="1"/>
  <c r="O645" i="1"/>
  <c r="AS641" i="1"/>
  <c r="O641" i="1"/>
  <c r="AS637" i="1"/>
  <c r="O637" i="1"/>
  <c r="AS633" i="1"/>
  <c r="O633" i="1"/>
  <c r="AS629" i="1"/>
  <c r="O629" i="1"/>
  <c r="AS625" i="1"/>
  <c r="O625" i="1"/>
  <c r="AS621" i="1"/>
  <c r="O621" i="1"/>
  <c r="AS617" i="1"/>
  <c r="O617" i="1"/>
  <c r="AS613" i="1"/>
  <c r="O613" i="1"/>
  <c r="AS609" i="1"/>
  <c r="O609" i="1"/>
  <c r="AS605" i="1"/>
  <c r="O605" i="1"/>
  <c r="AS601" i="1"/>
  <c r="O601" i="1"/>
  <c r="AS597" i="1"/>
  <c r="O597" i="1"/>
  <c r="AS593" i="1"/>
  <c r="O593" i="1"/>
  <c r="AS589" i="1"/>
  <c r="O589" i="1"/>
  <c r="AS585" i="1"/>
  <c r="O585" i="1"/>
  <c r="AS581" i="1"/>
  <c r="O581" i="1"/>
  <c r="AS577" i="1"/>
  <c r="O577" i="1"/>
  <c r="AS573" i="1"/>
  <c r="O573" i="1"/>
  <c r="AS569" i="1"/>
  <c r="O569" i="1"/>
  <c r="AS565" i="1"/>
  <c r="O565" i="1"/>
  <c r="AS561" i="1"/>
  <c r="O561" i="1"/>
  <c r="AS557" i="1"/>
  <c r="O557" i="1"/>
  <c r="AS553" i="1"/>
  <c r="O553" i="1"/>
  <c r="AS549" i="1"/>
  <c r="O549" i="1"/>
  <c r="AS545" i="1"/>
  <c r="O545" i="1"/>
  <c r="AS541" i="1"/>
  <c r="O541" i="1"/>
  <c r="AS537" i="1"/>
  <c r="O537" i="1"/>
  <c r="AS533" i="1"/>
  <c r="O533" i="1"/>
  <c r="AS529" i="1"/>
  <c r="O529" i="1"/>
  <c r="AS525" i="1"/>
  <c r="O525" i="1"/>
  <c r="AS521" i="1"/>
  <c r="O521" i="1"/>
  <c r="AS517" i="1"/>
  <c r="O517" i="1"/>
  <c r="AS513" i="1"/>
  <c r="O513" i="1"/>
  <c r="AS509" i="1"/>
  <c r="O509" i="1"/>
  <c r="AS505" i="1"/>
  <c r="O505" i="1"/>
  <c r="AS501" i="1"/>
  <c r="O501" i="1"/>
  <c r="AS497" i="1"/>
  <c r="O497" i="1"/>
  <c r="AS493" i="1"/>
  <c r="O493" i="1"/>
  <c r="AS489" i="1"/>
  <c r="O489" i="1"/>
  <c r="AS485" i="1"/>
  <c r="O485" i="1"/>
  <c r="AS481" i="1"/>
  <c r="O481" i="1"/>
  <c r="AS477" i="1"/>
  <c r="O477" i="1"/>
  <c r="AS473" i="1"/>
  <c r="O473" i="1"/>
  <c r="AS469" i="1"/>
  <c r="O469" i="1"/>
  <c r="AS465" i="1"/>
  <c r="O465" i="1"/>
  <c r="AS461" i="1"/>
  <c r="O461" i="1"/>
  <c r="AS457" i="1"/>
  <c r="O457" i="1"/>
  <c r="AS453" i="1"/>
  <c r="O453" i="1"/>
  <c r="AS449" i="1"/>
  <c r="O449" i="1"/>
  <c r="AS445" i="1"/>
  <c r="O445" i="1"/>
  <c r="AS441" i="1"/>
  <c r="O441" i="1"/>
  <c r="AS437" i="1"/>
  <c r="O437" i="1"/>
  <c r="AS433" i="1"/>
  <c r="O433" i="1"/>
  <c r="AS429" i="1"/>
  <c r="O429" i="1"/>
  <c r="AS425" i="1"/>
  <c r="O425" i="1"/>
  <c r="AS421" i="1"/>
  <c r="O421" i="1"/>
  <c r="AS417" i="1"/>
  <c r="O417" i="1"/>
  <c r="AS413" i="1"/>
  <c r="O413" i="1"/>
  <c r="AS409" i="1"/>
  <c r="O409" i="1"/>
  <c r="AS405" i="1"/>
  <c r="O405" i="1"/>
  <c r="AS401" i="1"/>
  <c r="O401" i="1"/>
  <c r="AS397" i="1"/>
  <c r="O397" i="1"/>
  <c r="AS393" i="1"/>
  <c r="O393" i="1"/>
  <c r="AS389" i="1"/>
  <c r="O389" i="1"/>
  <c r="AS385" i="1"/>
  <c r="O385" i="1"/>
  <c r="AS381" i="1"/>
  <c r="O381" i="1"/>
  <c r="AS377" i="1"/>
  <c r="O377" i="1"/>
  <c r="AS373" i="1"/>
  <c r="O373" i="1"/>
  <c r="AS369" i="1"/>
  <c r="O369" i="1"/>
  <c r="AS365" i="1"/>
  <c r="O365" i="1"/>
  <c r="AS361" i="1"/>
  <c r="O361" i="1"/>
  <c r="AS357" i="1"/>
  <c r="O357" i="1"/>
  <c r="AS353" i="1"/>
  <c r="O353" i="1"/>
  <c r="AS349" i="1"/>
  <c r="O349" i="1"/>
  <c r="AS345" i="1"/>
  <c r="O345" i="1"/>
  <c r="AS341" i="1"/>
  <c r="O341" i="1"/>
  <c r="AS337" i="1"/>
  <c r="O337" i="1"/>
  <c r="AS333" i="1"/>
  <c r="O333" i="1"/>
  <c r="AS329" i="1"/>
  <c r="O329" i="1"/>
  <c r="AS325" i="1"/>
  <c r="O325" i="1"/>
  <c r="AS321" i="1"/>
  <c r="O321" i="1"/>
  <c r="AS317" i="1"/>
  <c r="O317" i="1"/>
  <c r="AS313" i="1"/>
  <c r="O313" i="1"/>
  <c r="AS309" i="1"/>
  <c r="O309" i="1"/>
  <c r="AS305" i="1"/>
  <c r="O305" i="1"/>
  <c r="AS301" i="1"/>
  <c r="O301" i="1"/>
  <c r="AS297" i="1"/>
  <c r="O297" i="1"/>
  <c r="AS293" i="1"/>
  <c r="O293" i="1"/>
  <c r="AS289" i="1"/>
  <c r="O289" i="1"/>
  <c r="AS285" i="1"/>
  <c r="O285" i="1"/>
  <c r="AS281" i="1"/>
  <c r="O281" i="1"/>
  <c r="AS277" i="1"/>
  <c r="O277" i="1"/>
  <c r="AS273" i="1"/>
  <c r="O273" i="1"/>
  <c r="AS269" i="1"/>
  <c r="O269" i="1"/>
  <c r="AS265" i="1"/>
  <c r="O265" i="1"/>
  <c r="AS261" i="1"/>
  <c r="O261" i="1"/>
  <c r="AS257" i="1"/>
  <c r="O257" i="1"/>
  <c r="AS253" i="1"/>
  <c r="O253" i="1"/>
  <c r="AS249" i="1"/>
  <c r="O249" i="1"/>
  <c r="AS245" i="1"/>
  <c r="O245" i="1"/>
  <c r="AS241" i="1"/>
  <c r="O241" i="1"/>
  <c r="AS237" i="1"/>
  <c r="O237" i="1"/>
  <c r="AS233" i="1"/>
  <c r="O233" i="1"/>
  <c r="AS229" i="1"/>
  <c r="O229" i="1"/>
  <c r="AS225" i="1"/>
  <c r="O225" i="1"/>
  <c r="AS221" i="1"/>
  <c r="O221" i="1"/>
  <c r="AS217" i="1"/>
  <c r="O217" i="1"/>
  <c r="AS213" i="1"/>
  <c r="O213" i="1"/>
  <c r="AS209" i="1"/>
  <c r="O209" i="1"/>
  <c r="AS205" i="1"/>
  <c r="O205" i="1"/>
  <c r="AS201" i="1"/>
  <c r="O201" i="1"/>
  <c r="AS197" i="1"/>
  <c r="O197" i="1"/>
  <c r="AS193" i="1"/>
  <c r="O193" i="1"/>
  <c r="AS189" i="1"/>
  <c r="O189" i="1"/>
  <c r="AS185" i="1"/>
  <c r="O185" i="1"/>
  <c r="AS181" i="1"/>
  <c r="O181" i="1"/>
  <c r="AS177" i="1"/>
  <c r="O177" i="1"/>
  <c r="AS173" i="1"/>
  <c r="O173" i="1"/>
  <c r="AS169" i="1"/>
  <c r="O169" i="1"/>
  <c r="AS165" i="1"/>
  <c r="O165" i="1"/>
  <c r="AS161" i="1"/>
  <c r="O161" i="1"/>
  <c r="AS157" i="1"/>
  <c r="O157" i="1"/>
  <c r="AS153" i="1"/>
  <c r="O153" i="1"/>
  <c r="AS149" i="1"/>
  <c r="O149" i="1"/>
  <c r="AS145" i="1"/>
  <c r="O145" i="1"/>
  <c r="AS141" i="1"/>
  <c r="O141" i="1"/>
  <c r="AS137" i="1"/>
  <c r="O137" i="1"/>
  <c r="AS133" i="1"/>
  <c r="O133" i="1"/>
  <c r="AS129" i="1"/>
  <c r="O129" i="1"/>
  <c r="AS125" i="1"/>
  <c r="O125" i="1"/>
  <c r="AS121" i="1"/>
  <c r="O121" i="1"/>
  <c r="AS117" i="1"/>
  <c r="O117" i="1"/>
  <c r="AS113" i="1"/>
  <c r="O113" i="1"/>
  <c r="AS109" i="1"/>
  <c r="O109" i="1"/>
  <c r="AS105" i="1"/>
  <c r="O105" i="1"/>
  <c r="AS101" i="1"/>
  <c r="O101" i="1"/>
  <c r="AS97" i="1"/>
  <c r="O97" i="1"/>
  <c r="AS93" i="1"/>
  <c r="O93" i="1"/>
  <c r="AS89" i="1"/>
  <c r="O89" i="1"/>
  <c r="AS85" i="1"/>
  <c r="O85" i="1"/>
  <c r="AS81" i="1"/>
  <c r="O81" i="1"/>
  <c r="AS77" i="1"/>
  <c r="O77" i="1"/>
  <c r="AS73" i="1"/>
  <c r="O73" i="1"/>
  <c r="AS69" i="1"/>
  <c r="O69" i="1"/>
  <c r="AS65" i="1"/>
  <c r="O65" i="1"/>
  <c r="AS61" i="1"/>
  <c r="O61" i="1"/>
  <c r="AS57" i="1"/>
  <c r="O57" i="1"/>
  <c r="AS53" i="1"/>
  <c r="O53" i="1"/>
  <c r="AS49" i="1"/>
  <c r="O49" i="1"/>
  <c r="AS45" i="1"/>
  <c r="O45" i="1"/>
  <c r="AS41" i="1"/>
  <c r="O41" i="1"/>
  <c r="AS37" i="1"/>
  <c r="O37" i="1"/>
  <c r="AS33" i="1"/>
  <c r="O33" i="1"/>
  <c r="AS29" i="1"/>
  <c r="O29" i="1"/>
  <c r="AS25" i="1"/>
  <c r="O25" i="1"/>
  <c r="AS21" i="1"/>
  <c r="O21" i="1"/>
  <c r="AS17" i="1"/>
  <c r="O17" i="1"/>
  <c r="AS13" i="1"/>
  <c r="O13" i="1"/>
  <c r="AS9" i="1"/>
  <c r="O9" i="1"/>
  <c r="AS5" i="1"/>
  <c r="O5" i="1"/>
  <c r="AS2" i="1"/>
  <c r="O2" i="1"/>
  <c r="AS994" i="1"/>
  <c r="O994" i="1"/>
  <c r="AS986" i="1"/>
  <c r="O986" i="1"/>
  <c r="AS974" i="1"/>
  <c r="O974" i="1"/>
  <c r="AS962" i="1"/>
  <c r="O962" i="1"/>
  <c r="AS950" i="1"/>
  <c r="O950" i="1"/>
  <c r="AS938" i="1"/>
  <c r="O938" i="1"/>
  <c r="AS926" i="1"/>
  <c r="O926" i="1"/>
  <c r="AS910" i="1"/>
  <c r="O910" i="1"/>
  <c r="AS898" i="1"/>
  <c r="O898" i="1"/>
  <c r="AS886" i="1"/>
  <c r="O886" i="1"/>
  <c r="AS874" i="1"/>
  <c r="O874" i="1"/>
  <c r="AS862" i="1"/>
  <c r="O862" i="1"/>
  <c r="AS850" i="1"/>
  <c r="O850" i="1"/>
  <c r="AS838" i="1"/>
  <c r="O838" i="1"/>
  <c r="AS822" i="1"/>
  <c r="O822" i="1"/>
  <c r="AS810" i="1"/>
  <c r="O810" i="1"/>
  <c r="AS798" i="1"/>
  <c r="O798" i="1"/>
  <c r="AS786" i="1"/>
  <c r="O786" i="1"/>
  <c r="AS774" i="1"/>
  <c r="O774" i="1"/>
  <c r="AS766" i="1"/>
  <c r="O766" i="1"/>
  <c r="AS754" i="1"/>
  <c r="O754" i="1"/>
  <c r="AS742" i="1"/>
  <c r="O742" i="1"/>
  <c r="AS730" i="1"/>
  <c r="O730" i="1"/>
  <c r="AS718" i="1"/>
  <c r="O718" i="1"/>
  <c r="AS702" i="1"/>
  <c r="O702" i="1"/>
  <c r="AS690" i="1"/>
  <c r="O690" i="1"/>
  <c r="AS678" i="1"/>
  <c r="O678" i="1"/>
  <c r="AS670" i="1"/>
  <c r="O670" i="1"/>
  <c r="AS658" i="1"/>
  <c r="O658" i="1"/>
  <c r="AS650" i="1"/>
  <c r="O650" i="1"/>
  <c r="AS642" i="1"/>
  <c r="O642" i="1"/>
  <c r="AS630" i="1"/>
  <c r="O630" i="1"/>
  <c r="AS614" i="1"/>
  <c r="O614" i="1"/>
  <c r="AS602" i="1"/>
  <c r="O602" i="1"/>
  <c r="AS590" i="1"/>
  <c r="O590" i="1"/>
  <c r="AS578" i="1"/>
  <c r="O578" i="1"/>
  <c r="AS570" i="1"/>
  <c r="O570" i="1"/>
  <c r="AS558" i="1"/>
  <c r="O558" i="1"/>
  <c r="AS550" i="1"/>
  <c r="O550" i="1"/>
  <c r="AS534" i="1"/>
  <c r="O534" i="1"/>
  <c r="AS518" i="1"/>
  <c r="O518" i="1"/>
  <c r="AS506" i="1"/>
  <c r="O506" i="1"/>
  <c r="AS494" i="1"/>
  <c r="O494" i="1"/>
  <c r="AS482" i="1"/>
  <c r="O482" i="1"/>
  <c r="AS474" i="1"/>
  <c r="O474" i="1"/>
  <c r="AS462" i="1"/>
  <c r="O462" i="1"/>
  <c r="AS450" i="1"/>
  <c r="O450" i="1"/>
  <c r="AS438" i="1"/>
  <c r="O438" i="1"/>
  <c r="AS426" i="1"/>
  <c r="O426" i="1"/>
  <c r="AS410" i="1"/>
  <c r="O410" i="1"/>
  <c r="AS394" i="1"/>
  <c r="O394" i="1"/>
  <c r="AS382" i="1"/>
  <c r="O382" i="1"/>
  <c r="AS370" i="1"/>
  <c r="O370" i="1"/>
  <c r="AS358" i="1"/>
  <c r="O358" i="1"/>
  <c r="AS342" i="1"/>
  <c r="O342" i="1"/>
  <c r="AS326" i="1"/>
  <c r="O326" i="1"/>
  <c r="AS314" i="1"/>
  <c r="O314" i="1"/>
  <c r="AS302" i="1"/>
  <c r="O302" i="1"/>
  <c r="AS290" i="1"/>
  <c r="O290" i="1"/>
  <c r="AS274" i="1"/>
  <c r="O274" i="1"/>
  <c r="AS262" i="1"/>
  <c r="O262" i="1"/>
  <c r="AS250" i="1"/>
  <c r="O250" i="1"/>
  <c r="AS238" i="1"/>
  <c r="O238" i="1"/>
  <c r="AS226" i="1"/>
  <c r="O226" i="1"/>
  <c r="AS214" i="1"/>
  <c r="O214" i="1"/>
  <c r="AS202" i="1"/>
  <c r="O202" i="1"/>
  <c r="AS194" i="1"/>
  <c r="O194" i="1"/>
  <c r="AS182" i="1"/>
  <c r="O182" i="1"/>
  <c r="AS170" i="1"/>
  <c r="O170" i="1"/>
  <c r="AS158" i="1"/>
  <c r="O158" i="1"/>
  <c r="AS142" i="1"/>
  <c r="O142" i="1"/>
  <c r="AS130" i="1"/>
  <c r="O130" i="1"/>
  <c r="AS114" i="1"/>
  <c r="O114" i="1"/>
  <c r="AS106" i="1"/>
  <c r="O106" i="1"/>
  <c r="AS94" i="1"/>
  <c r="O94" i="1"/>
  <c r="AS78" i="1"/>
  <c r="O78" i="1"/>
  <c r="AS6" i="1"/>
  <c r="O6" i="1"/>
  <c r="AS997" i="1"/>
  <c r="O997" i="1"/>
  <c r="AS993" i="1"/>
  <c r="O993" i="1"/>
  <c r="AS985" i="1"/>
  <c r="O985" i="1"/>
  <c r="AS981" i="1"/>
  <c r="O981" i="1"/>
  <c r="AS973" i="1"/>
  <c r="O973" i="1"/>
  <c r="AS969" i="1"/>
  <c r="O969" i="1"/>
  <c r="AS961" i="1"/>
  <c r="O961" i="1"/>
  <c r="AS953" i="1"/>
  <c r="O953" i="1"/>
  <c r="AS945" i="1"/>
  <c r="O945" i="1"/>
  <c r="AS1000" i="1"/>
  <c r="O1000" i="1"/>
  <c r="AS996" i="1"/>
  <c r="O996" i="1"/>
  <c r="AS992" i="1"/>
  <c r="O992" i="1"/>
  <c r="AS988" i="1"/>
  <c r="O988" i="1"/>
  <c r="AS984" i="1"/>
  <c r="O984" i="1"/>
  <c r="AS980" i="1"/>
  <c r="O980" i="1"/>
  <c r="AS976" i="1"/>
  <c r="O976" i="1"/>
  <c r="AS972" i="1"/>
  <c r="O972" i="1"/>
  <c r="AS968" i="1"/>
  <c r="O968" i="1"/>
  <c r="AS964" i="1"/>
  <c r="O964" i="1"/>
  <c r="AS960" i="1"/>
  <c r="O960" i="1"/>
  <c r="AS956" i="1"/>
  <c r="O956" i="1"/>
  <c r="AS952" i="1"/>
  <c r="O952" i="1"/>
  <c r="AS948" i="1"/>
  <c r="O948" i="1"/>
  <c r="AS944" i="1"/>
  <c r="O944" i="1"/>
  <c r="AS940" i="1"/>
  <c r="O940" i="1"/>
  <c r="AS936" i="1"/>
  <c r="O936" i="1"/>
  <c r="AS932" i="1"/>
  <c r="O932" i="1"/>
  <c r="AS928" i="1"/>
  <c r="O928" i="1"/>
  <c r="AS924" i="1"/>
  <c r="O924" i="1"/>
  <c r="AS920" i="1"/>
  <c r="O920" i="1"/>
  <c r="AS916" i="1"/>
  <c r="O916" i="1"/>
  <c r="AS912" i="1"/>
  <c r="O912" i="1"/>
  <c r="AS908" i="1"/>
  <c r="O908" i="1"/>
  <c r="AS904" i="1"/>
  <c r="O904" i="1"/>
  <c r="AS900" i="1"/>
  <c r="O900" i="1"/>
  <c r="AS896" i="1"/>
  <c r="O896" i="1"/>
  <c r="AS892" i="1"/>
  <c r="O892" i="1"/>
  <c r="AS888" i="1"/>
  <c r="O888" i="1"/>
  <c r="AS884" i="1"/>
  <c r="O884" i="1"/>
  <c r="AS880" i="1"/>
  <c r="O880" i="1"/>
  <c r="AS876" i="1"/>
  <c r="O876" i="1"/>
  <c r="AS872" i="1"/>
  <c r="O872" i="1"/>
  <c r="AS868" i="1"/>
  <c r="O868" i="1"/>
  <c r="AS864" i="1"/>
  <c r="O864" i="1"/>
  <c r="AS860" i="1"/>
  <c r="O860" i="1"/>
  <c r="AS856" i="1"/>
  <c r="O856" i="1"/>
  <c r="AS852" i="1"/>
  <c r="O852" i="1"/>
  <c r="AS848" i="1"/>
  <c r="O848" i="1"/>
  <c r="AS844" i="1"/>
  <c r="O844" i="1"/>
  <c r="AS840" i="1"/>
  <c r="O840" i="1"/>
  <c r="AS836" i="1"/>
  <c r="O836" i="1"/>
  <c r="AS832" i="1"/>
  <c r="O832" i="1"/>
  <c r="AS828" i="1"/>
  <c r="O828" i="1"/>
  <c r="AS824" i="1"/>
  <c r="O824" i="1"/>
  <c r="AS820" i="1"/>
  <c r="O820" i="1"/>
  <c r="AS816" i="1"/>
  <c r="O816" i="1"/>
  <c r="AS812" i="1"/>
  <c r="O812" i="1"/>
  <c r="AS808" i="1"/>
  <c r="O808" i="1"/>
  <c r="AS804" i="1"/>
  <c r="O804" i="1"/>
  <c r="AS800" i="1"/>
  <c r="O800" i="1"/>
  <c r="AS796" i="1"/>
  <c r="O796" i="1"/>
  <c r="AS792" i="1"/>
  <c r="O792" i="1"/>
  <c r="AS788" i="1"/>
  <c r="O788" i="1"/>
  <c r="AS784" i="1"/>
  <c r="O784" i="1"/>
  <c r="AS780" i="1"/>
  <c r="O780" i="1"/>
  <c r="AS776" i="1"/>
  <c r="O776" i="1"/>
  <c r="AS772" i="1"/>
  <c r="O772" i="1"/>
  <c r="AS768" i="1"/>
  <c r="O768" i="1"/>
  <c r="AS764" i="1"/>
  <c r="O764" i="1"/>
  <c r="AS760" i="1"/>
  <c r="O760" i="1"/>
  <c r="AS756" i="1"/>
  <c r="O756" i="1"/>
  <c r="AS752" i="1"/>
  <c r="O752" i="1"/>
  <c r="AS748" i="1"/>
  <c r="O748" i="1"/>
  <c r="AS744" i="1"/>
  <c r="O744" i="1"/>
  <c r="AS740" i="1"/>
  <c r="O740" i="1"/>
  <c r="AS736" i="1"/>
  <c r="O736" i="1"/>
  <c r="AS732" i="1"/>
  <c r="O732" i="1"/>
  <c r="AS728" i="1"/>
  <c r="O728" i="1"/>
  <c r="AS724" i="1"/>
  <c r="O724" i="1"/>
  <c r="AS720" i="1"/>
  <c r="O720" i="1"/>
  <c r="AS716" i="1"/>
  <c r="O716" i="1"/>
  <c r="AS712" i="1"/>
  <c r="O712" i="1"/>
  <c r="AS708" i="1"/>
  <c r="O708" i="1"/>
  <c r="AS704" i="1"/>
  <c r="O704" i="1"/>
  <c r="AS700" i="1"/>
  <c r="O700" i="1"/>
  <c r="AS696" i="1"/>
  <c r="O696" i="1"/>
  <c r="AS692" i="1"/>
  <c r="O692" i="1"/>
  <c r="AS688" i="1"/>
  <c r="O688" i="1"/>
  <c r="AS684" i="1"/>
  <c r="O684" i="1"/>
  <c r="AS680" i="1"/>
  <c r="O680" i="1"/>
  <c r="AS676" i="1"/>
  <c r="O676" i="1"/>
  <c r="AS672" i="1"/>
  <c r="O672" i="1"/>
  <c r="AS668" i="1"/>
  <c r="O668" i="1"/>
  <c r="AS664" i="1"/>
  <c r="O664" i="1"/>
  <c r="AS660" i="1"/>
  <c r="O660" i="1"/>
  <c r="AS656" i="1"/>
  <c r="O656" i="1"/>
  <c r="AS652" i="1"/>
  <c r="O652" i="1"/>
  <c r="AS648" i="1"/>
  <c r="O648" i="1"/>
  <c r="AS644" i="1"/>
  <c r="O644" i="1"/>
  <c r="AS640" i="1"/>
  <c r="O640" i="1"/>
  <c r="AS636" i="1"/>
  <c r="O636" i="1"/>
  <c r="AS632" i="1"/>
  <c r="O632" i="1"/>
  <c r="AS628" i="1"/>
  <c r="O628" i="1"/>
  <c r="AS624" i="1"/>
  <c r="O624" i="1"/>
  <c r="AS620" i="1"/>
  <c r="O620" i="1"/>
  <c r="AS616" i="1"/>
  <c r="O616" i="1"/>
  <c r="AS612" i="1"/>
  <c r="O612" i="1"/>
  <c r="AS608" i="1"/>
  <c r="O608" i="1"/>
  <c r="AS604" i="1"/>
  <c r="O604" i="1"/>
  <c r="AS600" i="1"/>
  <c r="O600" i="1"/>
  <c r="AS596" i="1"/>
  <c r="O596" i="1"/>
  <c r="AS592" i="1"/>
  <c r="O592" i="1"/>
  <c r="AS588" i="1"/>
  <c r="O588" i="1"/>
  <c r="AS584" i="1"/>
  <c r="O584" i="1"/>
  <c r="AS580" i="1"/>
  <c r="O580" i="1"/>
  <c r="AS576" i="1"/>
  <c r="O576" i="1"/>
  <c r="AS572" i="1"/>
  <c r="O572" i="1"/>
  <c r="AS568" i="1"/>
  <c r="O568" i="1"/>
  <c r="AS564" i="1"/>
  <c r="O564" i="1"/>
  <c r="AS560" i="1"/>
  <c r="O560" i="1"/>
  <c r="AS556" i="1"/>
  <c r="O556" i="1"/>
  <c r="AS552" i="1"/>
  <c r="O552" i="1"/>
  <c r="AS548" i="1"/>
  <c r="O548" i="1"/>
  <c r="AS544" i="1"/>
  <c r="O544" i="1"/>
  <c r="AS540" i="1"/>
  <c r="O540" i="1"/>
  <c r="AS536" i="1"/>
  <c r="O536" i="1"/>
  <c r="AS532" i="1"/>
  <c r="O532" i="1"/>
  <c r="AS528" i="1"/>
  <c r="O528" i="1"/>
  <c r="AS524" i="1"/>
  <c r="O524" i="1"/>
  <c r="AS520" i="1"/>
  <c r="O520" i="1"/>
  <c r="AS516" i="1"/>
  <c r="O516" i="1"/>
  <c r="AS512" i="1"/>
  <c r="O512" i="1"/>
  <c r="AS508" i="1"/>
  <c r="O508" i="1"/>
  <c r="AS504" i="1"/>
  <c r="O504" i="1"/>
  <c r="AS500" i="1"/>
  <c r="O500" i="1"/>
  <c r="AS496" i="1"/>
  <c r="O496" i="1"/>
  <c r="AS492" i="1"/>
  <c r="O492" i="1"/>
  <c r="AS488" i="1"/>
  <c r="O488" i="1"/>
  <c r="AS484" i="1"/>
  <c r="O484" i="1"/>
  <c r="AS480" i="1"/>
  <c r="O480" i="1"/>
  <c r="AS476" i="1"/>
  <c r="O476" i="1"/>
  <c r="AS472" i="1"/>
  <c r="O472" i="1"/>
  <c r="AS468" i="1"/>
  <c r="O468" i="1"/>
  <c r="AS464" i="1"/>
  <c r="O464" i="1"/>
  <c r="AS460" i="1"/>
  <c r="O460" i="1"/>
  <c r="AS456" i="1"/>
  <c r="O456" i="1"/>
  <c r="AS452" i="1"/>
  <c r="O452" i="1"/>
  <c r="AS448" i="1"/>
  <c r="O448" i="1"/>
  <c r="AS444" i="1"/>
  <c r="O444" i="1"/>
  <c r="AS440" i="1"/>
  <c r="O440" i="1"/>
  <c r="AS436" i="1"/>
  <c r="O436" i="1"/>
  <c r="AS432" i="1"/>
  <c r="O432" i="1"/>
  <c r="AS428" i="1"/>
  <c r="O428" i="1"/>
  <c r="AS424" i="1"/>
  <c r="O424" i="1"/>
  <c r="AS420" i="1"/>
  <c r="O420" i="1"/>
  <c r="AS416" i="1"/>
  <c r="O416" i="1"/>
  <c r="AS412" i="1"/>
  <c r="O412" i="1"/>
  <c r="AS408" i="1"/>
  <c r="O408" i="1"/>
  <c r="AS404" i="1"/>
  <c r="O404" i="1"/>
  <c r="AS400" i="1"/>
  <c r="O400" i="1"/>
  <c r="AS396" i="1"/>
  <c r="O396" i="1"/>
  <c r="AS392" i="1"/>
  <c r="O392" i="1"/>
  <c r="AS388" i="1"/>
  <c r="O388" i="1"/>
  <c r="AS384" i="1"/>
  <c r="O384" i="1"/>
  <c r="AS380" i="1"/>
  <c r="O380" i="1"/>
  <c r="AS376" i="1"/>
  <c r="O376" i="1"/>
  <c r="AS372" i="1"/>
  <c r="O372" i="1"/>
  <c r="AS368" i="1"/>
  <c r="O368" i="1"/>
  <c r="AS364" i="1"/>
  <c r="O364" i="1"/>
  <c r="AS360" i="1"/>
  <c r="O360" i="1"/>
  <c r="AS356" i="1"/>
  <c r="O356" i="1"/>
  <c r="AS352" i="1"/>
  <c r="O352" i="1"/>
  <c r="AS348" i="1"/>
  <c r="O348" i="1"/>
  <c r="AS344" i="1"/>
  <c r="O344" i="1"/>
  <c r="AS340" i="1"/>
  <c r="O340" i="1"/>
  <c r="AS336" i="1"/>
  <c r="O336" i="1"/>
  <c r="AS332" i="1"/>
  <c r="O332" i="1"/>
  <c r="AS328" i="1"/>
  <c r="O328" i="1"/>
  <c r="AS324" i="1"/>
  <c r="O324" i="1"/>
  <c r="AS320" i="1"/>
  <c r="O320" i="1"/>
  <c r="AS316" i="1"/>
  <c r="O316" i="1"/>
  <c r="AS312" i="1"/>
  <c r="O312" i="1"/>
  <c r="AS308" i="1"/>
  <c r="O308" i="1"/>
  <c r="AS304" i="1"/>
  <c r="O304" i="1"/>
  <c r="AS300" i="1"/>
  <c r="O300" i="1"/>
  <c r="AS296" i="1"/>
  <c r="O296" i="1"/>
  <c r="AS292" i="1"/>
  <c r="O292" i="1"/>
  <c r="AS288" i="1"/>
  <c r="O288" i="1"/>
  <c r="AS284" i="1"/>
  <c r="O284" i="1"/>
  <c r="AS280" i="1"/>
  <c r="O280" i="1"/>
  <c r="AS276" i="1"/>
  <c r="O276" i="1"/>
  <c r="AS272" i="1"/>
  <c r="O272" i="1"/>
  <c r="AS268" i="1"/>
  <c r="O268" i="1"/>
  <c r="AS264" i="1"/>
  <c r="O264" i="1"/>
  <c r="AS260" i="1"/>
  <c r="O260" i="1"/>
  <c r="AS256" i="1"/>
  <c r="O256" i="1"/>
  <c r="AS252" i="1"/>
  <c r="O252" i="1"/>
  <c r="AS248" i="1"/>
  <c r="O248" i="1"/>
  <c r="AS244" i="1"/>
  <c r="O244" i="1"/>
  <c r="AS240" i="1"/>
  <c r="O240" i="1"/>
  <c r="AS236" i="1"/>
  <c r="O236" i="1"/>
  <c r="AS232" i="1"/>
  <c r="O232" i="1"/>
  <c r="AS228" i="1"/>
  <c r="O228" i="1"/>
  <c r="AS224" i="1"/>
  <c r="O224" i="1"/>
  <c r="AS220" i="1"/>
  <c r="O220" i="1"/>
  <c r="AS216" i="1"/>
  <c r="O216" i="1"/>
  <c r="AS212" i="1"/>
  <c r="O212" i="1"/>
  <c r="AS208" i="1"/>
  <c r="O208" i="1"/>
  <c r="AS204" i="1"/>
  <c r="O204" i="1"/>
  <c r="AS200" i="1"/>
  <c r="O200" i="1"/>
  <c r="AS196" i="1"/>
  <c r="O196" i="1"/>
  <c r="AS192" i="1"/>
  <c r="O192" i="1"/>
  <c r="AS188" i="1"/>
  <c r="O188" i="1"/>
  <c r="AS184" i="1"/>
  <c r="O184" i="1"/>
  <c r="AS180" i="1"/>
  <c r="O180" i="1"/>
  <c r="AS176" i="1"/>
  <c r="O176" i="1"/>
  <c r="AS172" i="1"/>
  <c r="O172" i="1"/>
  <c r="AS168" i="1"/>
  <c r="O168" i="1"/>
  <c r="AS164" i="1"/>
  <c r="O164" i="1"/>
  <c r="AS160" i="1"/>
  <c r="O160" i="1"/>
  <c r="AS156" i="1"/>
  <c r="O156" i="1"/>
  <c r="AS152" i="1"/>
  <c r="O152" i="1"/>
  <c r="AS148" i="1"/>
  <c r="O148" i="1"/>
  <c r="AS144" i="1"/>
  <c r="O144" i="1"/>
  <c r="AS140" i="1"/>
  <c r="O140" i="1"/>
  <c r="AS136" i="1"/>
  <c r="O136" i="1"/>
  <c r="AS132" i="1"/>
  <c r="O132" i="1"/>
  <c r="AS128" i="1"/>
  <c r="O128" i="1"/>
  <c r="AS124" i="1"/>
  <c r="O124" i="1"/>
  <c r="AS120" i="1"/>
  <c r="O120" i="1"/>
  <c r="AS116" i="1"/>
  <c r="O116" i="1"/>
  <c r="AS112" i="1"/>
  <c r="O112" i="1"/>
  <c r="AS108" i="1"/>
  <c r="O108" i="1"/>
  <c r="AS104" i="1"/>
  <c r="O104" i="1"/>
  <c r="AS100" i="1"/>
  <c r="O100" i="1"/>
  <c r="AS96" i="1"/>
  <c r="O96" i="1"/>
  <c r="AS92" i="1"/>
  <c r="O92" i="1"/>
  <c r="AS88" i="1"/>
  <c r="O88" i="1"/>
  <c r="AS84" i="1"/>
  <c r="O84" i="1"/>
  <c r="AS80" i="1"/>
  <c r="O80" i="1"/>
  <c r="AS76" i="1"/>
  <c r="O76" i="1"/>
  <c r="AS72" i="1"/>
  <c r="O72" i="1"/>
  <c r="AS68" i="1"/>
  <c r="O68" i="1"/>
  <c r="AS64" i="1"/>
  <c r="O64" i="1"/>
  <c r="AS60" i="1"/>
  <c r="O60" i="1"/>
  <c r="AS56" i="1"/>
  <c r="O56" i="1"/>
  <c r="AS52" i="1"/>
  <c r="O52" i="1"/>
  <c r="AS48" i="1"/>
  <c r="O48" i="1"/>
  <c r="AS44" i="1"/>
  <c r="O44" i="1"/>
  <c r="AS40" i="1"/>
  <c r="O40" i="1"/>
  <c r="AS36" i="1"/>
  <c r="O36" i="1"/>
  <c r="AS32" i="1"/>
  <c r="O32" i="1"/>
  <c r="AS28" i="1"/>
  <c r="O28" i="1"/>
  <c r="AS24" i="1"/>
  <c r="O24" i="1"/>
  <c r="AS20" i="1"/>
  <c r="O20" i="1"/>
  <c r="AS16" i="1"/>
  <c r="O16" i="1"/>
  <c r="AS12" i="1"/>
  <c r="O12" i="1"/>
  <c r="AS8" i="1"/>
  <c r="O8" i="1"/>
  <c r="AS4" i="1"/>
  <c r="O4" i="1"/>
  <c r="AS998" i="1"/>
  <c r="O998" i="1"/>
  <c r="AS982" i="1"/>
  <c r="O982" i="1"/>
  <c r="AS970" i="1"/>
  <c r="O970" i="1"/>
  <c r="AS954" i="1"/>
  <c r="O954" i="1"/>
  <c r="AS942" i="1"/>
  <c r="O942" i="1"/>
  <c r="AS930" i="1"/>
  <c r="O930" i="1"/>
  <c r="AS918" i="1"/>
  <c r="O918" i="1"/>
  <c r="AS906" i="1"/>
  <c r="O906" i="1"/>
  <c r="AS890" i="1"/>
  <c r="O890" i="1"/>
  <c r="AS878" i="1"/>
  <c r="O878" i="1"/>
  <c r="AS866" i="1"/>
  <c r="O866" i="1"/>
  <c r="AS854" i="1"/>
  <c r="O854" i="1"/>
  <c r="AS842" i="1"/>
  <c r="O842" i="1"/>
  <c r="AS826" i="1"/>
  <c r="O826" i="1"/>
  <c r="AS814" i="1"/>
  <c r="O814" i="1"/>
  <c r="AS802" i="1"/>
  <c r="O802" i="1"/>
  <c r="AS790" i="1"/>
  <c r="O790" i="1"/>
  <c r="AS778" i="1"/>
  <c r="O778" i="1"/>
  <c r="AS762" i="1"/>
  <c r="O762" i="1"/>
  <c r="AS750" i="1"/>
  <c r="O750" i="1"/>
  <c r="AS738" i="1"/>
  <c r="O738" i="1"/>
  <c r="AS726" i="1"/>
  <c r="O726" i="1"/>
  <c r="AS714" i="1"/>
  <c r="O714" i="1"/>
  <c r="AS706" i="1"/>
  <c r="O706" i="1"/>
  <c r="AS698" i="1"/>
  <c r="O698" i="1"/>
  <c r="AS686" i="1"/>
  <c r="O686" i="1"/>
  <c r="AS674" i="1"/>
  <c r="O674" i="1"/>
  <c r="AS662" i="1"/>
  <c r="O662" i="1"/>
  <c r="AS646" i="1"/>
  <c r="O646" i="1"/>
  <c r="AS634" i="1"/>
  <c r="O634" i="1"/>
  <c r="AS626" i="1"/>
  <c r="O626" i="1"/>
  <c r="AS618" i="1"/>
  <c r="O618" i="1"/>
  <c r="AS606" i="1"/>
  <c r="O606" i="1"/>
  <c r="AS598" i="1"/>
  <c r="O598" i="1"/>
  <c r="AS586" i="1"/>
  <c r="O586" i="1"/>
  <c r="AS574" i="1"/>
  <c r="O574" i="1"/>
  <c r="AS562" i="1"/>
  <c r="O562" i="1"/>
  <c r="AS546" i="1"/>
  <c r="O546" i="1"/>
  <c r="AS530" i="1"/>
  <c r="O530" i="1"/>
  <c r="AS526" i="1"/>
  <c r="O526" i="1"/>
  <c r="AS514" i="1"/>
  <c r="O514" i="1"/>
  <c r="AS502" i="1"/>
  <c r="O502" i="1"/>
  <c r="AS490" i="1"/>
  <c r="O490" i="1"/>
  <c r="AS478" i="1"/>
  <c r="O478" i="1"/>
  <c r="AS466" i="1"/>
  <c r="O466" i="1"/>
  <c r="AS454" i="1"/>
  <c r="O454" i="1"/>
  <c r="AS442" i="1"/>
  <c r="O442" i="1"/>
  <c r="AS434" i="1"/>
  <c r="O434" i="1"/>
  <c r="AS422" i="1"/>
  <c r="O422" i="1"/>
  <c r="AS414" i="1"/>
  <c r="O414" i="1"/>
  <c r="AS402" i="1"/>
  <c r="O402" i="1"/>
  <c r="AS386" i="1"/>
  <c r="O386" i="1"/>
  <c r="AS374" i="1"/>
  <c r="O374" i="1"/>
  <c r="AS366" i="1"/>
  <c r="O366" i="1"/>
  <c r="AS350" i="1"/>
  <c r="O350" i="1"/>
  <c r="AS338" i="1"/>
  <c r="O338" i="1"/>
  <c r="AS330" i="1"/>
  <c r="O330" i="1"/>
  <c r="AS318" i="1"/>
  <c r="O318" i="1"/>
  <c r="AS310" i="1"/>
  <c r="O310" i="1"/>
  <c r="AS298" i="1"/>
  <c r="O298" i="1"/>
  <c r="AS286" i="1"/>
  <c r="O286" i="1"/>
  <c r="AS278" i="1"/>
  <c r="O278" i="1"/>
  <c r="AS266" i="1"/>
  <c r="O266" i="1"/>
  <c r="AS254" i="1"/>
  <c r="O254" i="1"/>
  <c r="AS242" i="1"/>
  <c r="O242" i="1"/>
  <c r="AS230" i="1"/>
  <c r="O230" i="1"/>
  <c r="AS218" i="1"/>
  <c r="O218" i="1"/>
  <c r="AS206" i="1"/>
  <c r="O206" i="1"/>
  <c r="AS190" i="1"/>
  <c r="O190" i="1"/>
  <c r="AS178" i="1"/>
  <c r="O178" i="1"/>
  <c r="AS166" i="1"/>
  <c r="O166" i="1"/>
  <c r="AS154" i="1"/>
  <c r="O154" i="1"/>
  <c r="AS138" i="1"/>
  <c r="O138" i="1"/>
  <c r="AS126" i="1"/>
  <c r="O126" i="1"/>
  <c r="AS118" i="1"/>
  <c r="O118" i="1"/>
  <c r="AS102" i="1"/>
  <c r="O102" i="1"/>
  <c r="AS86" i="1"/>
  <c r="O86" i="1"/>
  <c r="AS70" i="1"/>
  <c r="O70" i="1"/>
  <c r="AS14" i="1"/>
  <c r="O14" i="1"/>
  <c r="AS999" i="1"/>
  <c r="O999" i="1"/>
  <c r="AS995" i="1"/>
  <c r="O995" i="1"/>
  <c r="AS991" i="1"/>
  <c r="O991" i="1"/>
  <c r="AS987" i="1"/>
  <c r="O987" i="1"/>
  <c r="AS983" i="1"/>
  <c r="O983" i="1"/>
  <c r="AS979" i="1"/>
  <c r="O979" i="1"/>
  <c r="AS975" i="1"/>
  <c r="O975" i="1"/>
  <c r="AS971" i="1"/>
  <c r="O971" i="1"/>
  <c r="AS967" i="1"/>
  <c r="O967" i="1"/>
  <c r="AS963" i="1"/>
  <c r="O963" i="1"/>
  <c r="AS959" i="1"/>
  <c r="O959" i="1"/>
  <c r="AS955" i="1"/>
  <c r="O955" i="1"/>
  <c r="AS951" i="1"/>
  <c r="O951" i="1"/>
  <c r="AS947" i="1"/>
  <c r="O947" i="1"/>
  <c r="AS943" i="1"/>
  <c r="O943" i="1"/>
  <c r="AS939" i="1"/>
  <c r="O939" i="1"/>
  <c r="AS935" i="1"/>
  <c r="O935" i="1"/>
  <c r="AS931" i="1"/>
  <c r="O931" i="1"/>
  <c r="AS927" i="1"/>
  <c r="O927" i="1"/>
  <c r="AS923" i="1"/>
  <c r="O923" i="1"/>
  <c r="AS919" i="1"/>
  <c r="O919" i="1"/>
  <c r="AS915" i="1"/>
  <c r="O915" i="1"/>
  <c r="AS911" i="1"/>
  <c r="O911" i="1"/>
  <c r="AS907" i="1"/>
  <c r="O907" i="1"/>
  <c r="AS903" i="1"/>
  <c r="O903" i="1"/>
  <c r="AS899" i="1"/>
  <c r="O899" i="1"/>
  <c r="AS895" i="1"/>
  <c r="O895" i="1"/>
  <c r="AS891" i="1"/>
  <c r="O891" i="1"/>
  <c r="AS887" i="1"/>
  <c r="O887" i="1"/>
  <c r="AS883" i="1"/>
  <c r="O883" i="1"/>
  <c r="AS879" i="1"/>
  <c r="O879" i="1"/>
  <c r="AS875" i="1"/>
  <c r="O875" i="1"/>
  <c r="AS871" i="1"/>
  <c r="O871" i="1"/>
  <c r="AS867" i="1"/>
  <c r="O867" i="1"/>
  <c r="AS863" i="1"/>
  <c r="O863" i="1"/>
  <c r="AS859" i="1"/>
  <c r="O859" i="1"/>
  <c r="AS855" i="1"/>
  <c r="O855" i="1"/>
  <c r="AS851" i="1"/>
  <c r="O851" i="1"/>
  <c r="AS847" i="1"/>
  <c r="O847" i="1"/>
  <c r="AS843" i="1"/>
  <c r="O843" i="1"/>
  <c r="AS839" i="1"/>
  <c r="O839" i="1"/>
  <c r="AS835" i="1"/>
  <c r="O835" i="1"/>
  <c r="AS831" i="1"/>
  <c r="O831" i="1"/>
  <c r="AS827" i="1"/>
  <c r="O827" i="1"/>
  <c r="AS823" i="1"/>
  <c r="O823" i="1"/>
  <c r="AS819" i="1"/>
  <c r="O819" i="1"/>
  <c r="AS815" i="1"/>
  <c r="O815" i="1"/>
  <c r="AS811" i="1"/>
  <c r="O811" i="1"/>
  <c r="AS807" i="1"/>
  <c r="O807" i="1"/>
  <c r="AS803" i="1"/>
  <c r="O803" i="1"/>
  <c r="AS799" i="1"/>
  <c r="O799" i="1"/>
  <c r="AS795" i="1"/>
  <c r="O795" i="1"/>
  <c r="AS791" i="1"/>
  <c r="O791" i="1"/>
  <c r="AS787" i="1"/>
  <c r="O787" i="1"/>
  <c r="AS783" i="1"/>
  <c r="O783" i="1"/>
  <c r="AS779" i="1"/>
  <c r="O779" i="1"/>
  <c r="AS775" i="1"/>
  <c r="O775" i="1"/>
  <c r="AS771" i="1"/>
  <c r="O771" i="1"/>
  <c r="AS767" i="1"/>
  <c r="O767" i="1"/>
  <c r="AS763" i="1"/>
  <c r="O763" i="1"/>
  <c r="AS759" i="1"/>
  <c r="O759" i="1"/>
  <c r="AS755" i="1"/>
  <c r="O755" i="1"/>
  <c r="AS751" i="1"/>
  <c r="O751" i="1"/>
  <c r="AS747" i="1"/>
  <c r="O747" i="1"/>
  <c r="AS743" i="1"/>
  <c r="O743" i="1"/>
  <c r="AS739" i="1"/>
  <c r="O739" i="1"/>
  <c r="AS735" i="1"/>
  <c r="O735" i="1"/>
  <c r="AS731" i="1"/>
  <c r="O731" i="1"/>
  <c r="AS727" i="1"/>
  <c r="O727" i="1"/>
  <c r="AS723" i="1"/>
  <c r="O723" i="1"/>
  <c r="AS719" i="1"/>
  <c r="O719" i="1"/>
  <c r="AS715" i="1"/>
  <c r="O715" i="1"/>
  <c r="AS711" i="1"/>
  <c r="O711" i="1"/>
  <c r="AS707" i="1"/>
  <c r="O707" i="1"/>
  <c r="AS703" i="1"/>
  <c r="O703" i="1"/>
  <c r="AS699" i="1"/>
  <c r="O699" i="1"/>
  <c r="AS695" i="1"/>
  <c r="O695" i="1"/>
  <c r="AS691" i="1"/>
  <c r="O691" i="1"/>
  <c r="AS687" i="1"/>
  <c r="O687" i="1"/>
  <c r="AS683" i="1"/>
  <c r="O683" i="1"/>
  <c r="AS679" i="1"/>
  <c r="O679" i="1"/>
  <c r="AS675" i="1"/>
  <c r="O675" i="1"/>
  <c r="AS671" i="1"/>
  <c r="O671" i="1"/>
  <c r="AS667" i="1"/>
  <c r="O667" i="1"/>
  <c r="AS663" i="1"/>
  <c r="O663" i="1"/>
  <c r="AS659" i="1"/>
  <c r="O659" i="1"/>
  <c r="AS655" i="1"/>
  <c r="O655" i="1"/>
  <c r="AS651" i="1"/>
  <c r="O651" i="1"/>
  <c r="AS647" i="1"/>
  <c r="O647" i="1"/>
  <c r="AS643" i="1"/>
  <c r="O643" i="1"/>
  <c r="AS639" i="1"/>
  <c r="O639" i="1"/>
  <c r="AS635" i="1"/>
  <c r="O635" i="1"/>
  <c r="AS631" i="1"/>
  <c r="O631" i="1"/>
  <c r="AS627" i="1"/>
  <c r="O627" i="1"/>
  <c r="AS623" i="1"/>
  <c r="O623" i="1"/>
  <c r="AS619" i="1"/>
  <c r="O619" i="1"/>
  <c r="AS615" i="1"/>
  <c r="O615" i="1"/>
  <c r="AS611" i="1"/>
  <c r="O611" i="1"/>
  <c r="AS607" i="1"/>
  <c r="O607" i="1"/>
  <c r="AS603" i="1"/>
  <c r="O603" i="1"/>
  <c r="AS599" i="1"/>
  <c r="O599" i="1"/>
  <c r="AS595" i="1"/>
  <c r="O595" i="1"/>
  <c r="AS591" i="1"/>
  <c r="O591" i="1"/>
  <c r="AS587" i="1"/>
  <c r="O587" i="1"/>
  <c r="AS583" i="1"/>
  <c r="O583" i="1"/>
  <c r="AS579" i="1"/>
  <c r="O579" i="1"/>
  <c r="AS575" i="1"/>
  <c r="O575" i="1"/>
  <c r="AS571" i="1"/>
  <c r="O571" i="1"/>
  <c r="AS567" i="1"/>
  <c r="O567" i="1"/>
  <c r="AS563" i="1"/>
  <c r="O563" i="1"/>
  <c r="AS559" i="1"/>
  <c r="O559" i="1"/>
  <c r="AS555" i="1"/>
  <c r="O555" i="1"/>
  <c r="AS551" i="1"/>
  <c r="O551" i="1"/>
  <c r="AS547" i="1"/>
  <c r="O547" i="1"/>
  <c r="AS543" i="1"/>
  <c r="O543" i="1"/>
  <c r="AS539" i="1"/>
  <c r="O539" i="1"/>
  <c r="AS535" i="1"/>
  <c r="O535" i="1"/>
  <c r="AS531" i="1"/>
  <c r="O531" i="1"/>
  <c r="AS527" i="1"/>
  <c r="O527" i="1"/>
  <c r="AS523" i="1"/>
  <c r="O523" i="1"/>
  <c r="AS519" i="1"/>
  <c r="O519" i="1"/>
  <c r="AS515" i="1"/>
  <c r="O515" i="1"/>
  <c r="AS511" i="1"/>
  <c r="O511" i="1"/>
  <c r="AS507" i="1"/>
  <c r="O507" i="1"/>
  <c r="AS503" i="1"/>
  <c r="O503" i="1"/>
  <c r="AS499" i="1"/>
  <c r="O499" i="1"/>
  <c r="AS495" i="1"/>
  <c r="O495" i="1"/>
  <c r="AS491" i="1"/>
  <c r="O491" i="1"/>
  <c r="AS487" i="1"/>
  <c r="O487" i="1"/>
  <c r="AS483" i="1"/>
  <c r="O483" i="1"/>
  <c r="AS479" i="1"/>
  <c r="O479" i="1"/>
  <c r="AS475" i="1"/>
  <c r="O475" i="1"/>
  <c r="AS471" i="1"/>
  <c r="O471" i="1"/>
  <c r="AS467" i="1"/>
  <c r="O467" i="1"/>
  <c r="AS463" i="1"/>
  <c r="O463" i="1"/>
  <c r="AS459" i="1"/>
  <c r="O459" i="1"/>
  <c r="AS455" i="1"/>
  <c r="O455" i="1"/>
  <c r="AS451" i="1"/>
  <c r="O451" i="1"/>
  <c r="AS447" i="1"/>
  <c r="O447" i="1"/>
  <c r="AS443" i="1"/>
  <c r="O443" i="1"/>
  <c r="AS439" i="1"/>
  <c r="O439" i="1"/>
  <c r="AS435" i="1"/>
  <c r="O435" i="1"/>
  <c r="AS431" i="1"/>
  <c r="O431" i="1"/>
  <c r="AS427" i="1"/>
  <c r="O427" i="1"/>
  <c r="AS423" i="1"/>
  <c r="O423" i="1"/>
  <c r="AS419" i="1"/>
  <c r="O419" i="1"/>
  <c r="AS415" i="1"/>
  <c r="O415" i="1"/>
  <c r="AS411" i="1"/>
  <c r="O411" i="1"/>
  <c r="AS407" i="1"/>
  <c r="O407" i="1"/>
  <c r="AS403" i="1"/>
  <c r="O403" i="1"/>
  <c r="AS399" i="1"/>
  <c r="O399" i="1"/>
  <c r="AS395" i="1"/>
  <c r="O395" i="1"/>
  <c r="AS391" i="1"/>
  <c r="O391" i="1"/>
  <c r="AS387" i="1"/>
  <c r="O387" i="1"/>
  <c r="AS383" i="1"/>
  <c r="O383" i="1"/>
  <c r="AS379" i="1"/>
  <c r="O379" i="1"/>
  <c r="AS375" i="1"/>
  <c r="O375" i="1"/>
  <c r="AS371" i="1"/>
  <c r="O371" i="1"/>
  <c r="AS367" i="1"/>
  <c r="O367" i="1"/>
  <c r="AS363" i="1"/>
  <c r="O363" i="1"/>
  <c r="AS359" i="1"/>
  <c r="O359" i="1"/>
  <c r="AS355" i="1"/>
  <c r="O355" i="1"/>
  <c r="AS351" i="1"/>
  <c r="O351" i="1"/>
  <c r="AS347" i="1"/>
  <c r="O347" i="1"/>
  <c r="AS343" i="1"/>
  <c r="O343" i="1"/>
  <c r="AS339" i="1"/>
  <c r="O339" i="1"/>
  <c r="AS335" i="1"/>
  <c r="O335" i="1"/>
  <c r="AS331" i="1"/>
  <c r="O331" i="1"/>
  <c r="AS327" i="1"/>
  <c r="O327" i="1"/>
  <c r="AS323" i="1"/>
  <c r="O323" i="1"/>
  <c r="AS319" i="1"/>
  <c r="O319" i="1"/>
  <c r="AS315" i="1"/>
  <c r="O315" i="1"/>
  <c r="AS311" i="1"/>
  <c r="O311" i="1"/>
  <c r="AS307" i="1"/>
  <c r="O307" i="1"/>
  <c r="AS303" i="1"/>
  <c r="O303" i="1"/>
  <c r="AS299" i="1"/>
  <c r="O299" i="1"/>
  <c r="AS295" i="1"/>
  <c r="O295" i="1"/>
  <c r="AS291" i="1"/>
  <c r="O291" i="1"/>
  <c r="AS287" i="1"/>
  <c r="O287" i="1"/>
  <c r="AS283" i="1"/>
  <c r="O283" i="1"/>
  <c r="AS279" i="1"/>
  <c r="O279" i="1"/>
  <c r="AS275" i="1"/>
  <c r="O275" i="1"/>
  <c r="AS271" i="1"/>
  <c r="O271" i="1"/>
  <c r="AS267" i="1"/>
  <c r="O267" i="1"/>
  <c r="AS263" i="1"/>
  <c r="O263" i="1"/>
  <c r="AS259" i="1"/>
  <c r="O259" i="1"/>
  <c r="AS255" i="1"/>
  <c r="O255" i="1"/>
  <c r="AS251" i="1"/>
  <c r="O251" i="1"/>
  <c r="AS247" i="1"/>
  <c r="O247" i="1"/>
  <c r="AS243" i="1"/>
  <c r="O243" i="1"/>
  <c r="AS239" i="1"/>
  <c r="O239" i="1"/>
  <c r="AS235" i="1"/>
  <c r="O235" i="1"/>
  <c r="AS231" i="1"/>
  <c r="O231" i="1"/>
  <c r="AS227" i="1"/>
  <c r="O227" i="1"/>
  <c r="AS223" i="1"/>
  <c r="O223" i="1"/>
  <c r="AS219" i="1"/>
  <c r="O219" i="1"/>
  <c r="AS215" i="1"/>
  <c r="O215" i="1"/>
  <c r="AS211" i="1"/>
  <c r="O211" i="1"/>
  <c r="AS207" i="1"/>
  <c r="O207" i="1"/>
  <c r="AS203" i="1"/>
  <c r="O203" i="1"/>
  <c r="AS199" i="1"/>
  <c r="O199" i="1"/>
  <c r="AS195" i="1"/>
  <c r="O195" i="1"/>
  <c r="AS191" i="1"/>
  <c r="O191" i="1"/>
  <c r="AS187" i="1"/>
  <c r="O187" i="1"/>
  <c r="AS183" i="1"/>
  <c r="O183" i="1"/>
  <c r="AS179" i="1"/>
  <c r="O179" i="1"/>
  <c r="AS175" i="1"/>
  <c r="O175" i="1"/>
  <c r="AS171" i="1"/>
  <c r="O171" i="1"/>
  <c r="AS167" i="1"/>
  <c r="O167" i="1"/>
  <c r="AS163" i="1"/>
  <c r="O163" i="1"/>
  <c r="AS159" i="1"/>
  <c r="O159" i="1"/>
  <c r="AS155" i="1"/>
  <c r="O155" i="1"/>
  <c r="AS151" i="1"/>
  <c r="O151" i="1"/>
  <c r="AS147" i="1"/>
  <c r="O147" i="1"/>
  <c r="AS143" i="1"/>
  <c r="O143" i="1"/>
  <c r="AS139" i="1"/>
  <c r="O139" i="1"/>
  <c r="AS135" i="1"/>
  <c r="O135" i="1"/>
  <c r="AS131" i="1"/>
  <c r="O131" i="1"/>
  <c r="AS127" i="1"/>
  <c r="O127" i="1"/>
  <c r="AS123" i="1"/>
  <c r="O123" i="1"/>
  <c r="AS119" i="1"/>
  <c r="O119" i="1"/>
  <c r="AS115" i="1"/>
  <c r="O115" i="1"/>
  <c r="AS111" i="1"/>
  <c r="O111" i="1"/>
  <c r="AS107" i="1"/>
  <c r="O107" i="1"/>
  <c r="AS103" i="1"/>
  <c r="O103" i="1"/>
  <c r="AS99" i="1"/>
  <c r="O99" i="1"/>
  <c r="AS95" i="1"/>
  <c r="O95" i="1"/>
  <c r="AS91" i="1"/>
  <c r="O91" i="1"/>
  <c r="AS87" i="1"/>
  <c r="O87" i="1"/>
  <c r="AS83" i="1"/>
  <c r="O83" i="1"/>
  <c r="AS79" i="1"/>
  <c r="O79" i="1"/>
  <c r="AS75" i="1"/>
  <c r="O75" i="1"/>
  <c r="AS71" i="1"/>
  <c r="O71" i="1"/>
  <c r="AS67" i="1"/>
  <c r="O67" i="1"/>
  <c r="AS63" i="1"/>
  <c r="O63" i="1"/>
  <c r="AS59" i="1"/>
  <c r="O59" i="1"/>
  <c r="AS55" i="1"/>
  <c r="O55" i="1"/>
  <c r="AS51" i="1"/>
  <c r="O51" i="1"/>
  <c r="AS47" i="1"/>
  <c r="O47" i="1"/>
  <c r="AS43" i="1"/>
  <c r="O43" i="1"/>
  <c r="AS39" i="1"/>
  <c r="O39" i="1"/>
  <c r="AS35" i="1"/>
  <c r="O35" i="1"/>
  <c r="AS31" i="1"/>
  <c r="O31" i="1"/>
  <c r="AS27" i="1"/>
  <c r="O27" i="1"/>
  <c r="AS23" i="1"/>
  <c r="O23" i="1"/>
  <c r="AS19" i="1"/>
  <c r="O19" i="1"/>
  <c r="AS15" i="1"/>
  <c r="O15" i="1"/>
  <c r="AS11" i="1"/>
  <c r="O11" i="1"/>
  <c r="AS7" i="1"/>
  <c r="O7" i="1"/>
  <c r="AS3" i="1"/>
  <c r="O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2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2" i="1"/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2" i="1"/>
  <c r="AR1001" i="1" l="1"/>
  <c r="AR1000" i="1"/>
  <c r="AR999" i="1"/>
  <c r="AR998" i="1"/>
  <c r="AR997" i="1"/>
  <c r="AR996" i="1"/>
  <c r="AR995" i="1"/>
  <c r="AR994" i="1"/>
  <c r="AR993" i="1"/>
  <c r="AR992" i="1"/>
  <c r="AR991" i="1"/>
  <c r="AR990" i="1"/>
  <c r="AR989" i="1"/>
  <c r="AR988" i="1"/>
  <c r="AR987" i="1"/>
  <c r="AR986" i="1"/>
  <c r="AR985" i="1"/>
  <c r="AR984" i="1"/>
  <c r="AR983" i="1"/>
  <c r="AR982" i="1"/>
  <c r="AR981" i="1"/>
  <c r="AR980" i="1"/>
  <c r="AR979" i="1"/>
  <c r="AR978" i="1"/>
  <c r="AR977" i="1"/>
  <c r="AR976" i="1"/>
  <c r="AR975" i="1"/>
  <c r="AR974" i="1"/>
  <c r="AR973" i="1"/>
  <c r="AR972" i="1"/>
  <c r="AR971" i="1"/>
  <c r="AR970" i="1"/>
  <c r="AR969" i="1"/>
  <c r="AR968" i="1"/>
  <c r="AR967" i="1"/>
  <c r="AR966" i="1"/>
  <c r="AR965" i="1"/>
  <c r="AR964" i="1"/>
  <c r="AR963" i="1"/>
  <c r="AR962" i="1"/>
  <c r="AR961" i="1"/>
  <c r="AR960" i="1"/>
  <c r="AR959" i="1"/>
  <c r="AR958" i="1"/>
  <c r="AR957" i="1"/>
  <c r="AR956" i="1"/>
  <c r="AR955" i="1"/>
  <c r="AR954" i="1"/>
  <c r="AR953" i="1"/>
  <c r="AR952" i="1"/>
  <c r="AR951" i="1"/>
  <c r="AR950" i="1"/>
  <c r="AR949" i="1"/>
  <c r="AR948" i="1"/>
  <c r="AR947" i="1"/>
  <c r="AR946" i="1"/>
  <c r="AR945" i="1"/>
  <c r="AR944" i="1"/>
  <c r="AR943" i="1"/>
  <c r="AR942" i="1"/>
  <c r="AR941" i="1"/>
  <c r="AR940" i="1"/>
  <c r="AR939" i="1"/>
  <c r="AR938" i="1"/>
  <c r="AR937" i="1"/>
  <c r="AR936" i="1"/>
  <c r="AR935" i="1"/>
  <c r="AR934" i="1"/>
  <c r="AR933" i="1"/>
  <c r="AR932" i="1"/>
  <c r="AR931" i="1"/>
  <c r="AR930" i="1"/>
  <c r="AR929" i="1"/>
  <c r="AR928" i="1"/>
  <c r="AR927" i="1"/>
  <c r="AR926" i="1"/>
  <c r="AR925" i="1"/>
  <c r="AR924" i="1"/>
  <c r="AR923" i="1"/>
  <c r="AR922" i="1"/>
  <c r="AR921" i="1"/>
  <c r="AR920" i="1"/>
  <c r="AR919" i="1"/>
  <c r="AR918" i="1"/>
  <c r="AR917" i="1"/>
  <c r="AR916" i="1"/>
  <c r="AR915" i="1"/>
  <c r="AR914" i="1"/>
  <c r="AR913" i="1"/>
  <c r="AR912" i="1"/>
  <c r="AR911" i="1"/>
  <c r="AR910" i="1"/>
  <c r="AR909" i="1"/>
  <c r="AR908" i="1"/>
  <c r="AR907" i="1"/>
  <c r="AR906" i="1"/>
  <c r="AR905" i="1"/>
  <c r="AR904" i="1"/>
  <c r="AR903" i="1"/>
  <c r="AR902" i="1"/>
  <c r="AR901" i="1"/>
  <c r="AR900" i="1"/>
  <c r="AR899" i="1"/>
  <c r="AR898" i="1"/>
  <c r="AR897" i="1"/>
  <c r="AR896" i="1"/>
  <c r="AR895" i="1"/>
  <c r="AR894" i="1"/>
  <c r="AR893" i="1"/>
  <c r="AR892" i="1"/>
  <c r="AR891" i="1"/>
  <c r="AR890" i="1"/>
  <c r="AR889" i="1"/>
  <c r="AR888" i="1"/>
  <c r="AR887" i="1"/>
  <c r="AR886" i="1"/>
  <c r="AR885" i="1"/>
  <c r="AR884" i="1"/>
  <c r="AR883" i="1"/>
  <c r="AR882" i="1"/>
  <c r="AR881" i="1"/>
  <c r="AR880" i="1"/>
  <c r="AR879" i="1"/>
  <c r="AR878" i="1"/>
  <c r="AR877" i="1"/>
  <c r="AR876" i="1"/>
  <c r="AR875" i="1"/>
  <c r="AR874" i="1"/>
  <c r="AR873" i="1"/>
  <c r="AR872" i="1"/>
  <c r="AR871" i="1"/>
  <c r="AR870" i="1"/>
  <c r="AR869" i="1"/>
  <c r="AR868" i="1"/>
  <c r="AR867" i="1"/>
  <c r="AR866" i="1"/>
  <c r="AR865" i="1"/>
  <c r="AR864" i="1"/>
  <c r="AR863" i="1"/>
  <c r="AR862" i="1"/>
  <c r="AR861" i="1"/>
  <c r="AR860" i="1"/>
  <c r="AR859" i="1"/>
  <c r="AR858" i="1"/>
  <c r="AR857" i="1"/>
  <c r="AR856" i="1"/>
  <c r="AR855" i="1"/>
  <c r="AR854" i="1"/>
  <c r="AR853" i="1"/>
  <c r="AR852" i="1"/>
  <c r="AR851" i="1"/>
  <c r="AR850" i="1"/>
  <c r="AR849" i="1"/>
  <c r="AR848" i="1"/>
  <c r="AR847" i="1"/>
  <c r="AR846" i="1"/>
  <c r="AR845" i="1"/>
  <c r="AR844" i="1"/>
  <c r="AR843" i="1"/>
  <c r="AR842" i="1"/>
  <c r="AR841" i="1"/>
  <c r="AR840" i="1"/>
  <c r="AR839" i="1"/>
  <c r="AR838" i="1"/>
  <c r="AR837" i="1"/>
  <c r="AR836" i="1"/>
  <c r="AR835" i="1"/>
  <c r="AR834" i="1"/>
  <c r="AR833" i="1"/>
  <c r="AR832" i="1"/>
  <c r="AR831" i="1"/>
  <c r="AR830" i="1"/>
  <c r="AR829" i="1"/>
  <c r="AR828" i="1"/>
  <c r="AR827" i="1"/>
  <c r="AR826" i="1"/>
  <c r="AR825" i="1"/>
  <c r="AR824" i="1"/>
  <c r="AR823" i="1"/>
  <c r="AR822" i="1"/>
  <c r="AR821" i="1"/>
  <c r="AR820" i="1"/>
  <c r="AR819" i="1"/>
  <c r="AR818" i="1"/>
  <c r="AR817" i="1"/>
  <c r="AR816" i="1"/>
  <c r="AR815" i="1"/>
  <c r="AR814" i="1"/>
  <c r="AR813" i="1"/>
  <c r="AR812" i="1"/>
  <c r="AR811" i="1"/>
  <c r="AR810" i="1"/>
  <c r="AR809" i="1"/>
  <c r="AR808" i="1"/>
  <c r="AR807" i="1"/>
  <c r="AR806" i="1"/>
  <c r="AR805" i="1"/>
  <c r="AR804" i="1"/>
  <c r="AR803" i="1"/>
  <c r="AR802" i="1"/>
  <c r="AR801" i="1"/>
  <c r="AR800" i="1"/>
  <c r="AR799" i="1"/>
  <c r="AR798" i="1"/>
  <c r="AR797" i="1"/>
  <c r="AR796" i="1"/>
  <c r="AR795" i="1"/>
  <c r="AR794" i="1"/>
  <c r="AR793" i="1"/>
  <c r="AR792" i="1"/>
  <c r="AR791" i="1"/>
  <c r="AR790" i="1"/>
  <c r="AR789" i="1"/>
  <c r="AR788" i="1"/>
  <c r="AR787" i="1"/>
  <c r="AR786" i="1"/>
  <c r="AR785" i="1"/>
  <c r="AR784" i="1"/>
  <c r="AR783" i="1"/>
  <c r="AR782" i="1"/>
  <c r="AR781" i="1"/>
  <c r="AR780" i="1"/>
  <c r="AR779" i="1"/>
  <c r="AR778" i="1"/>
  <c r="AR777" i="1"/>
  <c r="AR776" i="1"/>
  <c r="AR775" i="1"/>
  <c r="AR774" i="1"/>
  <c r="AR773" i="1"/>
  <c r="AR772" i="1"/>
  <c r="AR771" i="1"/>
  <c r="AR770" i="1"/>
  <c r="AR769" i="1"/>
  <c r="AR768" i="1"/>
  <c r="AR767" i="1"/>
  <c r="AR766" i="1"/>
  <c r="AR765" i="1"/>
  <c r="AR764" i="1"/>
  <c r="AR763" i="1"/>
  <c r="AR762" i="1"/>
  <c r="AR761" i="1"/>
  <c r="AR760" i="1"/>
  <c r="AR759" i="1"/>
  <c r="AR758" i="1"/>
  <c r="AR757" i="1"/>
  <c r="AR756" i="1"/>
  <c r="AR755" i="1"/>
  <c r="AR754" i="1"/>
  <c r="AR753" i="1"/>
  <c r="AR752" i="1"/>
  <c r="AR751" i="1"/>
  <c r="AR750" i="1"/>
  <c r="AR749" i="1"/>
  <c r="AR748" i="1"/>
  <c r="AR747" i="1"/>
  <c r="AR746" i="1"/>
  <c r="AR745" i="1"/>
  <c r="AR744" i="1"/>
  <c r="AR743" i="1"/>
  <c r="AR742" i="1"/>
  <c r="AR741" i="1"/>
  <c r="AR740" i="1"/>
  <c r="AR739" i="1"/>
  <c r="AR738" i="1"/>
  <c r="AR737" i="1"/>
  <c r="AR736" i="1"/>
  <c r="AR735" i="1"/>
  <c r="AR734" i="1"/>
  <c r="AR733" i="1"/>
  <c r="AR732" i="1"/>
  <c r="AR731" i="1"/>
  <c r="AR730" i="1"/>
  <c r="AR729" i="1"/>
  <c r="AR728" i="1"/>
  <c r="AR727" i="1"/>
  <c r="AR726" i="1"/>
  <c r="AR725" i="1"/>
  <c r="AR724" i="1"/>
  <c r="AR723" i="1"/>
  <c r="AR722" i="1"/>
  <c r="AR721" i="1"/>
  <c r="AR720" i="1"/>
  <c r="AR719" i="1"/>
  <c r="AR718" i="1"/>
  <c r="AR717" i="1"/>
  <c r="AR716" i="1"/>
  <c r="AR715" i="1"/>
  <c r="AR714" i="1"/>
  <c r="AR713" i="1"/>
  <c r="AR712" i="1"/>
  <c r="AR711" i="1"/>
  <c r="AR710" i="1"/>
  <c r="AR709" i="1"/>
  <c r="AR708" i="1"/>
  <c r="AR707" i="1"/>
  <c r="AR706" i="1"/>
  <c r="AR705" i="1"/>
  <c r="AR704" i="1"/>
  <c r="AR703" i="1"/>
  <c r="AR702" i="1"/>
  <c r="AR701" i="1"/>
  <c r="AR700" i="1"/>
  <c r="AR699" i="1"/>
  <c r="AR698" i="1"/>
  <c r="AR697" i="1"/>
  <c r="AR696" i="1"/>
  <c r="AR695" i="1"/>
  <c r="AR694" i="1"/>
  <c r="AR693" i="1"/>
  <c r="AR692" i="1"/>
  <c r="AR691" i="1"/>
  <c r="AR690" i="1"/>
  <c r="AR689" i="1"/>
  <c r="AR688" i="1"/>
  <c r="AR687" i="1"/>
  <c r="AR686" i="1"/>
  <c r="AR685" i="1"/>
  <c r="AR684" i="1"/>
  <c r="AR683" i="1"/>
  <c r="AR682" i="1"/>
  <c r="AR681" i="1"/>
  <c r="AR680" i="1"/>
  <c r="AR679" i="1"/>
  <c r="AR678" i="1"/>
  <c r="AR677" i="1"/>
  <c r="AR676" i="1"/>
  <c r="AR675" i="1"/>
  <c r="AR674" i="1"/>
  <c r="AR673" i="1"/>
  <c r="AR672" i="1"/>
  <c r="AR671" i="1"/>
  <c r="AR670" i="1"/>
  <c r="AR669" i="1"/>
  <c r="AR668" i="1"/>
  <c r="AR667" i="1"/>
  <c r="AR666" i="1"/>
  <c r="AR665" i="1"/>
  <c r="AR664" i="1"/>
  <c r="AR663" i="1"/>
  <c r="AR662" i="1"/>
  <c r="AR661" i="1"/>
  <c r="AR660" i="1"/>
  <c r="AR659" i="1"/>
  <c r="AR658" i="1"/>
  <c r="AR657" i="1"/>
  <c r="AR656" i="1"/>
  <c r="AR655" i="1"/>
  <c r="AR654" i="1"/>
  <c r="AR653" i="1"/>
  <c r="AR652" i="1"/>
  <c r="AR651" i="1"/>
  <c r="AR650" i="1"/>
  <c r="AR649" i="1"/>
  <c r="AR648" i="1"/>
  <c r="AR647" i="1"/>
  <c r="AR646" i="1"/>
  <c r="AR645" i="1"/>
  <c r="AR644" i="1"/>
  <c r="AR643" i="1"/>
  <c r="AR642" i="1"/>
  <c r="AR641" i="1"/>
  <c r="AR640" i="1"/>
  <c r="AR639" i="1"/>
  <c r="AR638" i="1"/>
  <c r="AR637" i="1"/>
  <c r="AR636" i="1"/>
  <c r="AR635" i="1"/>
  <c r="AR634" i="1"/>
  <c r="AR633" i="1"/>
  <c r="AR632" i="1"/>
  <c r="AR631" i="1"/>
  <c r="AR630" i="1"/>
  <c r="AR629" i="1"/>
  <c r="AR628" i="1"/>
  <c r="AR627" i="1"/>
  <c r="AR626" i="1"/>
  <c r="AR625" i="1"/>
  <c r="AR624" i="1"/>
  <c r="AR623" i="1"/>
  <c r="AR622" i="1"/>
  <c r="AR621" i="1"/>
  <c r="AR620" i="1"/>
  <c r="AR619" i="1"/>
  <c r="AR618" i="1"/>
  <c r="AR617" i="1"/>
  <c r="AR616" i="1"/>
  <c r="AR615" i="1"/>
  <c r="AR614" i="1"/>
  <c r="AR613" i="1"/>
  <c r="AR612" i="1"/>
  <c r="AR611" i="1"/>
  <c r="AR610" i="1"/>
  <c r="AR609" i="1"/>
  <c r="AR608" i="1"/>
  <c r="AR607" i="1"/>
  <c r="AR606" i="1"/>
  <c r="AR605" i="1"/>
  <c r="AR604" i="1"/>
  <c r="AR603" i="1"/>
  <c r="AR602" i="1"/>
  <c r="AR601" i="1"/>
  <c r="AR600" i="1"/>
  <c r="AR599" i="1"/>
  <c r="AR598" i="1"/>
  <c r="AR597" i="1"/>
  <c r="AR596" i="1"/>
  <c r="AR595" i="1"/>
  <c r="AR594" i="1"/>
  <c r="AR593" i="1"/>
  <c r="AR592" i="1"/>
  <c r="AR591" i="1"/>
  <c r="AR590" i="1"/>
  <c r="AR589" i="1"/>
  <c r="AR588" i="1"/>
  <c r="AR587" i="1"/>
  <c r="AR586" i="1"/>
  <c r="AR585" i="1"/>
  <c r="AR584" i="1"/>
  <c r="AR583" i="1"/>
  <c r="AR582" i="1"/>
  <c r="AR581" i="1"/>
  <c r="AR580" i="1"/>
  <c r="AR579" i="1"/>
  <c r="AR578" i="1"/>
  <c r="AR577" i="1"/>
  <c r="AR576" i="1"/>
  <c r="AR575" i="1"/>
  <c r="AR574" i="1"/>
  <c r="AR573" i="1"/>
  <c r="AR572" i="1"/>
  <c r="AR571" i="1"/>
  <c r="AR570" i="1"/>
  <c r="AR569" i="1"/>
  <c r="AR568" i="1"/>
  <c r="AR567" i="1"/>
  <c r="AR566" i="1"/>
  <c r="AR565" i="1"/>
  <c r="AR564" i="1"/>
  <c r="AR563" i="1"/>
  <c r="AR562" i="1"/>
  <c r="AR561" i="1"/>
  <c r="AR560" i="1"/>
  <c r="AR559" i="1"/>
  <c r="AR558" i="1"/>
  <c r="AR557" i="1"/>
  <c r="AR556" i="1"/>
  <c r="AR555" i="1"/>
  <c r="AR554" i="1"/>
  <c r="AR553" i="1"/>
  <c r="AR552" i="1"/>
  <c r="AR551" i="1"/>
  <c r="AR550" i="1"/>
  <c r="AR549" i="1"/>
  <c r="AR548" i="1"/>
  <c r="AR547" i="1"/>
  <c r="AR546" i="1"/>
  <c r="AR545" i="1"/>
  <c r="AR544" i="1"/>
  <c r="AR543" i="1"/>
  <c r="AR542" i="1"/>
  <c r="AR541" i="1"/>
  <c r="AR540" i="1"/>
  <c r="AR539" i="1"/>
  <c r="AR538" i="1"/>
  <c r="AR537" i="1"/>
  <c r="AR536" i="1"/>
  <c r="AR535" i="1"/>
  <c r="AR534" i="1"/>
  <c r="AR533" i="1"/>
  <c r="AR532" i="1"/>
  <c r="AR531" i="1"/>
  <c r="AR530" i="1"/>
  <c r="AR529" i="1"/>
  <c r="AR528" i="1"/>
  <c r="AR527" i="1"/>
  <c r="AR526" i="1"/>
  <c r="AR525" i="1"/>
  <c r="AR524" i="1"/>
  <c r="AR523" i="1"/>
  <c r="AR522" i="1"/>
  <c r="AR521" i="1"/>
  <c r="AR520" i="1"/>
  <c r="AR519" i="1"/>
  <c r="AR518" i="1"/>
  <c r="AR517" i="1"/>
  <c r="AR516" i="1"/>
  <c r="AR515" i="1"/>
  <c r="AR514" i="1"/>
  <c r="AR513" i="1"/>
  <c r="AR512" i="1"/>
  <c r="AR511" i="1"/>
  <c r="AR510" i="1"/>
  <c r="AR509" i="1"/>
  <c r="AR508" i="1"/>
  <c r="AR507" i="1"/>
  <c r="AR506" i="1"/>
  <c r="AR505" i="1"/>
  <c r="AR504" i="1"/>
  <c r="AR503" i="1"/>
  <c r="AR502" i="1"/>
  <c r="AR501" i="1"/>
  <c r="AR500" i="1"/>
  <c r="AR499" i="1"/>
  <c r="AR498" i="1"/>
  <c r="AR497" i="1"/>
  <c r="AR496" i="1"/>
  <c r="AR495" i="1"/>
  <c r="AR494" i="1"/>
  <c r="AR493" i="1"/>
  <c r="AR492" i="1"/>
  <c r="AR491" i="1"/>
  <c r="AR490" i="1"/>
  <c r="AR489" i="1"/>
  <c r="AR488" i="1"/>
  <c r="AR487" i="1"/>
  <c r="AR486" i="1"/>
  <c r="AR485" i="1"/>
  <c r="AR484" i="1"/>
  <c r="AR483" i="1"/>
  <c r="AR482" i="1"/>
  <c r="AR481" i="1"/>
  <c r="AR480" i="1"/>
  <c r="AR479" i="1"/>
  <c r="AR478" i="1"/>
  <c r="AR477" i="1"/>
  <c r="AR476" i="1"/>
  <c r="AR475" i="1"/>
  <c r="AR474" i="1"/>
  <c r="AR473" i="1"/>
  <c r="AR472" i="1"/>
  <c r="AR471" i="1"/>
  <c r="AR470" i="1"/>
  <c r="AR469" i="1"/>
  <c r="AR468" i="1"/>
  <c r="AR467" i="1"/>
  <c r="AR466" i="1"/>
  <c r="AR465" i="1"/>
  <c r="AR464" i="1"/>
  <c r="AR463" i="1"/>
  <c r="AR462" i="1"/>
  <c r="AR461" i="1"/>
  <c r="AR460" i="1"/>
  <c r="AR459" i="1"/>
  <c r="AR458" i="1"/>
  <c r="AR457" i="1"/>
  <c r="AR456" i="1"/>
  <c r="AR455" i="1"/>
  <c r="AR454" i="1"/>
  <c r="AR453" i="1"/>
  <c r="AR452" i="1"/>
  <c r="AR451" i="1"/>
  <c r="AR450" i="1"/>
  <c r="AR449" i="1"/>
  <c r="AR448" i="1"/>
  <c r="AR447" i="1"/>
  <c r="AR446" i="1"/>
  <c r="AR445" i="1"/>
  <c r="AR444" i="1"/>
  <c r="AR443" i="1"/>
  <c r="AR442" i="1"/>
  <c r="AR441" i="1"/>
  <c r="AR440" i="1"/>
  <c r="AR439" i="1"/>
  <c r="AR438" i="1"/>
  <c r="AR437" i="1"/>
  <c r="AR436" i="1"/>
  <c r="AR435" i="1"/>
  <c r="AR434" i="1"/>
  <c r="AR433" i="1"/>
  <c r="AR432" i="1"/>
  <c r="AR431" i="1"/>
  <c r="AR430" i="1"/>
  <c r="AR429" i="1"/>
  <c r="AR428" i="1"/>
  <c r="AR427" i="1"/>
  <c r="AR426" i="1"/>
  <c r="AR425" i="1"/>
  <c r="AR424" i="1"/>
  <c r="AR423" i="1"/>
  <c r="AR422" i="1"/>
  <c r="AR421" i="1"/>
  <c r="AR420" i="1"/>
  <c r="AR419" i="1"/>
  <c r="AR418" i="1"/>
  <c r="AR417" i="1"/>
  <c r="AR416" i="1"/>
  <c r="AR415" i="1"/>
  <c r="AR414" i="1"/>
  <c r="AR413" i="1"/>
  <c r="AR412" i="1"/>
  <c r="AR411" i="1"/>
  <c r="AR410" i="1"/>
  <c r="AR409" i="1"/>
  <c r="AR408" i="1"/>
  <c r="AR407" i="1"/>
  <c r="AR406" i="1"/>
  <c r="AR405" i="1"/>
  <c r="AR404" i="1"/>
  <c r="AR403" i="1"/>
  <c r="AR402" i="1"/>
  <c r="AR401" i="1"/>
  <c r="AR400" i="1"/>
  <c r="AR399" i="1"/>
  <c r="AR398" i="1"/>
  <c r="AR397" i="1"/>
  <c r="AR396" i="1"/>
  <c r="AR395" i="1"/>
  <c r="AR394" i="1"/>
  <c r="AR393" i="1"/>
  <c r="AR392" i="1"/>
  <c r="AR391" i="1"/>
  <c r="AR390" i="1"/>
  <c r="AR389" i="1"/>
  <c r="AR388" i="1"/>
  <c r="AR387" i="1"/>
  <c r="AR386" i="1"/>
  <c r="AR385" i="1"/>
  <c r="AR384" i="1"/>
  <c r="AR383" i="1"/>
  <c r="AR382" i="1"/>
  <c r="AR381" i="1"/>
  <c r="AR380" i="1"/>
  <c r="AR379" i="1"/>
  <c r="AR378" i="1"/>
  <c r="AR377" i="1"/>
  <c r="AR376" i="1"/>
  <c r="AR375" i="1"/>
  <c r="AR374" i="1"/>
  <c r="AR373" i="1"/>
  <c r="AR372" i="1"/>
  <c r="AR371" i="1"/>
  <c r="AR370" i="1"/>
  <c r="AR369" i="1"/>
  <c r="AR368" i="1"/>
  <c r="AR367" i="1"/>
  <c r="AR366" i="1"/>
  <c r="AR365" i="1"/>
  <c r="AR364" i="1"/>
  <c r="AR363" i="1"/>
  <c r="AR362" i="1"/>
  <c r="AR361" i="1"/>
  <c r="AR360" i="1"/>
  <c r="AR359" i="1"/>
  <c r="AR358" i="1"/>
  <c r="AR357" i="1"/>
  <c r="AR356" i="1"/>
  <c r="AR355" i="1"/>
  <c r="AR354" i="1"/>
  <c r="AR353" i="1"/>
  <c r="AR352" i="1"/>
  <c r="AR351" i="1"/>
  <c r="AR350" i="1"/>
  <c r="AR349" i="1"/>
  <c r="AR348" i="1"/>
  <c r="AR347" i="1"/>
  <c r="AR346" i="1"/>
  <c r="AR345" i="1"/>
  <c r="AR344" i="1"/>
  <c r="AR343" i="1"/>
  <c r="AR342" i="1"/>
  <c r="AR341" i="1"/>
  <c r="AR340" i="1"/>
  <c r="AR339" i="1"/>
  <c r="AR338" i="1"/>
  <c r="AR337" i="1"/>
  <c r="AR336" i="1"/>
  <c r="AR335" i="1"/>
  <c r="AR334" i="1"/>
  <c r="AR333" i="1"/>
  <c r="AR332" i="1"/>
  <c r="AR331" i="1"/>
  <c r="AR330" i="1"/>
  <c r="AR329" i="1"/>
  <c r="AR328" i="1"/>
  <c r="AR327" i="1"/>
  <c r="AR326" i="1"/>
  <c r="AR325" i="1"/>
  <c r="AR324" i="1"/>
  <c r="AR323" i="1"/>
  <c r="AR322" i="1"/>
  <c r="AR321" i="1"/>
  <c r="AR320" i="1"/>
  <c r="AR319" i="1"/>
  <c r="AR318" i="1"/>
  <c r="AR317" i="1"/>
  <c r="AR316" i="1"/>
  <c r="AR315" i="1"/>
  <c r="AR314" i="1"/>
  <c r="AR313" i="1"/>
  <c r="AR312" i="1"/>
  <c r="AR311" i="1"/>
  <c r="AR310" i="1"/>
  <c r="AR309" i="1"/>
  <c r="AR308" i="1"/>
  <c r="AR307" i="1"/>
  <c r="AR306" i="1"/>
  <c r="AR305" i="1"/>
  <c r="AR304" i="1"/>
  <c r="AR303" i="1"/>
  <c r="AR302" i="1"/>
  <c r="AR301" i="1"/>
  <c r="AR300" i="1"/>
  <c r="AR299" i="1"/>
  <c r="AR298" i="1"/>
  <c r="AR297" i="1"/>
  <c r="AR296" i="1"/>
  <c r="AR295" i="1"/>
  <c r="AR294" i="1"/>
  <c r="AR293" i="1"/>
  <c r="AR292" i="1"/>
  <c r="AR291" i="1"/>
  <c r="AR290" i="1"/>
  <c r="AR289" i="1"/>
  <c r="AR288" i="1"/>
  <c r="AR287" i="1"/>
  <c r="AR286" i="1"/>
  <c r="AR285" i="1"/>
  <c r="AR284" i="1"/>
  <c r="AR283" i="1"/>
  <c r="AR282" i="1"/>
  <c r="AR281" i="1"/>
  <c r="AR280" i="1"/>
  <c r="AR279" i="1"/>
  <c r="AR278" i="1"/>
  <c r="AR277" i="1"/>
  <c r="AR276" i="1"/>
  <c r="AR275" i="1"/>
  <c r="AR274" i="1"/>
  <c r="AR273" i="1"/>
  <c r="AR272" i="1"/>
  <c r="AR271" i="1"/>
  <c r="AR270" i="1"/>
  <c r="AR269" i="1"/>
  <c r="AR268" i="1"/>
  <c r="AR267" i="1"/>
  <c r="AR266" i="1"/>
  <c r="AR265" i="1"/>
  <c r="AR264" i="1"/>
  <c r="AR263" i="1"/>
  <c r="AR262" i="1"/>
  <c r="AR261" i="1"/>
  <c r="AR260" i="1"/>
  <c r="AR259" i="1"/>
  <c r="AR258" i="1"/>
  <c r="AR257" i="1"/>
  <c r="AR256" i="1"/>
  <c r="AR255" i="1"/>
  <c r="AR254" i="1"/>
  <c r="AR253" i="1"/>
  <c r="AR252" i="1"/>
  <c r="AR251" i="1"/>
  <c r="AR250" i="1"/>
  <c r="AR249" i="1"/>
  <c r="AR248" i="1"/>
  <c r="AR247" i="1"/>
  <c r="AR246" i="1"/>
  <c r="AR245" i="1"/>
  <c r="AR244" i="1"/>
  <c r="AR243" i="1"/>
  <c r="AR242" i="1"/>
  <c r="AR241" i="1"/>
  <c r="AR240" i="1"/>
  <c r="AR239" i="1"/>
  <c r="AR238" i="1"/>
  <c r="AR237" i="1"/>
  <c r="AR236" i="1"/>
  <c r="AR235" i="1"/>
  <c r="AR234" i="1"/>
  <c r="AR233" i="1"/>
  <c r="AR232" i="1"/>
  <c r="AR231" i="1"/>
  <c r="AR230" i="1"/>
  <c r="AR229" i="1"/>
  <c r="AR228" i="1"/>
  <c r="AR227" i="1"/>
  <c r="AR226" i="1"/>
  <c r="AR225" i="1"/>
  <c r="AR224" i="1"/>
  <c r="AR223" i="1"/>
  <c r="AR222" i="1"/>
  <c r="AR221" i="1"/>
  <c r="AR220" i="1"/>
  <c r="AR219" i="1"/>
  <c r="AR218" i="1"/>
  <c r="AR217" i="1"/>
  <c r="AR216" i="1"/>
  <c r="AR215" i="1"/>
  <c r="AR214" i="1"/>
  <c r="AR213" i="1"/>
  <c r="AR212" i="1"/>
  <c r="AR211" i="1"/>
  <c r="AR210" i="1"/>
  <c r="AR209" i="1"/>
  <c r="AR208" i="1"/>
  <c r="AR207" i="1"/>
  <c r="AR206" i="1"/>
  <c r="AR205" i="1"/>
  <c r="AR204" i="1"/>
  <c r="AR203" i="1"/>
  <c r="AR202" i="1"/>
  <c r="AR201" i="1"/>
  <c r="AR200" i="1"/>
  <c r="AR199" i="1"/>
  <c r="AR198" i="1"/>
  <c r="AR197" i="1"/>
  <c r="AR196" i="1"/>
  <c r="AR195" i="1"/>
  <c r="AR194" i="1"/>
  <c r="AR193" i="1"/>
  <c r="AR192" i="1"/>
  <c r="AR191" i="1"/>
  <c r="AR190" i="1"/>
  <c r="AR189" i="1"/>
  <c r="AR188" i="1"/>
  <c r="AR187" i="1"/>
  <c r="AR186" i="1"/>
  <c r="AR185" i="1"/>
  <c r="AR184" i="1"/>
  <c r="AR183" i="1"/>
  <c r="AR182" i="1"/>
  <c r="AR181" i="1"/>
  <c r="AR180" i="1"/>
  <c r="AR179" i="1"/>
  <c r="AR178" i="1"/>
  <c r="AR177" i="1"/>
  <c r="AR176" i="1"/>
  <c r="AR175" i="1"/>
  <c r="AR174" i="1"/>
  <c r="AR173" i="1"/>
  <c r="AR172" i="1"/>
  <c r="AR171" i="1"/>
  <c r="AR170" i="1"/>
  <c r="AR169" i="1"/>
  <c r="AR168" i="1"/>
  <c r="AR167" i="1"/>
  <c r="AR166" i="1"/>
  <c r="AR165" i="1"/>
  <c r="AR164" i="1"/>
  <c r="AR163" i="1"/>
  <c r="AR162" i="1"/>
  <c r="AR161" i="1"/>
  <c r="AR160" i="1"/>
  <c r="AR159" i="1"/>
  <c r="AR158" i="1"/>
  <c r="AR157" i="1"/>
  <c r="AR156" i="1"/>
  <c r="AR155" i="1"/>
  <c r="AR154" i="1"/>
  <c r="AR153" i="1"/>
  <c r="AR152" i="1"/>
  <c r="AR151" i="1"/>
  <c r="AR150" i="1"/>
  <c r="AR149" i="1"/>
  <c r="AR148" i="1"/>
  <c r="AR147" i="1"/>
  <c r="AR146" i="1"/>
  <c r="AR145" i="1"/>
  <c r="AR144" i="1"/>
  <c r="AR143" i="1"/>
  <c r="AR142" i="1"/>
  <c r="AR141" i="1"/>
  <c r="AR140" i="1"/>
  <c r="AR139" i="1"/>
  <c r="AR138" i="1"/>
  <c r="AR137" i="1"/>
  <c r="AR136" i="1"/>
  <c r="AR135" i="1"/>
  <c r="AR134" i="1"/>
  <c r="AR133" i="1"/>
  <c r="AR132" i="1"/>
  <c r="AR131" i="1"/>
  <c r="AR130" i="1"/>
  <c r="AR129" i="1"/>
  <c r="AR128" i="1"/>
  <c r="AR127" i="1"/>
  <c r="AR126" i="1"/>
  <c r="AR125" i="1"/>
  <c r="AR124" i="1"/>
  <c r="AR123" i="1"/>
  <c r="AR122" i="1"/>
  <c r="AR121" i="1"/>
  <c r="AR120" i="1"/>
  <c r="AR119" i="1"/>
  <c r="AR118" i="1"/>
  <c r="AR117" i="1"/>
  <c r="AR116" i="1"/>
  <c r="AR115" i="1"/>
  <c r="AR114" i="1"/>
  <c r="AR113" i="1"/>
  <c r="AR112" i="1"/>
  <c r="AR111" i="1"/>
  <c r="AR110" i="1"/>
  <c r="AR109" i="1"/>
  <c r="AR108" i="1"/>
  <c r="AR107" i="1"/>
  <c r="AR106" i="1"/>
  <c r="AR105" i="1"/>
  <c r="AR104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R2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2" i="1"/>
  <c r="L28" i="1"/>
  <c r="L24" i="1"/>
  <c r="L20" i="1"/>
  <c r="L16" i="1"/>
  <c r="L12" i="1"/>
  <c r="L8" i="1"/>
  <c r="L4" i="1"/>
  <c r="L999" i="1"/>
  <c r="L995" i="1"/>
  <c r="L991" i="1"/>
  <c r="L987" i="1"/>
  <c r="L983" i="1"/>
  <c r="L979" i="1"/>
  <c r="L975" i="1"/>
  <c r="L971" i="1"/>
  <c r="L967" i="1"/>
  <c r="L963" i="1"/>
  <c r="L959" i="1"/>
  <c r="L955" i="1"/>
  <c r="L951" i="1"/>
  <c r="L947" i="1"/>
  <c r="L943" i="1"/>
  <c r="L939" i="1"/>
  <c r="L935" i="1"/>
  <c r="L931" i="1"/>
  <c r="L927" i="1"/>
  <c r="L923" i="1"/>
  <c r="L919" i="1"/>
  <c r="L915" i="1"/>
  <c r="L911" i="1"/>
  <c r="L907" i="1"/>
  <c r="L903" i="1"/>
  <c r="L899" i="1"/>
  <c r="L895" i="1"/>
  <c r="L891" i="1"/>
  <c r="L887" i="1"/>
  <c r="L883" i="1"/>
  <c r="L879" i="1"/>
  <c r="L875" i="1"/>
  <c r="L871" i="1"/>
  <c r="L867" i="1"/>
  <c r="L863" i="1"/>
  <c r="L859" i="1"/>
  <c r="L855" i="1"/>
  <c r="L851" i="1"/>
  <c r="L847" i="1"/>
  <c r="L843" i="1"/>
  <c r="L839" i="1"/>
  <c r="L835" i="1"/>
  <c r="L831" i="1"/>
  <c r="L827" i="1"/>
  <c r="L823" i="1"/>
  <c r="L819" i="1"/>
  <c r="L815" i="1"/>
  <c r="L811" i="1"/>
  <c r="L807" i="1"/>
  <c r="L803" i="1"/>
  <c r="L799" i="1"/>
  <c r="L795" i="1"/>
  <c r="L791" i="1"/>
  <c r="L787" i="1"/>
  <c r="L783" i="1"/>
  <c r="L779" i="1"/>
  <c r="L775" i="1"/>
  <c r="L771" i="1"/>
  <c r="L767" i="1"/>
  <c r="L763" i="1"/>
  <c r="L759" i="1"/>
  <c r="L755" i="1"/>
  <c r="L751" i="1"/>
  <c r="L747" i="1"/>
  <c r="L743" i="1"/>
  <c r="L739" i="1"/>
  <c r="L735" i="1"/>
  <c r="L731" i="1"/>
  <c r="L727" i="1"/>
  <c r="L723" i="1"/>
  <c r="L719" i="1"/>
  <c r="L715" i="1"/>
  <c r="L711" i="1"/>
  <c r="L707" i="1"/>
  <c r="L703" i="1"/>
  <c r="L699" i="1"/>
  <c r="L695" i="1"/>
  <c r="L691" i="1"/>
  <c r="L687" i="1"/>
  <c r="L683" i="1"/>
  <c r="L679" i="1"/>
  <c r="L675" i="1"/>
  <c r="L671" i="1"/>
  <c r="L667" i="1"/>
  <c r="L663" i="1"/>
  <c r="L659" i="1"/>
  <c r="L655" i="1"/>
  <c r="L651" i="1"/>
  <c r="L647" i="1"/>
  <c r="L643" i="1"/>
  <c r="L639" i="1"/>
  <c r="L635" i="1"/>
  <c r="L631" i="1"/>
  <c r="L627" i="1"/>
  <c r="L623" i="1"/>
  <c r="L619" i="1"/>
  <c r="L615" i="1"/>
  <c r="L611" i="1"/>
  <c r="L607" i="1"/>
  <c r="L603" i="1"/>
  <c r="L599" i="1"/>
  <c r="L595" i="1"/>
  <c r="L591" i="1"/>
  <c r="L587" i="1"/>
  <c r="L583" i="1"/>
  <c r="L579" i="1"/>
  <c r="L575" i="1"/>
  <c r="L571" i="1"/>
  <c r="L567" i="1"/>
  <c r="L563" i="1"/>
  <c r="L559" i="1"/>
  <c r="L555" i="1"/>
  <c r="L551" i="1"/>
  <c r="L547" i="1"/>
  <c r="L543" i="1"/>
  <c r="L539" i="1"/>
  <c r="L535" i="1"/>
  <c r="L531" i="1"/>
  <c r="L527" i="1"/>
  <c r="L523" i="1"/>
  <c r="L519" i="1"/>
  <c r="L515" i="1"/>
  <c r="L511" i="1"/>
  <c r="L507" i="1"/>
  <c r="L503" i="1"/>
  <c r="L499" i="1"/>
  <c r="L495" i="1"/>
  <c r="L491" i="1"/>
  <c r="L487" i="1"/>
  <c r="L483" i="1"/>
  <c r="L479" i="1"/>
  <c r="L475" i="1"/>
  <c r="L471" i="1"/>
  <c r="L467" i="1"/>
  <c r="L463" i="1"/>
  <c r="L459" i="1"/>
  <c r="L455" i="1"/>
  <c r="L451" i="1"/>
  <c r="L447" i="1"/>
  <c r="L443" i="1"/>
  <c r="L439" i="1"/>
  <c r="L435" i="1"/>
  <c r="L431" i="1"/>
  <c r="L427" i="1"/>
  <c r="L423" i="1"/>
  <c r="L419" i="1"/>
  <c r="L415" i="1"/>
  <c r="L411" i="1"/>
  <c r="L407" i="1"/>
  <c r="L403" i="1"/>
  <c r="L399" i="1"/>
  <c r="L395" i="1"/>
  <c r="L391" i="1"/>
  <c r="L387" i="1"/>
  <c r="L383" i="1"/>
  <c r="L379" i="1"/>
  <c r="L375" i="1"/>
  <c r="L371" i="1"/>
  <c r="L367" i="1"/>
  <c r="L363" i="1"/>
  <c r="L359" i="1"/>
  <c r="L355" i="1"/>
  <c r="L351" i="1"/>
  <c r="L347" i="1"/>
  <c r="L343" i="1"/>
  <c r="L339" i="1"/>
  <c r="L335" i="1"/>
  <c r="L331" i="1"/>
  <c r="L327" i="1"/>
  <c r="L323" i="1"/>
  <c r="L319" i="1"/>
  <c r="L315" i="1"/>
  <c r="L311" i="1"/>
  <c r="L307" i="1"/>
  <c r="L303" i="1"/>
  <c r="L299" i="1"/>
  <c r="L295" i="1"/>
  <c r="L291" i="1"/>
  <c r="L287" i="1"/>
  <c r="L283" i="1"/>
  <c r="L279" i="1"/>
  <c r="L275" i="1"/>
  <c r="L271" i="1"/>
  <c r="L267" i="1"/>
  <c r="L263" i="1"/>
  <c r="L259" i="1"/>
  <c r="L255" i="1"/>
  <c r="L251" i="1"/>
  <c r="L247" i="1"/>
  <c r="L243" i="1"/>
  <c r="L239" i="1"/>
  <c r="L235" i="1"/>
  <c r="L231" i="1"/>
  <c r="L227" i="1"/>
  <c r="L223" i="1"/>
  <c r="L219" i="1"/>
  <c r="L215" i="1"/>
  <c r="L211" i="1"/>
  <c r="L207" i="1"/>
  <c r="L203" i="1"/>
  <c r="L199" i="1"/>
  <c r="L195" i="1"/>
  <c r="L191" i="1"/>
  <c r="L187" i="1"/>
  <c r="L183" i="1"/>
  <c r="L179" i="1"/>
  <c r="L175" i="1"/>
  <c r="L171" i="1"/>
  <c r="L167" i="1"/>
  <c r="L163" i="1"/>
  <c r="L159" i="1"/>
  <c r="L155" i="1"/>
  <c r="L151" i="1"/>
  <c r="L147" i="1"/>
  <c r="L143" i="1"/>
  <c r="L139" i="1"/>
  <c r="L135" i="1"/>
  <c r="L131" i="1"/>
  <c r="L127" i="1"/>
  <c r="L123" i="1"/>
  <c r="L119" i="1"/>
  <c r="L115" i="1"/>
  <c r="L111" i="1"/>
  <c r="L107" i="1"/>
  <c r="L103" i="1"/>
  <c r="L99" i="1"/>
  <c r="L95" i="1"/>
  <c r="L91" i="1"/>
  <c r="L87" i="1"/>
  <c r="L83" i="1"/>
  <c r="L79" i="1"/>
  <c r="L75" i="1"/>
  <c r="L71" i="1"/>
  <c r="L67" i="1"/>
  <c r="L63" i="1"/>
  <c r="L59" i="1"/>
  <c r="L55" i="1"/>
  <c r="L51" i="1"/>
  <c r="L47" i="1"/>
  <c r="L43" i="1"/>
  <c r="L39" i="1"/>
  <c r="L35" i="1"/>
  <c r="L31" i="1"/>
  <c r="L27" i="1"/>
  <c r="L23" i="1"/>
  <c r="L19" i="1"/>
  <c r="L15" i="1"/>
  <c r="L11" i="1"/>
  <c r="L7" i="1"/>
  <c r="L3" i="1"/>
  <c r="L998" i="1"/>
  <c r="L994" i="1"/>
  <c r="L990" i="1"/>
  <c r="L986" i="1"/>
  <c r="L982" i="1"/>
  <c r="L978" i="1"/>
  <c r="L974" i="1"/>
  <c r="L970" i="1"/>
  <c r="L966" i="1"/>
  <c r="L962" i="1"/>
  <c r="L958" i="1"/>
  <c r="L954" i="1"/>
  <c r="L950" i="1"/>
  <c r="L946" i="1"/>
  <c r="L942" i="1"/>
  <c r="L938" i="1"/>
  <c r="L934" i="1"/>
  <c r="L930" i="1"/>
  <c r="L926" i="1"/>
  <c r="L922" i="1"/>
  <c r="L918" i="1"/>
  <c r="L914" i="1"/>
  <c r="L910" i="1"/>
  <c r="L906" i="1"/>
  <c r="L902" i="1"/>
  <c r="L898" i="1"/>
  <c r="L894" i="1"/>
  <c r="L890" i="1"/>
  <c r="L886" i="1"/>
  <c r="L882" i="1"/>
  <c r="L878" i="1"/>
  <c r="L874" i="1"/>
  <c r="L870" i="1"/>
  <c r="L866" i="1"/>
  <c r="L862" i="1"/>
  <c r="L858" i="1"/>
  <c r="L854" i="1"/>
  <c r="L850" i="1"/>
  <c r="L846" i="1"/>
  <c r="L842" i="1"/>
  <c r="L838" i="1"/>
  <c r="L834" i="1"/>
  <c r="L830" i="1"/>
  <c r="L826" i="1"/>
  <c r="L822" i="1"/>
  <c r="L818" i="1"/>
  <c r="L814" i="1"/>
  <c r="L810" i="1"/>
  <c r="L806" i="1"/>
  <c r="L802" i="1"/>
  <c r="L798" i="1"/>
  <c r="L794" i="1"/>
  <c r="L790" i="1"/>
  <c r="L786" i="1"/>
  <c r="L782" i="1"/>
  <c r="L778" i="1"/>
  <c r="L774" i="1"/>
  <c r="L770" i="1"/>
  <c r="L766" i="1"/>
  <c r="L762" i="1"/>
  <c r="L758" i="1"/>
  <c r="L754" i="1"/>
  <c r="L750" i="1"/>
  <c r="L746" i="1"/>
  <c r="L742" i="1"/>
  <c r="L738" i="1"/>
  <c r="L734" i="1"/>
  <c r="L730" i="1"/>
  <c r="L726" i="1"/>
  <c r="L722" i="1"/>
  <c r="L718" i="1"/>
  <c r="L714" i="1"/>
  <c r="L710" i="1"/>
  <c r="L706" i="1"/>
  <c r="L702" i="1"/>
  <c r="L698" i="1"/>
  <c r="L694" i="1"/>
  <c r="L690" i="1"/>
  <c r="L686" i="1"/>
  <c r="L682" i="1"/>
  <c r="L678" i="1"/>
  <c r="L674" i="1"/>
  <c r="L670" i="1"/>
  <c r="L666" i="1"/>
  <c r="L662" i="1"/>
  <c r="L658" i="1"/>
  <c r="L654" i="1"/>
  <c r="L650" i="1"/>
  <c r="L646" i="1"/>
  <c r="L642" i="1"/>
  <c r="L638" i="1"/>
  <c r="L634" i="1"/>
  <c r="L630" i="1"/>
  <c r="L626" i="1"/>
  <c r="L622" i="1"/>
  <c r="L618" i="1"/>
  <c r="L614" i="1"/>
  <c r="L610" i="1"/>
  <c r="L606" i="1"/>
  <c r="L602" i="1"/>
  <c r="L598" i="1"/>
  <c r="L594" i="1"/>
  <c r="L590" i="1"/>
  <c r="L586" i="1"/>
  <c r="L582" i="1"/>
  <c r="L578" i="1"/>
  <c r="L574" i="1"/>
  <c r="L570" i="1"/>
  <c r="L566" i="1"/>
  <c r="L562" i="1"/>
  <c r="L558" i="1"/>
  <c r="L554" i="1"/>
  <c r="L550" i="1"/>
  <c r="L546" i="1"/>
  <c r="L542" i="1"/>
  <c r="L538" i="1"/>
  <c r="L534" i="1"/>
  <c r="L530" i="1"/>
  <c r="L526" i="1"/>
  <c r="L522" i="1"/>
  <c r="L518" i="1"/>
  <c r="L514" i="1"/>
  <c r="L510" i="1"/>
  <c r="L506" i="1"/>
  <c r="L502" i="1"/>
  <c r="L498" i="1"/>
  <c r="L494" i="1"/>
  <c r="L490" i="1"/>
  <c r="L486" i="1"/>
  <c r="L482" i="1"/>
  <c r="L478" i="1"/>
  <c r="L474" i="1"/>
  <c r="L470" i="1"/>
  <c r="L466" i="1"/>
  <c r="L462" i="1"/>
  <c r="L458" i="1"/>
  <c r="L454" i="1"/>
  <c r="L450" i="1"/>
  <c r="L446" i="1"/>
  <c r="L442" i="1"/>
  <c r="L438" i="1"/>
  <c r="L434" i="1"/>
  <c r="L430" i="1"/>
  <c r="L426" i="1"/>
  <c r="L422" i="1"/>
  <c r="L418" i="1"/>
  <c r="L414" i="1"/>
  <c r="L410" i="1"/>
  <c r="L406" i="1"/>
  <c r="L402" i="1"/>
  <c r="L398" i="1"/>
  <c r="L394" i="1"/>
  <c r="L390" i="1"/>
  <c r="L386" i="1"/>
  <c r="L382" i="1"/>
  <c r="L378" i="1"/>
  <c r="L374" i="1"/>
  <c r="L370" i="1"/>
  <c r="L366" i="1"/>
  <c r="L362" i="1"/>
  <c r="L358" i="1"/>
  <c r="L354" i="1"/>
  <c r="L350" i="1"/>
  <c r="L346" i="1"/>
  <c r="L342" i="1"/>
  <c r="L338" i="1"/>
  <c r="L334" i="1"/>
  <c r="L330" i="1"/>
  <c r="L326" i="1"/>
  <c r="L322" i="1"/>
  <c r="L318" i="1"/>
  <c r="L314" i="1"/>
  <c r="L310" i="1"/>
  <c r="L306" i="1"/>
  <c r="L302" i="1"/>
  <c r="L298" i="1"/>
  <c r="L294" i="1"/>
  <c r="L290" i="1"/>
  <c r="L286" i="1"/>
  <c r="L282" i="1"/>
  <c r="L278" i="1"/>
  <c r="L274" i="1"/>
  <c r="L270" i="1"/>
  <c r="L266" i="1"/>
  <c r="L262" i="1"/>
  <c r="L258" i="1"/>
  <c r="L254" i="1"/>
  <c r="L250" i="1"/>
  <c r="L246" i="1"/>
  <c r="L242" i="1"/>
  <c r="L238" i="1"/>
  <c r="L234" i="1"/>
  <c r="L230" i="1"/>
  <c r="L226" i="1"/>
  <c r="L222" i="1"/>
  <c r="L218" i="1"/>
  <c r="L214" i="1"/>
  <c r="L210" i="1"/>
  <c r="L206" i="1"/>
  <c r="L202" i="1"/>
  <c r="L198" i="1"/>
  <c r="L194" i="1"/>
  <c r="L190" i="1"/>
  <c r="L186" i="1"/>
  <c r="L182" i="1"/>
  <c r="L178" i="1"/>
  <c r="L174" i="1"/>
  <c r="L170" i="1"/>
  <c r="L166" i="1"/>
  <c r="L162" i="1"/>
  <c r="L158" i="1"/>
  <c r="L154" i="1"/>
  <c r="L150" i="1"/>
  <c r="L146" i="1"/>
  <c r="L142" i="1"/>
  <c r="L138" i="1"/>
  <c r="L134" i="1"/>
  <c r="L130" i="1"/>
  <c r="L126" i="1"/>
  <c r="L122" i="1"/>
  <c r="L118" i="1"/>
  <c r="L114" i="1"/>
  <c r="L110" i="1"/>
  <c r="L106" i="1"/>
  <c r="L102" i="1"/>
  <c r="L98" i="1"/>
  <c r="L94" i="1"/>
  <c r="L90" i="1"/>
  <c r="L86" i="1"/>
  <c r="L82" i="1"/>
  <c r="L78" i="1"/>
  <c r="L74" i="1"/>
  <c r="L70" i="1"/>
  <c r="L66" i="1"/>
  <c r="L62" i="1"/>
  <c r="L58" i="1"/>
  <c r="L54" i="1"/>
  <c r="L50" i="1"/>
  <c r="L46" i="1"/>
  <c r="L42" i="1"/>
  <c r="L38" i="1"/>
  <c r="L34" i="1"/>
  <c r="L30" i="1"/>
  <c r="L26" i="1"/>
  <c r="L22" i="1"/>
  <c r="L18" i="1"/>
  <c r="L14" i="1"/>
  <c r="L10" i="1"/>
  <c r="L6" i="1"/>
  <c r="L1001" i="1"/>
  <c r="L997" i="1"/>
  <c r="L993" i="1"/>
  <c r="L989" i="1"/>
  <c r="L985" i="1"/>
  <c r="L981" i="1"/>
  <c r="L977" i="1"/>
  <c r="L973" i="1"/>
  <c r="L969" i="1"/>
  <c r="L965" i="1"/>
  <c r="L961" i="1"/>
  <c r="L957" i="1"/>
  <c r="L953" i="1"/>
  <c r="L949" i="1"/>
  <c r="L945" i="1"/>
  <c r="L941" i="1"/>
  <c r="L937" i="1"/>
  <c r="L933" i="1"/>
  <c r="L929" i="1"/>
  <c r="L925" i="1"/>
  <c r="L921" i="1"/>
  <c r="L917" i="1"/>
  <c r="L913" i="1"/>
  <c r="L909" i="1"/>
  <c r="L905" i="1"/>
  <c r="L901" i="1"/>
  <c r="L897" i="1"/>
  <c r="L893" i="1"/>
  <c r="L889" i="1"/>
  <c r="L885" i="1"/>
  <c r="L881" i="1"/>
  <c r="L877" i="1"/>
  <c r="L873" i="1"/>
  <c r="L869" i="1"/>
  <c r="L865" i="1"/>
  <c r="L861" i="1"/>
  <c r="L857" i="1"/>
  <c r="L853" i="1"/>
  <c r="L849" i="1"/>
  <c r="L845" i="1"/>
  <c r="L841" i="1"/>
  <c r="L837" i="1"/>
  <c r="L833" i="1"/>
  <c r="L829" i="1"/>
  <c r="L825" i="1"/>
  <c r="L821" i="1"/>
  <c r="L817" i="1"/>
  <c r="L813" i="1"/>
  <c r="L809" i="1"/>
  <c r="L805" i="1"/>
  <c r="L801" i="1"/>
  <c r="L797" i="1"/>
  <c r="L793" i="1"/>
  <c r="L789" i="1"/>
  <c r="L785" i="1"/>
  <c r="L781" i="1"/>
  <c r="L777" i="1"/>
  <c r="L773" i="1"/>
  <c r="L769" i="1"/>
  <c r="L765" i="1"/>
  <c r="L761" i="1"/>
  <c r="L757" i="1"/>
  <c r="L753" i="1"/>
  <c r="L749" i="1"/>
  <c r="L745" i="1"/>
  <c r="L741" i="1"/>
  <c r="L737" i="1"/>
  <c r="L733" i="1"/>
  <c r="L729" i="1"/>
  <c r="L725" i="1"/>
  <c r="L721" i="1"/>
  <c r="L717" i="1"/>
  <c r="L713" i="1"/>
  <c r="L709" i="1"/>
  <c r="L705" i="1"/>
  <c r="L701" i="1"/>
  <c r="L697" i="1"/>
  <c r="L693" i="1"/>
  <c r="L689" i="1"/>
  <c r="L685" i="1"/>
  <c r="L681" i="1"/>
  <c r="L677" i="1"/>
  <c r="L673" i="1"/>
  <c r="L669" i="1"/>
  <c r="L665" i="1"/>
  <c r="L661" i="1"/>
  <c r="L657" i="1"/>
  <c r="L653" i="1"/>
  <c r="L649" i="1"/>
  <c r="L645" i="1"/>
  <c r="L641" i="1"/>
  <c r="L637" i="1"/>
  <c r="L633" i="1"/>
  <c r="L629" i="1"/>
  <c r="L625" i="1"/>
  <c r="L621" i="1"/>
  <c r="L617" i="1"/>
  <c r="L613" i="1"/>
  <c r="L609" i="1"/>
  <c r="L605" i="1"/>
  <c r="L601" i="1"/>
  <c r="L597" i="1"/>
  <c r="L593" i="1"/>
  <c r="L589" i="1"/>
  <c r="L585" i="1"/>
  <c r="L581" i="1"/>
  <c r="L577" i="1"/>
  <c r="L573" i="1"/>
  <c r="L569" i="1"/>
  <c r="L565" i="1"/>
  <c r="L561" i="1"/>
  <c r="L557" i="1"/>
  <c r="L553" i="1"/>
  <c r="L549" i="1"/>
  <c r="L545" i="1"/>
  <c r="L541" i="1"/>
  <c r="L537" i="1"/>
  <c r="L533" i="1"/>
  <c r="L529" i="1"/>
  <c r="L525" i="1"/>
  <c r="L521" i="1"/>
  <c r="L517" i="1"/>
  <c r="L513" i="1"/>
  <c r="L509" i="1"/>
  <c r="L505" i="1"/>
  <c r="L501" i="1"/>
  <c r="L497" i="1"/>
  <c r="L493" i="1"/>
  <c r="L489" i="1"/>
  <c r="L485" i="1"/>
  <c r="L481" i="1"/>
  <c r="L477" i="1"/>
  <c r="L473" i="1"/>
  <c r="L469" i="1"/>
  <c r="L465" i="1"/>
  <c r="L461" i="1"/>
  <c r="L457" i="1"/>
  <c r="L453" i="1"/>
  <c r="L449" i="1"/>
  <c r="L445" i="1"/>
  <c r="L441" i="1"/>
  <c r="L437" i="1"/>
  <c r="L433" i="1"/>
  <c r="L429" i="1"/>
  <c r="L425" i="1"/>
  <c r="L421" i="1"/>
  <c r="L417" i="1"/>
  <c r="L413" i="1"/>
  <c r="L409" i="1"/>
  <c r="L405" i="1"/>
  <c r="L401" i="1"/>
  <c r="L397" i="1"/>
  <c r="L393" i="1"/>
  <c r="L389" i="1"/>
  <c r="L385" i="1"/>
  <c r="L381" i="1"/>
  <c r="L377" i="1"/>
  <c r="L373" i="1"/>
  <c r="L369" i="1"/>
  <c r="L365" i="1"/>
  <c r="L361" i="1"/>
  <c r="L357" i="1"/>
  <c r="L353" i="1"/>
  <c r="L349" i="1"/>
  <c r="L345" i="1"/>
  <c r="L341" i="1"/>
  <c r="L337" i="1"/>
  <c r="L333" i="1"/>
  <c r="L329" i="1"/>
  <c r="L325" i="1"/>
  <c r="L321" i="1"/>
  <c r="L317" i="1"/>
  <c r="L313" i="1"/>
  <c r="L309" i="1"/>
  <c r="L305" i="1"/>
  <c r="L301" i="1"/>
  <c r="L297" i="1"/>
  <c r="L293" i="1"/>
  <c r="L289" i="1"/>
  <c r="L285" i="1"/>
  <c r="L281" i="1"/>
  <c r="L277" i="1"/>
  <c r="L273" i="1"/>
  <c r="L269" i="1"/>
  <c r="L265" i="1"/>
  <c r="L261" i="1"/>
  <c r="L257" i="1"/>
  <c r="L253" i="1"/>
  <c r="L249" i="1"/>
  <c r="L245" i="1"/>
  <c r="L241" i="1"/>
  <c r="L237" i="1"/>
  <c r="L233" i="1"/>
  <c r="L229" i="1"/>
  <c r="L225" i="1"/>
  <c r="L221" i="1"/>
  <c r="L217" i="1"/>
  <c r="L213" i="1"/>
  <c r="L209" i="1"/>
  <c r="L205" i="1"/>
  <c r="L201" i="1"/>
  <c r="L197" i="1"/>
  <c r="L193" i="1"/>
  <c r="L189" i="1"/>
  <c r="L185" i="1"/>
  <c r="L181" i="1"/>
  <c r="L177" i="1"/>
  <c r="L173" i="1"/>
  <c r="L169" i="1"/>
  <c r="L165" i="1"/>
  <c r="L161" i="1"/>
  <c r="L157" i="1"/>
  <c r="L153" i="1"/>
  <c r="L149" i="1"/>
  <c r="L145" i="1"/>
  <c r="L141" i="1"/>
  <c r="L137" i="1"/>
  <c r="L133" i="1"/>
  <c r="L129" i="1"/>
  <c r="L125" i="1"/>
  <c r="L121" i="1"/>
  <c r="L117" i="1"/>
  <c r="L113" i="1"/>
  <c r="L109" i="1"/>
  <c r="L105" i="1"/>
  <c r="L101" i="1"/>
  <c r="L97" i="1"/>
  <c r="L93" i="1"/>
  <c r="L89" i="1"/>
  <c r="L85" i="1"/>
  <c r="L81" i="1"/>
  <c r="L77" i="1"/>
  <c r="L73" i="1"/>
  <c r="L69" i="1"/>
  <c r="L65" i="1"/>
  <c r="L61" i="1"/>
  <c r="L57" i="1"/>
  <c r="L53" i="1"/>
  <c r="L49" i="1"/>
  <c r="L45" i="1"/>
  <c r="L41" i="1"/>
  <c r="L37" i="1"/>
  <c r="L33" i="1"/>
  <c r="L29" i="1"/>
  <c r="L25" i="1"/>
  <c r="L21" i="1"/>
  <c r="L17" i="1"/>
  <c r="L13" i="1"/>
  <c r="L9" i="1"/>
  <c r="L5" i="1"/>
  <c r="L1000" i="1"/>
  <c r="L996" i="1"/>
  <c r="L992" i="1"/>
  <c r="L988" i="1"/>
  <c r="L984" i="1"/>
  <c r="L980" i="1"/>
  <c r="L976" i="1"/>
  <c r="L972" i="1"/>
  <c r="L968" i="1"/>
  <c r="L964" i="1"/>
  <c r="L960" i="1"/>
  <c r="L956" i="1"/>
  <c r="L952" i="1"/>
  <c r="L948" i="1"/>
  <c r="L944" i="1"/>
  <c r="L940" i="1"/>
  <c r="L936" i="1"/>
  <c r="L932" i="1"/>
  <c r="L928" i="1"/>
  <c r="L924" i="1"/>
  <c r="L920" i="1"/>
  <c r="L916" i="1"/>
  <c r="L912" i="1"/>
  <c r="L908" i="1"/>
  <c r="L904" i="1"/>
  <c r="L900" i="1"/>
  <c r="L896" i="1"/>
  <c r="L892" i="1"/>
  <c r="L888" i="1"/>
  <c r="L884" i="1"/>
  <c r="L880" i="1"/>
  <c r="L876" i="1"/>
  <c r="L872" i="1"/>
  <c r="L868" i="1"/>
  <c r="L864" i="1"/>
  <c r="L860" i="1"/>
  <c r="L856" i="1"/>
  <c r="L852" i="1"/>
  <c r="L848" i="1"/>
  <c r="L844" i="1"/>
  <c r="L840" i="1"/>
  <c r="L836" i="1"/>
  <c r="L832" i="1"/>
  <c r="L828" i="1"/>
  <c r="L824" i="1"/>
  <c r="L820" i="1"/>
  <c r="L816" i="1"/>
  <c r="L812" i="1"/>
  <c r="L808" i="1"/>
  <c r="L804" i="1"/>
  <c r="L800" i="1"/>
  <c r="L796" i="1"/>
  <c r="L792" i="1"/>
  <c r="L788" i="1"/>
  <c r="L784" i="1"/>
  <c r="L780" i="1"/>
  <c r="L776" i="1"/>
  <c r="L772" i="1"/>
  <c r="L768" i="1"/>
  <c r="L764" i="1"/>
  <c r="L760" i="1"/>
  <c r="L756" i="1"/>
  <c r="L752" i="1"/>
  <c r="L748" i="1"/>
  <c r="L744" i="1"/>
  <c r="L740" i="1"/>
  <c r="L736" i="1"/>
  <c r="L732" i="1"/>
  <c r="L728" i="1"/>
  <c r="L724" i="1"/>
  <c r="L720" i="1"/>
  <c r="L716" i="1"/>
  <c r="L712" i="1"/>
  <c r="L708" i="1"/>
  <c r="L704" i="1"/>
  <c r="L700" i="1"/>
  <c r="L696" i="1"/>
  <c r="L692" i="1"/>
  <c r="L688" i="1"/>
  <c r="L684" i="1"/>
  <c r="L680" i="1"/>
  <c r="L676" i="1"/>
  <c r="L672" i="1"/>
  <c r="L668" i="1"/>
  <c r="L664" i="1"/>
  <c r="L660" i="1"/>
  <c r="L656" i="1"/>
  <c r="L652" i="1"/>
  <c r="L648" i="1"/>
  <c r="L644" i="1"/>
  <c r="L640" i="1"/>
  <c r="L636" i="1"/>
  <c r="L632" i="1"/>
  <c r="L628" i="1"/>
  <c r="L624" i="1"/>
  <c r="L620" i="1"/>
  <c r="L616" i="1"/>
  <c r="L612" i="1"/>
  <c r="L608" i="1"/>
  <c r="L604" i="1"/>
  <c r="L600" i="1"/>
  <c r="L596" i="1"/>
  <c r="L592" i="1"/>
  <c r="L588" i="1"/>
  <c r="L584" i="1"/>
  <c r="L580" i="1"/>
  <c r="L576" i="1"/>
  <c r="L572" i="1"/>
  <c r="L568" i="1"/>
  <c r="L564" i="1"/>
  <c r="L560" i="1"/>
  <c r="L556" i="1"/>
  <c r="L552" i="1"/>
  <c r="L548" i="1"/>
  <c r="L544" i="1"/>
  <c r="L540" i="1"/>
  <c r="L536" i="1"/>
  <c r="L532" i="1"/>
  <c r="L528" i="1"/>
  <c r="L524" i="1"/>
  <c r="L520" i="1"/>
  <c r="L516" i="1"/>
  <c r="L512" i="1"/>
  <c r="L508" i="1"/>
  <c r="L504" i="1"/>
  <c r="L500" i="1"/>
  <c r="L496" i="1"/>
  <c r="L492" i="1"/>
  <c r="L488" i="1"/>
  <c r="L484" i="1"/>
  <c r="L480" i="1"/>
  <c r="L476" i="1"/>
  <c r="L472" i="1"/>
  <c r="L468" i="1"/>
  <c r="L464" i="1"/>
  <c r="L460" i="1"/>
  <c r="L456" i="1"/>
  <c r="L452" i="1"/>
  <c r="L448" i="1"/>
  <c r="L444" i="1"/>
  <c r="L440" i="1"/>
  <c r="L436" i="1"/>
  <c r="L432" i="1"/>
  <c r="L428" i="1"/>
  <c r="L424" i="1"/>
  <c r="L420" i="1"/>
  <c r="L416" i="1"/>
  <c r="L412" i="1"/>
  <c r="L408" i="1"/>
  <c r="L404" i="1"/>
  <c r="L400" i="1"/>
  <c r="L396" i="1"/>
  <c r="L392" i="1"/>
  <c r="L388" i="1"/>
  <c r="L384" i="1"/>
  <c r="L380" i="1"/>
  <c r="L376" i="1"/>
  <c r="L372" i="1"/>
  <c r="L368" i="1"/>
  <c r="L364" i="1"/>
  <c r="L360" i="1"/>
  <c r="L356" i="1"/>
  <c r="L352" i="1"/>
  <c r="L348" i="1"/>
  <c r="L344" i="1"/>
  <c r="L340" i="1"/>
  <c r="L336" i="1"/>
  <c r="L332" i="1"/>
  <c r="L328" i="1"/>
  <c r="L324" i="1"/>
  <c r="L320" i="1"/>
  <c r="L316" i="1"/>
  <c r="L312" i="1"/>
  <c r="L308" i="1"/>
  <c r="L304" i="1"/>
  <c r="L300" i="1"/>
  <c r="L296" i="1"/>
  <c r="L292" i="1"/>
  <c r="L288" i="1"/>
  <c r="L284" i="1"/>
  <c r="L280" i="1"/>
  <c r="L276" i="1"/>
  <c r="L272" i="1"/>
  <c r="L268" i="1"/>
  <c r="L264" i="1"/>
  <c r="L260" i="1"/>
  <c r="L256" i="1"/>
  <c r="L252" i="1"/>
  <c r="L248" i="1"/>
  <c r="L244" i="1"/>
  <c r="L240" i="1"/>
  <c r="L236" i="1"/>
  <c r="L232" i="1"/>
  <c r="L228" i="1"/>
  <c r="L224" i="1"/>
  <c r="L220" i="1"/>
  <c r="L216" i="1"/>
  <c r="L212" i="1"/>
  <c r="L208" i="1"/>
  <c r="L204" i="1"/>
  <c r="L200" i="1"/>
  <c r="L196" i="1"/>
  <c r="L192" i="1"/>
  <c r="L188" i="1"/>
  <c r="L184" i="1"/>
  <c r="L180" i="1"/>
  <c r="L176" i="1"/>
  <c r="L172" i="1"/>
  <c r="L168" i="1"/>
  <c r="L164" i="1"/>
  <c r="L160" i="1"/>
  <c r="L156" i="1"/>
  <c r="L152" i="1"/>
  <c r="L148" i="1"/>
  <c r="L144" i="1"/>
  <c r="L140" i="1"/>
  <c r="L136" i="1"/>
  <c r="L132" i="1"/>
  <c r="L128" i="1"/>
  <c r="L124" i="1"/>
  <c r="L120" i="1"/>
  <c r="L116" i="1"/>
  <c r="L112" i="1"/>
  <c r="L108" i="1"/>
  <c r="L104" i="1"/>
  <c r="L100" i="1"/>
  <c r="L96" i="1"/>
  <c r="L92" i="1"/>
  <c r="L88" i="1"/>
  <c r="L84" i="1"/>
  <c r="L80" i="1"/>
  <c r="L76" i="1"/>
  <c r="L72" i="1"/>
  <c r="L68" i="1"/>
  <c r="L64" i="1"/>
  <c r="L60" i="1"/>
  <c r="L56" i="1"/>
  <c r="L52" i="1"/>
  <c r="L48" i="1"/>
  <c r="L44" i="1"/>
  <c r="L40" i="1"/>
  <c r="L36" i="1"/>
  <c r="L32" i="1"/>
  <c r="L2" i="1"/>
</calcChain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作者:
职业编号</t>
        </r>
      </text>
    </comment>
    <comment ref="B1" authorId="0">
      <text>
        <r>
          <rPr>
            <sz val="9"/>
            <color indexed="81"/>
            <rFont val="宋体"/>
            <family val="3"/>
            <charset val="134"/>
          </rPr>
          <t>作者:
职业名字</t>
        </r>
      </text>
    </comment>
    <comment ref="D1" authorId="0">
      <text>
        <r>
          <rPr>
            <sz val="9"/>
            <color indexed="81"/>
            <rFont val="宋体"/>
            <family val="3"/>
            <charset val="134"/>
          </rPr>
          <t>作者:
选角色时的描述</t>
        </r>
      </text>
    </comment>
    <comment ref="E1" authorId="0">
      <text>
        <r>
          <rPr>
            <sz val="9"/>
            <color indexed="81"/>
            <rFont val="宋体"/>
            <family val="3"/>
            <charset val="134"/>
          </rPr>
          <t>作者:
转职时的描述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>作者:
默认头盔模型</t>
        </r>
      </text>
    </comment>
    <comment ref="N1" authorId="0">
      <text>
        <r>
          <rPr>
            <sz val="9"/>
            <color indexed="81"/>
            <rFont val="宋体"/>
            <family val="3"/>
            <charset val="134"/>
          </rPr>
          <t>攻击距离</t>
        </r>
      </text>
    </comment>
    <comment ref="AJ1" authorId="0">
      <text>
        <r>
          <rPr>
            <sz val="9"/>
            <color indexed="81"/>
            <rFont val="宋体"/>
            <family val="3"/>
            <charset val="134"/>
          </rPr>
          <t>作者:
压制</t>
        </r>
      </text>
    </comment>
    <comment ref="AK1" authorId="0">
      <text>
        <r>
          <rPr>
            <sz val="9"/>
            <color indexed="81"/>
            <rFont val="宋体"/>
            <family val="3"/>
            <charset val="134"/>
          </rPr>
          <t>作者:
坚忍值</t>
        </r>
      </text>
    </comment>
    <comment ref="AR1" authorId="0">
      <text>
        <r>
          <rPr>
            <sz val="9"/>
            <color indexed="81"/>
            <rFont val="宋体"/>
            <family val="3"/>
            <charset val="134"/>
          </rPr>
          <t>作者:
职业名字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Administrator</author>
    <author>黄健</author>
    <author>尹明</author>
    <author>大地系统</author>
  </authors>
  <commentList>
    <comment ref="A2" authorId="0">
      <text>
        <r>
          <rPr>
            <sz val="9"/>
            <color indexed="81"/>
            <rFont val="宋体"/>
            <family val="3"/>
            <charset val="134"/>
          </rPr>
          <t>作者:
职业编号</t>
        </r>
      </text>
    </comment>
    <comment ref="A3" authorId="0">
      <text>
        <r>
          <rPr>
            <sz val="9"/>
            <color indexed="81"/>
            <rFont val="宋体"/>
            <family val="3"/>
            <charset val="134"/>
          </rPr>
          <t>作者:
职业名字</t>
        </r>
      </text>
    </comment>
    <comment ref="A4" authorId="0">
      <text>
        <r>
          <rPr>
            <sz val="9"/>
            <color indexed="81"/>
            <rFont val="宋体"/>
            <family val="3"/>
            <charset val="134"/>
          </rPr>
          <t>作者:
选角色时的描述</t>
        </r>
      </text>
    </comment>
    <comment ref="A5" authorId="0">
      <text>
        <r>
          <rPr>
            <sz val="9"/>
            <color indexed="81"/>
            <rFont val="宋体"/>
            <family val="3"/>
            <charset val="134"/>
          </rPr>
          <t>作者:
转职时的描述</t>
        </r>
      </text>
    </comment>
    <comment ref="A6" authorId="0">
      <text>
        <r>
          <rPr>
            <sz val="9"/>
            <color indexed="81"/>
            <rFont val="宋体"/>
            <family val="3"/>
            <charset val="134"/>
          </rPr>
          <t>作者:
职业资源区分</t>
        </r>
      </text>
    </comment>
    <comment ref="A7" authorId="0">
      <text>
        <r>
          <rPr>
            <sz val="9"/>
            <color indexed="81"/>
            <rFont val="宋体"/>
            <family val="3"/>
            <charset val="134"/>
          </rPr>
          <t>作者:
职业资源版本号</t>
        </r>
      </text>
    </comment>
    <comment ref="A8" authorId="0">
      <text>
        <r>
          <rPr>
            <sz val="9"/>
            <color indexed="81"/>
            <rFont val="宋体"/>
            <family val="3"/>
            <charset val="134"/>
          </rPr>
          <t>作者:
资源资源位置</t>
        </r>
      </text>
    </comment>
    <comment ref="A9" authorId="0">
      <text>
        <r>
          <rPr>
            <sz val="9"/>
            <color indexed="81"/>
            <rFont val="宋体"/>
            <family val="3"/>
            <charset val="134"/>
          </rPr>
          <t>作者:
默认体质值</t>
        </r>
      </text>
    </comment>
    <comment ref="A10" authorId="0">
      <text>
        <r>
          <rPr>
            <sz val="9"/>
            <color indexed="81"/>
            <rFont val="宋体"/>
            <family val="3"/>
            <charset val="134"/>
          </rPr>
          <t>作者:
体质成长值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>作者:
默认感知值</t>
        </r>
      </text>
    </comment>
    <comment ref="A12" authorId="0">
      <text>
        <r>
          <rPr>
            <sz val="9"/>
            <color indexed="81"/>
            <rFont val="宋体"/>
            <family val="3"/>
            <charset val="134"/>
          </rPr>
          <t>作者:
感知成长值</t>
        </r>
      </text>
    </comment>
    <comment ref="A13" authorId="0">
      <text>
        <r>
          <rPr>
            <sz val="9"/>
            <color indexed="81"/>
            <rFont val="宋体"/>
            <family val="3"/>
            <charset val="134"/>
          </rPr>
          <t>作者:
默认技巧值</t>
        </r>
      </text>
    </comment>
    <comment ref="A14" authorId="0">
      <text>
        <r>
          <rPr>
            <sz val="9"/>
            <color indexed="81"/>
            <rFont val="宋体"/>
            <family val="3"/>
            <charset val="134"/>
          </rPr>
          <t>作者:
技巧成长值</t>
        </r>
      </text>
    </comment>
    <comment ref="A23" authorId="0">
      <text>
        <r>
          <rPr>
            <sz val="9"/>
            <color indexed="81"/>
            <rFont val="宋体"/>
            <family val="3"/>
            <charset val="134"/>
          </rPr>
          <t>作者:
默认头盔模型</t>
        </r>
      </text>
    </comment>
    <comment ref="A24" authorId="0">
      <text>
        <r>
          <rPr>
            <sz val="9"/>
            <color indexed="81"/>
            <rFont val="宋体"/>
            <family val="3"/>
            <charset val="134"/>
          </rPr>
          <t>作者:
高度</t>
        </r>
      </text>
    </comment>
    <comment ref="A25" authorId="0">
      <text>
        <r>
          <rPr>
            <sz val="9"/>
            <color indexed="81"/>
            <rFont val="宋体"/>
            <family val="3"/>
            <charset val="134"/>
          </rPr>
          <t>作者:
性别
1：男
2：女</t>
        </r>
      </text>
    </comment>
    <comment ref="A26" authorId="0">
      <text>
        <r>
          <rPr>
            <sz val="9"/>
            <color indexed="81"/>
            <rFont val="宋体"/>
            <family val="3"/>
            <charset val="134"/>
          </rPr>
          <t>作者:
可转职ID</t>
        </r>
      </text>
    </comment>
    <comment ref="A27" authorId="0">
      <text>
        <r>
          <rPr>
            <sz val="9"/>
            <color indexed="81"/>
            <rFont val="宋体"/>
            <family val="3"/>
            <charset val="134"/>
          </rPr>
          <t>作者:
由哪个职业转来的</t>
        </r>
      </text>
    </comment>
    <comment ref="A34" authorId="0">
      <text>
        <r>
          <rPr>
            <sz val="9"/>
            <color indexed="81"/>
            <rFont val="宋体"/>
            <family val="3"/>
            <charset val="134"/>
          </rPr>
          <t>作者:
职业图标</t>
        </r>
      </text>
    </comment>
    <comment ref="A37" authorId="1">
      <text>
        <r>
          <rPr>
            <sz val="9"/>
            <color indexed="81"/>
            <rFont val="宋体"/>
            <family val="3"/>
            <charset val="134"/>
          </rPr>
          <t xml:space="preserve">本身图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9" authorId="2">
      <text>
        <r>
          <rPr>
            <b/>
            <sz val="9"/>
            <color indexed="81"/>
            <rFont val="宋体"/>
            <family val="3"/>
            <charset val="134"/>
          </rPr>
          <t>黄健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转为该职业播放对应</t>
        </r>
        <r>
          <rPr>
            <sz val="9"/>
            <color indexed="81"/>
            <rFont val="Tahoma"/>
            <family val="2"/>
          </rPr>
          <t>CG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ID</t>
        </r>
      </text>
    </comment>
    <comment ref="A40" authorId="0">
      <text>
        <r>
          <rPr>
            <sz val="9"/>
            <color indexed="81"/>
            <rFont val="宋体"/>
            <family val="3"/>
            <charset val="134"/>
          </rPr>
          <t>攻击距离</t>
        </r>
      </text>
    </comment>
    <comment ref="A47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防御，创建角色和转职用</t>
        </r>
      </text>
    </comment>
    <comment ref="A48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控制，创建角色和转职用</t>
        </r>
      </text>
    </comment>
    <comment ref="A49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辅助，创建角色和转职用</t>
        </r>
      </text>
    </comment>
    <comment ref="A50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攻击，创建角色和转职用</t>
        </r>
      </text>
    </comment>
    <comment ref="A56" authorId="4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  <comment ref="A59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骨骼资源名</t>
        </r>
      </text>
    </comment>
    <comment ref="A66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职业默认时装</t>
        </r>
        <r>
          <rPr>
            <sz val="9"/>
            <color indexed="81"/>
            <rFont val="Tahoma"/>
            <family val="2"/>
          </rPr>
          <t>id</t>
        </r>
      </text>
    </comment>
    <comment ref="A67" authorId="4">
      <text>
        <r>
          <rPr>
            <b/>
            <sz val="9"/>
            <color indexed="81"/>
            <rFont val="宋体"/>
            <family val="3"/>
            <charset val="134"/>
          </rPr>
          <t>每秒步伐多远
（单位：前台格）</t>
        </r>
      </text>
    </comment>
  </commentList>
</comments>
</file>

<file path=xl/sharedStrings.xml><?xml version="1.0" encoding="utf-8"?>
<sst xmlns="http://schemas.openxmlformats.org/spreadsheetml/2006/main" count="5629" uniqueCount="2266">
  <si>
    <t>ID</t>
  </si>
  <si>
    <t>name</t>
  </si>
  <si>
    <t>res_name</t>
  </si>
  <si>
    <t>res_version</t>
  </si>
  <si>
    <t>path_type</t>
  </si>
  <si>
    <t>physique_num</t>
  </si>
  <si>
    <t>physique_inc</t>
  </si>
  <si>
    <t>Perception_num</t>
  </si>
  <si>
    <t>Perception_inc</t>
  </si>
  <si>
    <t>trick_num</t>
  </si>
  <si>
    <t>trick_inc</t>
  </si>
  <si>
    <t>height</t>
  </si>
  <si>
    <t>sex</t>
  </si>
  <si>
    <t>up_ID</t>
  </si>
  <si>
    <t>form_ID</t>
  </si>
  <si>
    <t>born_scene</t>
  </si>
  <si>
    <t>data1</t>
  </si>
  <si>
    <t>data2</t>
  </si>
  <si>
    <t>data3</t>
  </si>
  <si>
    <t>res_head_Icon</t>
  </si>
  <si>
    <t>mormalSkillList</t>
  </si>
  <si>
    <t>scene_task</t>
  </si>
  <si>
    <t>scene_step</t>
  </si>
  <si>
    <t>start_kz</t>
  </si>
  <si>
    <t>start_fz</t>
  </si>
  <si>
    <t>start_gj</t>
  </si>
  <si>
    <t>icon_datu</t>
  </si>
  <si>
    <t>atk_dis</t>
  </si>
  <si>
    <t>sound_hurt_res</t>
  </si>
  <si>
    <t>sound_death_res</t>
  </si>
  <si>
    <t>sound_pathtype</t>
  </si>
  <si>
    <t>sign</t>
  </si>
  <si>
    <t>basic_skill</t>
  </si>
  <si>
    <t>move_spd</t>
  </si>
  <si>
    <t>preview_scale</t>
  </si>
  <si>
    <t>fall_time</t>
  </si>
  <si>
    <t>stifle_time</t>
  </si>
  <si>
    <t>pace_speed</t>
  </si>
  <si>
    <t>des</t>
    <phoneticPr fontId="4" type="noConversion"/>
  </si>
  <si>
    <t>default_equip_id</t>
    <phoneticPr fontId="4" type="noConversion"/>
  </si>
  <si>
    <t>born_x</t>
    <phoneticPr fontId="4" type="noConversion"/>
  </si>
  <si>
    <t>born_y</t>
    <phoneticPr fontId="4" type="noConversion"/>
  </si>
  <si>
    <t>start_fuyu</t>
    <phoneticPr fontId="4" type="noConversion"/>
  </si>
  <si>
    <t>name_height</t>
    <phoneticPr fontId="4" type="noConversion"/>
  </si>
  <si>
    <t>icon_half</t>
    <phoneticPr fontId="4" type="noConversion"/>
  </si>
  <si>
    <t>GS_base</t>
    <phoneticPr fontId="4" type="noConversion"/>
  </si>
  <si>
    <t>GS_inc</t>
    <phoneticPr fontId="4" type="noConversion"/>
  </si>
  <si>
    <t>bone</t>
    <phoneticPr fontId="4" type="noConversion"/>
  </si>
  <si>
    <t>module_height</t>
    <phoneticPr fontId="4" type="noConversion"/>
  </si>
  <si>
    <t>previewPscale</t>
    <phoneticPr fontId="4" type="noConversion"/>
  </si>
  <si>
    <t>previewRscale</t>
    <phoneticPr fontId="4" type="noConversion"/>
  </si>
  <si>
    <t>heightDiff</t>
    <phoneticPr fontId="4" type="noConversion"/>
  </si>
  <si>
    <t>showid</t>
    <phoneticPr fontId="4" type="noConversion"/>
  </si>
  <si>
    <t>namePic</t>
    <phoneticPr fontId="4" type="noConversion"/>
  </si>
  <si>
    <t>roundskill</t>
    <phoneticPr fontId="4" type="noConversion"/>
  </si>
  <si>
    <t>transfer_CG</t>
    <phoneticPr fontId="4" type="noConversion"/>
  </si>
  <si>
    <t>bufferskill</t>
    <phoneticPr fontId="4" type="noConversion"/>
  </si>
  <si>
    <t>defaultskill</t>
    <phoneticPr fontId="4" type="noConversion"/>
  </si>
  <si>
    <t>des2</t>
    <phoneticPr fontId="4" type="noConversion"/>
  </si>
  <si>
    <t>说明</t>
    <phoneticPr fontId="4" type="noConversion"/>
  </si>
  <si>
    <t>ID</t>
    <phoneticPr fontId="4" type="noConversion"/>
  </si>
  <si>
    <t>角色名字</t>
    <phoneticPr fontId="4" type="noConversion"/>
  </si>
  <si>
    <t>删除</t>
    <phoneticPr fontId="4" type="noConversion"/>
  </si>
  <si>
    <t>资源路径</t>
    <phoneticPr fontId="4" type="noConversion"/>
  </si>
  <si>
    <t>资源路径</t>
    <phoneticPr fontId="4" type="noConversion"/>
  </si>
  <si>
    <t>属性</t>
    <phoneticPr fontId="4" type="noConversion"/>
  </si>
  <si>
    <t>角色描述</t>
    <phoneticPr fontId="4" type="noConversion"/>
  </si>
  <si>
    <t>默认装备ID（决定模型）</t>
    <phoneticPr fontId="4" type="noConversion"/>
  </si>
  <si>
    <t>高度</t>
    <phoneticPr fontId="4" type="noConversion"/>
  </si>
  <si>
    <t>性别</t>
    <phoneticPr fontId="4" type="noConversion"/>
  </si>
  <si>
    <t>可转职职业ID</t>
    <phoneticPr fontId="4" type="noConversion"/>
  </si>
  <si>
    <t>前置职业ID</t>
    <phoneticPr fontId="4" type="noConversion"/>
  </si>
  <si>
    <t>出生场景</t>
    <phoneticPr fontId="4" type="noConversion"/>
  </si>
  <si>
    <t>出生坐标x</t>
    <phoneticPr fontId="4" type="noConversion"/>
  </si>
  <si>
    <t>出生坐标y</t>
    <phoneticPr fontId="4" type="noConversion"/>
  </si>
  <si>
    <t>头像图标</t>
    <phoneticPr fontId="4" type="noConversion"/>
  </si>
  <si>
    <t>普攻技能组</t>
    <phoneticPr fontId="4" type="noConversion"/>
  </si>
  <si>
    <t>转职任务</t>
    <phoneticPr fontId="4" type="noConversion"/>
  </si>
  <si>
    <t>转职任务步骤</t>
    <phoneticPr fontId="4" type="noConversion"/>
  </si>
  <si>
    <t>防御评分</t>
    <phoneticPr fontId="4" type="noConversion"/>
  </si>
  <si>
    <t>控制评分</t>
    <phoneticPr fontId="4" type="noConversion"/>
  </si>
  <si>
    <t>辅助评分</t>
    <phoneticPr fontId="4" type="noConversion"/>
  </si>
  <si>
    <t>攻击评分</t>
    <phoneticPr fontId="4" type="noConversion"/>
  </si>
  <si>
    <t>全身像</t>
    <phoneticPr fontId="4" type="noConversion"/>
  </si>
  <si>
    <t>攻击距离</t>
    <phoneticPr fontId="4" type="noConversion"/>
  </si>
  <si>
    <t>受伤音效</t>
    <phoneticPr fontId="4" type="noConversion"/>
  </si>
  <si>
    <t>死亡音效</t>
    <phoneticPr fontId="4" type="noConversion"/>
  </si>
  <si>
    <t>声音版本</t>
    <phoneticPr fontId="4" type="noConversion"/>
  </si>
  <si>
    <t>职业图标</t>
    <phoneticPr fontId="4" type="noConversion"/>
  </si>
  <si>
    <t>出生主动技能</t>
    <phoneticPr fontId="4" type="noConversion"/>
  </si>
  <si>
    <t>移动速度，150为基础速率</t>
    <phoneticPr fontId="4" type="noConversion"/>
  </si>
  <si>
    <t>名字高度</t>
    <phoneticPr fontId="4" type="noConversion"/>
  </si>
  <si>
    <t>半身像</t>
    <phoneticPr fontId="4" type="noConversion"/>
  </si>
  <si>
    <t>GS基础值</t>
    <phoneticPr fontId="4" type="noConversion"/>
  </si>
  <si>
    <t>GS升级值</t>
    <phoneticPr fontId="4" type="noConversion"/>
  </si>
  <si>
    <t>预览缩放</t>
    <phoneticPr fontId="4" type="noConversion"/>
  </si>
  <si>
    <t>骨骼名</t>
    <phoneticPr fontId="4" type="noConversion"/>
  </si>
  <si>
    <t>资源名</t>
    <phoneticPr fontId="4" type="noConversion"/>
  </si>
  <si>
    <t>模型高度</t>
    <phoneticPr fontId="4" type="noConversion"/>
  </si>
  <si>
    <t>死亡时间</t>
    <phoneticPr fontId="4" type="noConversion"/>
  </si>
  <si>
    <t>被压制时间</t>
    <phoneticPr fontId="4" type="noConversion"/>
  </si>
  <si>
    <t>预览参数</t>
    <phoneticPr fontId="4" type="noConversion"/>
  </si>
  <si>
    <t>血条高度差</t>
    <phoneticPr fontId="4" type="noConversion"/>
  </si>
  <si>
    <t>默认时装ID</t>
    <phoneticPr fontId="4" type="noConversion"/>
  </si>
  <si>
    <t>步伐距离</t>
    <phoneticPr fontId="4" type="noConversion"/>
  </si>
  <si>
    <t>名字图片</t>
    <phoneticPr fontId="4" type="noConversion"/>
  </si>
  <si>
    <t>翻滚技能</t>
    <phoneticPr fontId="4" type="noConversion"/>
  </si>
  <si>
    <t>转职CG</t>
    <phoneticPr fontId="4" type="noConversion"/>
  </si>
  <si>
    <t>缓冲技能</t>
    <phoneticPr fontId="4" type="noConversion"/>
  </si>
  <si>
    <t>给后台看的翻滚和缓冲技能</t>
    <phoneticPr fontId="4" type="noConversion"/>
  </si>
  <si>
    <t>描述2</t>
    <phoneticPr fontId="4" type="noConversion"/>
  </si>
  <si>
    <t>攻击</t>
    <phoneticPr fontId="15" type="noConversion"/>
  </si>
  <si>
    <t>atk</t>
    <phoneticPr fontId="4" type="noConversion"/>
  </si>
  <si>
    <t>防御</t>
    <phoneticPr fontId="15" type="noConversion"/>
  </si>
  <si>
    <t>def</t>
    <phoneticPr fontId="4" type="noConversion"/>
  </si>
  <si>
    <t>生命上限</t>
    <phoneticPr fontId="15" type="noConversion"/>
  </si>
  <si>
    <t>hpLimit</t>
    <phoneticPr fontId="4" type="noConversion"/>
  </si>
  <si>
    <t>法力上限</t>
    <phoneticPr fontId="15" type="noConversion"/>
  </si>
  <si>
    <t>mpLimit</t>
    <phoneticPr fontId="4" type="noConversion"/>
  </si>
  <si>
    <t>atkInc</t>
    <phoneticPr fontId="4" type="noConversion"/>
  </si>
  <si>
    <t>defInc</t>
    <phoneticPr fontId="4" type="noConversion"/>
  </si>
  <si>
    <t>hpLimitInc</t>
    <phoneticPr fontId="4" type="noConversion"/>
  </si>
  <si>
    <t>新字段</t>
    <phoneticPr fontId="4" type="noConversion"/>
  </si>
  <si>
    <t>删除</t>
    <phoneticPr fontId="4" type="noConversion"/>
  </si>
  <si>
    <t>攻击成长</t>
    <phoneticPr fontId="15" type="noConversion"/>
  </si>
  <si>
    <t>防御成长</t>
    <phoneticPr fontId="15" type="noConversion"/>
  </si>
  <si>
    <t>生命上限成长</t>
    <phoneticPr fontId="15" type="noConversion"/>
  </si>
  <si>
    <t>法力上限成长</t>
    <phoneticPr fontId="15" type="noConversion"/>
  </si>
  <si>
    <t>服务端需要导出</t>
    <phoneticPr fontId="4" type="noConversion"/>
  </si>
  <si>
    <t>str</t>
    <phoneticPr fontId="4" type="noConversion"/>
  </si>
  <si>
    <t>agi</t>
    <phoneticPr fontId="4" type="noConversion"/>
  </si>
  <si>
    <t>sta</t>
    <phoneticPr fontId="4" type="noConversion"/>
  </si>
  <si>
    <t>spi</t>
    <phoneticPr fontId="4" type="noConversion"/>
  </si>
  <si>
    <t>defIgnore</t>
    <phoneticPr fontId="4" type="noConversion"/>
  </si>
  <si>
    <t>cri</t>
    <phoneticPr fontId="4" type="noConversion"/>
  </si>
  <si>
    <t>criDmg</t>
    <phoneticPr fontId="4" type="noConversion"/>
  </si>
  <si>
    <t>tough</t>
  </si>
  <si>
    <t>hit</t>
    <phoneticPr fontId="4" type="noConversion"/>
  </si>
  <si>
    <t>dod</t>
    <phoneticPr fontId="4" type="noConversion"/>
  </si>
  <si>
    <t>dmgRate</t>
    <phoneticPr fontId="4" type="noConversion"/>
  </si>
  <si>
    <t>dmgDownRate</t>
    <phoneticPr fontId="4" type="noConversion"/>
  </si>
  <si>
    <t>blockRate</t>
    <phoneticPr fontId="4" type="noConversion"/>
  </si>
  <si>
    <t>blockDmgDownRate</t>
    <phoneticPr fontId="4" type="noConversion"/>
  </si>
  <si>
    <t>realDmg</t>
    <phoneticPr fontId="4" type="noConversion"/>
  </si>
  <si>
    <t>stifle</t>
  </si>
  <si>
    <t>long_suffering</t>
  </si>
  <si>
    <t>hpRestore</t>
    <phoneticPr fontId="4" type="noConversion"/>
  </si>
  <si>
    <t>mpRestore</t>
    <phoneticPr fontId="4" type="noConversion"/>
  </si>
  <si>
    <t>wis</t>
    <phoneticPr fontId="4" type="noConversion"/>
  </si>
  <si>
    <t>moveSpd</t>
    <phoneticPr fontId="4" type="noConversion"/>
  </si>
  <si>
    <t>passiveSkillList</t>
    <phoneticPr fontId="4" type="noConversion"/>
  </si>
  <si>
    <t>firstaid</t>
    <phoneticPr fontId="4" type="noConversion"/>
  </si>
  <si>
    <t>camp</t>
    <phoneticPr fontId="4" type="noConversion"/>
  </si>
  <si>
    <t>job</t>
    <phoneticPr fontId="4" type="noConversion"/>
  </si>
  <si>
    <t>normalSkillList</t>
    <phoneticPr fontId="4" type="noConversion"/>
  </si>
  <si>
    <t>GS</t>
    <phoneticPr fontId="4" type="noConversion"/>
  </si>
  <si>
    <t>entourageId</t>
    <phoneticPr fontId="4" type="noConversion"/>
  </si>
  <si>
    <t>entourageLv</t>
    <phoneticPr fontId="4" type="noConversion"/>
  </si>
  <si>
    <t>entourageStar</t>
    <phoneticPr fontId="4" type="noConversion"/>
  </si>
  <si>
    <t>entourageSkilllevel</t>
    <phoneticPr fontId="4" type="noConversion"/>
  </si>
  <si>
    <t>level</t>
    <phoneticPr fontId="4" type="noConversion"/>
  </si>
  <si>
    <t>1|0|0|0</t>
    <phoneticPr fontId="4" type="noConversion"/>
  </si>
  <si>
    <t>skill</t>
    <phoneticPr fontId="4" type="noConversion"/>
  </si>
  <si>
    <t>技能</t>
    <phoneticPr fontId="4" type="noConversion"/>
  </si>
  <si>
    <t>1|0|0|0</t>
  </si>
  <si>
    <t>外形</t>
    <phoneticPr fontId="4" type="noConversion"/>
  </si>
  <si>
    <t>普攻</t>
    <phoneticPr fontId="4" type="noConversion"/>
  </si>
  <si>
    <t>阿博特</t>
  </si>
  <si>
    <t>艾比盖</t>
  </si>
  <si>
    <t>埃达</t>
  </si>
  <si>
    <t>小乖</t>
  </si>
  <si>
    <t>阿贝</t>
  </si>
  <si>
    <t>爱得莱德</t>
  </si>
  <si>
    <t>爱得拉</t>
  </si>
  <si>
    <t>头领</t>
  </si>
  <si>
    <t>亚伯拉罕</t>
  </si>
  <si>
    <t>爱尔柏塔</t>
  </si>
  <si>
    <t>阿芙拉</t>
  </si>
  <si>
    <t>皇族</t>
  </si>
  <si>
    <t>王子</t>
  </si>
  <si>
    <t>艾奇逊</t>
  </si>
  <si>
    <t>贝齐</t>
  </si>
  <si>
    <t>阿加莎</t>
  </si>
  <si>
    <t>阿克曼</t>
  </si>
  <si>
    <t>贝蒂</t>
  </si>
  <si>
    <t>爱葛妮丝</t>
  </si>
  <si>
    <t>亚当</t>
  </si>
  <si>
    <t>比尤莱</t>
  </si>
  <si>
    <t>亚莉克希亚</t>
  </si>
  <si>
    <t>亚当斯</t>
  </si>
  <si>
    <t>布莱兹</t>
  </si>
  <si>
    <t>艾丽斯</t>
  </si>
  <si>
    <t>艾迪生</t>
  </si>
  <si>
    <t>布伦达</t>
  </si>
  <si>
    <t>爱玛</t>
  </si>
  <si>
    <t>阿狄森</t>
  </si>
  <si>
    <t>布里奇特</t>
  </si>
  <si>
    <t>奥尔瑟雅</t>
  </si>
  <si>
    <t>经典</t>
  </si>
  <si>
    <t>艾狄生</t>
  </si>
  <si>
    <t>布鲁克</t>
  </si>
  <si>
    <t>阿尔娃</t>
  </si>
  <si>
    <t>巅峰</t>
  </si>
  <si>
    <t>阿德拉</t>
  </si>
  <si>
    <t>西莱斯特</t>
  </si>
  <si>
    <t>阿蜜莉雅</t>
  </si>
  <si>
    <t>阿德莱德</t>
  </si>
  <si>
    <t>夏洛特</t>
  </si>
  <si>
    <t>艾咪</t>
  </si>
  <si>
    <t>红尘</t>
  </si>
  <si>
    <t>小墨</t>
  </si>
  <si>
    <t>阿道夫</t>
  </si>
  <si>
    <t>谢里尔</t>
  </si>
  <si>
    <t>阿娜丝塔西夏</t>
  </si>
  <si>
    <t>阿格尼丝</t>
  </si>
  <si>
    <t>克里斯廷</t>
  </si>
  <si>
    <t>安德烈亚</t>
  </si>
  <si>
    <t>艾伯特</t>
  </si>
  <si>
    <t>克莱儿</t>
  </si>
  <si>
    <t>安妮</t>
  </si>
  <si>
    <t>奥尔科特</t>
  </si>
  <si>
    <t>克莱拉</t>
  </si>
  <si>
    <t>安娜</t>
  </si>
  <si>
    <t>奥尔丁顿</t>
  </si>
  <si>
    <t>潼恩</t>
  </si>
  <si>
    <t>安纳贝尔</t>
  </si>
  <si>
    <t>奥尔德里奇</t>
  </si>
  <si>
    <t>德博拉</t>
  </si>
  <si>
    <t>安东妮儿</t>
  </si>
  <si>
    <t>亚历克</t>
  </si>
  <si>
    <t>多洛雷斯</t>
  </si>
  <si>
    <t>艾谱莉</t>
  </si>
  <si>
    <t>亚历山大</t>
  </si>
  <si>
    <t>多明尼卡</t>
  </si>
  <si>
    <t>爱勒贝拉</t>
  </si>
  <si>
    <t>阿尔弗列德</t>
  </si>
  <si>
    <t>多拉</t>
  </si>
  <si>
    <t>艾琳娜</t>
  </si>
  <si>
    <t>艾尔弗雷德</t>
  </si>
  <si>
    <t>桃乐斯</t>
  </si>
  <si>
    <t>艾丝翠得</t>
  </si>
  <si>
    <t>艾丽丝</t>
  </si>
  <si>
    <t>伊甸</t>
  </si>
  <si>
    <t>亚特兰特</t>
  </si>
  <si>
    <t>阿丽丝</t>
  </si>
  <si>
    <t>伊迪丝</t>
  </si>
  <si>
    <t>阿西娜</t>
  </si>
  <si>
    <t>阿利克</t>
  </si>
  <si>
    <t>伊莲恩</t>
  </si>
  <si>
    <t>奥德丽</t>
  </si>
  <si>
    <t>艾尔索普</t>
  </si>
  <si>
    <t>艾琳诺</t>
  </si>
  <si>
    <t>奥劳拉</t>
  </si>
  <si>
    <t>阿利</t>
  </si>
  <si>
    <t>艾伦</t>
  </si>
  <si>
    <t>芭芭拉</t>
  </si>
  <si>
    <t>纳兰</t>
  </si>
  <si>
    <t>阿米利亚</t>
  </si>
  <si>
    <t>艾尔玛</t>
  </si>
  <si>
    <t>碧翠丝</t>
  </si>
  <si>
    <t>自由</t>
  </si>
  <si>
    <t>安德森</t>
  </si>
  <si>
    <t>艾西</t>
  </si>
  <si>
    <t>贝琳达</t>
  </si>
  <si>
    <t>浪漫</t>
  </si>
  <si>
    <t>安德鲁</t>
  </si>
  <si>
    <t>埃尔韦拉</t>
  </si>
  <si>
    <t>贝拉</t>
  </si>
  <si>
    <t>守护</t>
  </si>
  <si>
    <t>安</t>
  </si>
  <si>
    <t>费滋</t>
  </si>
  <si>
    <t>柏妮丝</t>
  </si>
  <si>
    <t>华丽</t>
  </si>
  <si>
    <t>弗朗西斯</t>
  </si>
  <si>
    <t>柏莎</t>
  </si>
  <si>
    <t>王者</t>
  </si>
  <si>
    <t>弗莉达</t>
  </si>
  <si>
    <t>百丽儿</t>
  </si>
  <si>
    <t>龙之</t>
  </si>
  <si>
    <t>安东尼</t>
  </si>
  <si>
    <t>左岸</t>
  </si>
  <si>
    <t>安托瓦妮特</t>
  </si>
  <si>
    <t>盖尔</t>
  </si>
  <si>
    <t>贝芙</t>
  </si>
  <si>
    <t>阿尔</t>
  </si>
  <si>
    <t>安东尼娅</t>
  </si>
  <si>
    <t>乔治亚</t>
  </si>
  <si>
    <t>布兰琪</t>
  </si>
  <si>
    <t>挚爱</t>
  </si>
  <si>
    <t>匪徒</t>
  </si>
  <si>
    <t>阿拉贝拉</t>
  </si>
  <si>
    <t>杰拉尔丁</t>
  </si>
  <si>
    <t>卡米拉</t>
  </si>
  <si>
    <t>天道</t>
  </si>
  <si>
    <t>汏少爺</t>
  </si>
  <si>
    <t>阿奇博尔德</t>
  </si>
  <si>
    <t>吉榭尔</t>
  </si>
  <si>
    <t>坎蒂丝</t>
  </si>
  <si>
    <t>花满楼</t>
  </si>
  <si>
    <t>阿姆斯特朗</t>
  </si>
  <si>
    <t>葛罗瑞亚</t>
  </si>
  <si>
    <t>卡拉</t>
  </si>
  <si>
    <t>榮耀</t>
  </si>
  <si>
    <t>阿诺德</t>
  </si>
  <si>
    <t>格拉迪斯</t>
  </si>
  <si>
    <t>卡萝</t>
  </si>
  <si>
    <t>笑傲</t>
  </si>
  <si>
    <t>誑磝</t>
  </si>
  <si>
    <t>阿瑟</t>
  </si>
  <si>
    <t>神圣</t>
  </si>
  <si>
    <t>輝煌</t>
  </si>
  <si>
    <t>阿特利</t>
  </si>
  <si>
    <t>大爱</t>
  </si>
  <si>
    <t>妖娆</t>
  </si>
  <si>
    <t>茉莉</t>
  </si>
  <si>
    <t>奥古斯丁</t>
  </si>
  <si>
    <t>汉纳</t>
  </si>
  <si>
    <t>凯丝</t>
  </si>
  <si>
    <t>天使</t>
  </si>
  <si>
    <t>奥古斯塔斯</t>
  </si>
  <si>
    <t>海柔尔</t>
  </si>
  <si>
    <t>塞西莉亚</t>
  </si>
  <si>
    <t>温柔</t>
  </si>
  <si>
    <t>奥斯汀</t>
  </si>
  <si>
    <t>赫瑟尔</t>
  </si>
  <si>
    <t>赫达</t>
  </si>
  <si>
    <t>绮莉</t>
  </si>
  <si>
    <t>白壁德</t>
  </si>
  <si>
    <t>海伦</t>
  </si>
  <si>
    <t>克洛怡</t>
  </si>
  <si>
    <t>潇洒</t>
  </si>
  <si>
    <t>巴比</t>
  </si>
  <si>
    <t>海洛伊丝</t>
  </si>
  <si>
    <t>无忧</t>
  </si>
  <si>
    <t>巴比特</t>
  </si>
  <si>
    <t>胡尔达</t>
  </si>
  <si>
    <t>繁华</t>
  </si>
  <si>
    <t>巴赫</t>
  </si>
  <si>
    <t>克莱曼婷</t>
  </si>
  <si>
    <t>柔情</t>
  </si>
  <si>
    <t>培根</t>
  </si>
  <si>
    <t>康斯坦丝</t>
  </si>
  <si>
    <t>绝版</t>
  </si>
  <si>
    <t>鲍德温</t>
  </si>
  <si>
    <t>伊莎蓓尔</t>
  </si>
  <si>
    <t>科拉</t>
  </si>
  <si>
    <t>寂寞</t>
  </si>
  <si>
    <t>巴纳德</t>
  </si>
  <si>
    <t>杰奎琳</t>
  </si>
  <si>
    <t>卡洛儿</t>
  </si>
  <si>
    <t>幻想</t>
  </si>
  <si>
    <t>巴尼</t>
  </si>
  <si>
    <t>乔</t>
  </si>
  <si>
    <t>可妮莉雅</t>
  </si>
  <si>
    <t>旋律</t>
  </si>
  <si>
    <t>笨笨</t>
  </si>
  <si>
    <t>巴雷特</t>
  </si>
  <si>
    <t>琼</t>
  </si>
  <si>
    <t>黛西</t>
  </si>
  <si>
    <t>优雅</t>
  </si>
  <si>
    <t>飞飞</t>
  </si>
  <si>
    <t>希伯来</t>
  </si>
  <si>
    <t>黛儿</t>
  </si>
  <si>
    <t>精彩</t>
  </si>
  <si>
    <t>浮云</t>
  </si>
  <si>
    <t>巴里</t>
  </si>
  <si>
    <t>乔伊</t>
  </si>
  <si>
    <t>黛娜</t>
  </si>
  <si>
    <t>辉煌</t>
  </si>
  <si>
    <t>仙人</t>
  </si>
  <si>
    <t>巴特</t>
  </si>
  <si>
    <t>乔伊斯</t>
  </si>
  <si>
    <t>黛芙妮</t>
  </si>
  <si>
    <t>荣耀</t>
  </si>
  <si>
    <t>东东</t>
  </si>
  <si>
    <t>巴塞洛缪</t>
  </si>
  <si>
    <t>朱恩</t>
  </si>
  <si>
    <t>达莲娜</t>
  </si>
  <si>
    <t>梦之</t>
  </si>
  <si>
    <t>天宇</t>
  </si>
  <si>
    <t>巴特利特</t>
  </si>
  <si>
    <t>卡玛</t>
  </si>
  <si>
    <t>寻梦</t>
  </si>
  <si>
    <t>灰狼</t>
  </si>
  <si>
    <t>巴顿</t>
  </si>
  <si>
    <t>凯伦</t>
  </si>
  <si>
    <t>黛碧</t>
  </si>
  <si>
    <t>精英</t>
  </si>
  <si>
    <t>光光</t>
  </si>
  <si>
    <t>拜耳</t>
  </si>
  <si>
    <t>凯伊</t>
  </si>
  <si>
    <t>迪得莉</t>
  </si>
  <si>
    <t>阳阳</t>
  </si>
  <si>
    <t>鲍尔</t>
  </si>
  <si>
    <t>金百莉</t>
  </si>
  <si>
    <t>迪丽雅</t>
  </si>
  <si>
    <t>冷风</t>
  </si>
  <si>
    <t>蒲福</t>
  </si>
  <si>
    <t>吉蒂</t>
  </si>
  <si>
    <t>丹尼丝</t>
  </si>
  <si>
    <t>伤心</t>
  </si>
  <si>
    <t>竹子</t>
  </si>
  <si>
    <t>比尔德</t>
  </si>
  <si>
    <t>黛安娜</t>
  </si>
  <si>
    <t>迷糊</t>
  </si>
  <si>
    <t>牙牙</t>
  </si>
  <si>
    <t>博福特</t>
  </si>
  <si>
    <t>罗瑞尔</t>
  </si>
  <si>
    <t>善良</t>
  </si>
  <si>
    <t>小神</t>
  </si>
  <si>
    <t>比彻</t>
  </si>
  <si>
    <t>罗伦</t>
  </si>
  <si>
    <t>唐娜</t>
  </si>
  <si>
    <t>贝克</t>
  </si>
  <si>
    <t>李</t>
  </si>
  <si>
    <t>比利</t>
  </si>
  <si>
    <t>战神</t>
  </si>
  <si>
    <t>贝基</t>
  </si>
  <si>
    <t>多琳</t>
  </si>
  <si>
    <t>琼斯</t>
  </si>
  <si>
    <t>使者</t>
  </si>
  <si>
    <t>比尔博姆</t>
  </si>
  <si>
    <t>林赛</t>
  </si>
  <si>
    <t>多莉丝</t>
  </si>
  <si>
    <t>卡尔</t>
  </si>
  <si>
    <t>多多</t>
  </si>
  <si>
    <t>小龙</t>
  </si>
  <si>
    <t>贝尔</t>
  </si>
  <si>
    <t>洛兰</t>
  </si>
  <si>
    <t>查理</t>
  </si>
  <si>
    <t>汐</t>
  </si>
  <si>
    <t>胖胖</t>
  </si>
  <si>
    <t>贝拉米</t>
  </si>
  <si>
    <t>璐易丝</t>
  </si>
  <si>
    <t>尔莎</t>
  </si>
  <si>
    <t>嘉利</t>
  </si>
  <si>
    <t>羊羊</t>
  </si>
  <si>
    <t>闹闹</t>
  </si>
  <si>
    <t>莉迪亚</t>
  </si>
  <si>
    <t>丘奇</t>
  </si>
  <si>
    <t>毛毛</t>
  </si>
  <si>
    <t>贝洛克</t>
  </si>
  <si>
    <t>玛佩尔</t>
  </si>
  <si>
    <t>丹</t>
  </si>
  <si>
    <t>本</t>
  </si>
  <si>
    <t>玛德琳</t>
  </si>
  <si>
    <t>艾德文娜</t>
  </si>
  <si>
    <t>杜威</t>
  </si>
  <si>
    <t>雪舞</t>
  </si>
  <si>
    <t>皇帝</t>
  </si>
  <si>
    <t>本尼迪克特</t>
  </si>
  <si>
    <t>穆得</t>
  </si>
  <si>
    <t>艾琳</t>
  </si>
  <si>
    <t>迪克</t>
  </si>
  <si>
    <t>春哥</t>
  </si>
  <si>
    <t>本杰明</t>
  </si>
  <si>
    <t>塞尔特</t>
  </si>
  <si>
    <t>道尔</t>
  </si>
  <si>
    <t>酷酷</t>
  </si>
  <si>
    <t>贝内特</t>
  </si>
  <si>
    <t>麦格</t>
  </si>
  <si>
    <t>伊丽莎白</t>
  </si>
  <si>
    <t>盖伊</t>
  </si>
  <si>
    <t>圈圈</t>
  </si>
  <si>
    <t>本森</t>
  </si>
  <si>
    <t>梅根</t>
  </si>
  <si>
    <t>埃拉</t>
  </si>
  <si>
    <t>麦兜</t>
  </si>
  <si>
    <t>本瑟姆</t>
  </si>
  <si>
    <t>玛希</t>
  </si>
  <si>
    <t>休</t>
  </si>
  <si>
    <t>熊熊</t>
  </si>
  <si>
    <t>伯克利</t>
  </si>
  <si>
    <t>玛莉提丝</t>
  </si>
  <si>
    <t>爱尔莎</t>
  </si>
  <si>
    <t>伊凡</t>
  </si>
  <si>
    <t>夜夜</t>
  </si>
  <si>
    <t>边沁</t>
  </si>
  <si>
    <t>纳塔利</t>
  </si>
  <si>
    <t>麒麟</t>
  </si>
  <si>
    <t>贝克莱</t>
  </si>
  <si>
    <t>诺玛</t>
  </si>
  <si>
    <t>艾娃</t>
  </si>
  <si>
    <t>梅</t>
  </si>
  <si>
    <t>苍穹</t>
  </si>
  <si>
    <t>伯纳尔</t>
  </si>
  <si>
    <t>诺维雅</t>
  </si>
  <si>
    <t>埃米莉</t>
  </si>
  <si>
    <t>阿萨</t>
  </si>
  <si>
    <t>伯纳德</t>
  </si>
  <si>
    <t>奥蒂列特</t>
  </si>
  <si>
    <t>埃玛</t>
  </si>
  <si>
    <t>伯纳尔德</t>
  </si>
  <si>
    <t>欧尔佳</t>
  </si>
  <si>
    <t>艾丽卡</t>
  </si>
  <si>
    <t>伯特</t>
  </si>
  <si>
    <t>普鲁登斯</t>
  </si>
  <si>
    <t>艾丝特</t>
  </si>
  <si>
    <t>伯莎</t>
  </si>
  <si>
    <t>普莉斯拉</t>
  </si>
  <si>
    <t>尤多拉</t>
  </si>
  <si>
    <t>伯蒂</t>
  </si>
  <si>
    <t>波比</t>
  </si>
  <si>
    <t>尤妮斯</t>
  </si>
  <si>
    <t>伯特伦</t>
  </si>
  <si>
    <t>罗伯塔</t>
  </si>
  <si>
    <t>伊文捷琳</t>
  </si>
  <si>
    <t>诺拉</t>
  </si>
  <si>
    <t>贝色麦</t>
  </si>
  <si>
    <t>罗克珊</t>
  </si>
  <si>
    <t>伊芙</t>
  </si>
  <si>
    <t>贝丝</t>
  </si>
  <si>
    <t>鲁思</t>
  </si>
  <si>
    <t>伊夫林</t>
  </si>
  <si>
    <t>贝西墨</t>
  </si>
  <si>
    <t>丝柏凌</t>
  </si>
  <si>
    <t>梵妮</t>
  </si>
  <si>
    <t>贝西</t>
  </si>
  <si>
    <t>斯泰西</t>
  </si>
  <si>
    <t>费怡</t>
  </si>
  <si>
    <t>丝特勒</t>
  </si>
  <si>
    <t>弗罗拉</t>
  </si>
  <si>
    <t>白求恩</t>
  </si>
  <si>
    <t>托比</t>
  </si>
  <si>
    <t>弗罗伦丝</t>
  </si>
  <si>
    <t>厄休拉</t>
  </si>
  <si>
    <t>维隆卡</t>
  </si>
  <si>
    <t>菲蕾德翠卡</t>
  </si>
  <si>
    <t>比尔</t>
  </si>
  <si>
    <t>维多利亚</t>
  </si>
  <si>
    <t>嘉比里拉</t>
  </si>
  <si>
    <t>维基</t>
  </si>
  <si>
    <t>姬玛</t>
  </si>
  <si>
    <t>比勒尔</t>
  </si>
  <si>
    <t>维文</t>
  </si>
  <si>
    <t>珍妮芙</t>
  </si>
  <si>
    <t>樱花</t>
  </si>
  <si>
    <t>布莱克</t>
  </si>
  <si>
    <t>梧桐</t>
  </si>
  <si>
    <t>桑席</t>
  </si>
  <si>
    <t>月影</t>
  </si>
  <si>
    <t>布卢默</t>
  </si>
  <si>
    <t>耶达</t>
  </si>
  <si>
    <t>葛瑞丝</t>
  </si>
  <si>
    <t>小花</t>
  </si>
  <si>
    <t>布洛姆菲尔德</t>
  </si>
  <si>
    <t>依耶芙特</t>
  </si>
  <si>
    <t>葛莉谢尔达</t>
  </si>
  <si>
    <t>小兔</t>
  </si>
  <si>
    <t>布龙菲尔德</t>
  </si>
  <si>
    <t>葛佳丝塔芙</t>
  </si>
  <si>
    <t>蘑菇</t>
  </si>
  <si>
    <t>布卢尔</t>
  </si>
  <si>
    <t>关德琳</t>
  </si>
  <si>
    <t>小丫</t>
  </si>
  <si>
    <t>布劳</t>
  </si>
  <si>
    <t>晨曦</t>
  </si>
  <si>
    <t>布卢姆</t>
  </si>
  <si>
    <t>哈莉特</t>
  </si>
  <si>
    <t>如梦</t>
  </si>
  <si>
    <t>鲍勃</t>
  </si>
  <si>
    <t>囡囡</t>
  </si>
  <si>
    <t>博比</t>
  </si>
  <si>
    <t>赫蒂</t>
  </si>
  <si>
    <t>海棠</t>
  </si>
  <si>
    <t>博斯韦尔</t>
  </si>
  <si>
    <t>婷婷</t>
  </si>
  <si>
    <t>鲍恩</t>
  </si>
  <si>
    <t>嘟嘟</t>
  </si>
  <si>
    <t>波义耳</t>
  </si>
  <si>
    <t>希尔达</t>
  </si>
  <si>
    <t>兔兔</t>
  </si>
  <si>
    <t>鲍曼</t>
  </si>
  <si>
    <t>希拉瑞莉</t>
  </si>
  <si>
    <t>糖糖</t>
  </si>
  <si>
    <t>波伊尔</t>
  </si>
  <si>
    <t>汉妮</t>
  </si>
  <si>
    <t>三月</t>
  </si>
  <si>
    <t>布拉德利</t>
  </si>
  <si>
    <t>风铃</t>
  </si>
  <si>
    <t>布雷</t>
  </si>
  <si>
    <t>艾娜</t>
  </si>
  <si>
    <t>落落</t>
  </si>
  <si>
    <t>布鲁斯特</t>
  </si>
  <si>
    <t>英格丽</t>
  </si>
  <si>
    <t>布里奇斯</t>
  </si>
  <si>
    <t>罂粟</t>
  </si>
  <si>
    <t>布赖特</t>
  </si>
  <si>
    <t>爱莉丝</t>
  </si>
  <si>
    <t>妮子</t>
  </si>
  <si>
    <t>布罗德</t>
  </si>
  <si>
    <t>丹丹</t>
  </si>
  <si>
    <t>一一</t>
  </si>
  <si>
    <t>勃朗特</t>
  </si>
  <si>
    <t>艾薇</t>
  </si>
  <si>
    <t>糖果</t>
  </si>
  <si>
    <t>菲菲</t>
  </si>
  <si>
    <t>布朗</t>
  </si>
  <si>
    <t>婕咪</t>
  </si>
  <si>
    <t>羽毛</t>
  </si>
  <si>
    <t>珍</t>
  </si>
  <si>
    <t>萝莉</t>
  </si>
  <si>
    <t>布朗宁</t>
  </si>
  <si>
    <t>珍妮特</t>
  </si>
  <si>
    <t>落雪</t>
  </si>
  <si>
    <t>勃朗宁</t>
  </si>
  <si>
    <t>珍尼丝</t>
  </si>
  <si>
    <t>花飞</t>
  </si>
  <si>
    <t>布鲁斯</t>
  </si>
  <si>
    <t>琴</t>
  </si>
  <si>
    <t>暗香</t>
  </si>
  <si>
    <t>布鲁诺</t>
  </si>
  <si>
    <t>姬儿</t>
  </si>
  <si>
    <t>夏天</t>
  </si>
  <si>
    <t>boy</t>
    <phoneticPr fontId="17" type="noConversion"/>
  </si>
  <si>
    <t>girl</t>
    <phoneticPr fontId="17" type="noConversion"/>
  </si>
  <si>
    <t>girl</t>
    <phoneticPr fontId="17" type="noConversion"/>
  </si>
  <si>
    <t>boy</t>
    <phoneticPr fontId="17" type="noConversion"/>
  </si>
  <si>
    <t>黑骑</t>
    <phoneticPr fontId="17" type="noConversion"/>
  </si>
  <si>
    <t>萌</t>
    <phoneticPr fontId="17" type="noConversion"/>
  </si>
  <si>
    <t>小强</t>
    <phoneticPr fontId="17" type="noConversion"/>
  </si>
  <si>
    <t>旗木</t>
    <phoneticPr fontId="17" type="noConversion"/>
  </si>
  <si>
    <t>冷</t>
    <phoneticPr fontId="17" type="noConversion"/>
  </si>
  <si>
    <t>香远</t>
    <phoneticPr fontId="17" type="noConversion"/>
  </si>
  <si>
    <t>漩涡</t>
    <phoneticPr fontId="17" type="noConversion"/>
  </si>
  <si>
    <t>丽影</t>
    <phoneticPr fontId="17" type="noConversion"/>
  </si>
  <si>
    <t>孙</t>
    <phoneticPr fontId="17" type="noConversion"/>
  </si>
  <si>
    <t>古墓</t>
    <phoneticPr fontId="17" type="noConversion"/>
  </si>
  <si>
    <t>莎</t>
    <phoneticPr fontId="17" type="noConversion"/>
  </si>
  <si>
    <t>骑士</t>
    <phoneticPr fontId="17" type="noConversion"/>
  </si>
  <si>
    <t>专属</t>
    <phoneticPr fontId="17" type="noConversion"/>
  </si>
  <si>
    <t>丫头</t>
    <phoneticPr fontId="17" type="noConversion"/>
  </si>
  <si>
    <t>帅帅</t>
    <phoneticPr fontId="17" type="noConversion"/>
  </si>
  <si>
    <t>非主流</t>
    <phoneticPr fontId="17" type="noConversion"/>
  </si>
  <si>
    <t>洛</t>
    <phoneticPr fontId="17" type="noConversion"/>
  </si>
  <si>
    <t>阿木</t>
    <phoneticPr fontId="17" type="noConversion"/>
  </si>
  <si>
    <t>小帅</t>
    <phoneticPr fontId="17" type="noConversion"/>
  </si>
  <si>
    <t>宇智波</t>
    <phoneticPr fontId="17" type="noConversion"/>
  </si>
  <si>
    <t>银铃</t>
    <phoneticPr fontId="17" type="noConversion"/>
  </si>
  <si>
    <t>绅士</t>
    <phoneticPr fontId="17" type="noConversion"/>
  </si>
  <si>
    <t>完美</t>
    <phoneticPr fontId="17" type="noConversion"/>
  </si>
  <si>
    <t>小芳</t>
    <phoneticPr fontId="17" type="noConversion"/>
  </si>
  <si>
    <t>佐助</t>
    <phoneticPr fontId="17" type="noConversion"/>
  </si>
  <si>
    <t>芳芳</t>
    <phoneticPr fontId="17" type="noConversion"/>
  </si>
  <si>
    <t>鸣人</t>
    <phoneticPr fontId="17" type="noConversion"/>
  </si>
  <si>
    <t>冰激凌</t>
    <phoneticPr fontId="17" type="noConversion"/>
  </si>
  <si>
    <t>小八</t>
    <phoneticPr fontId="17" type="noConversion"/>
  </si>
  <si>
    <t>卡卡西</t>
    <phoneticPr fontId="17" type="noConversion"/>
  </si>
  <si>
    <r>
      <rPr>
        <sz val="11"/>
        <color rgb="FF000000"/>
        <rFont val="宋体"/>
        <family val="2"/>
        <charset val="134"/>
      </rPr>
      <t>回忆</t>
    </r>
    <phoneticPr fontId="17" type="noConversion"/>
  </si>
  <si>
    <t>八酱</t>
    <phoneticPr fontId="17" type="noConversion"/>
  </si>
  <si>
    <t>一户</t>
    <phoneticPr fontId="17" type="noConversion"/>
  </si>
  <si>
    <r>
      <rPr>
        <sz val="11"/>
        <color rgb="FF000000"/>
        <rFont val="宋体"/>
        <family val="2"/>
        <charset val="134"/>
      </rPr>
      <t>独恋</t>
    </r>
    <phoneticPr fontId="17" type="noConversion"/>
  </si>
  <si>
    <t>喵酱</t>
    <phoneticPr fontId="17" type="noConversion"/>
  </si>
  <si>
    <r>
      <rPr>
        <sz val="11"/>
        <color rgb="FF000000"/>
        <rFont val="宋体"/>
        <family val="2"/>
        <charset val="134"/>
      </rPr>
      <t>传说</t>
    </r>
    <phoneticPr fontId="17" type="noConversion"/>
  </si>
  <si>
    <r>
      <rPr>
        <sz val="11"/>
        <color rgb="FF000000"/>
        <rFont val="宋体"/>
        <family val="2"/>
        <charset val="134"/>
      </rPr>
      <t>经典</t>
    </r>
    <phoneticPr fontId="17" type="noConversion"/>
  </si>
  <si>
    <t>小笨蛋</t>
    <phoneticPr fontId="17" type="noConversion"/>
  </si>
  <si>
    <t>墨尘</t>
    <phoneticPr fontId="17" type="noConversion"/>
  </si>
  <si>
    <r>
      <rPr>
        <sz val="11"/>
        <color rgb="FF000000"/>
        <rFont val="宋体"/>
        <family val="2"/>
        <charset val="134"/>
      </rPr>
      <t>单身</t>
    </r>
    <phoneticPr fontId="17" type="noConversion"/>
  </si>
  <si>
    <t>coco</t>
    <phoneticPr fontId="17" type="noConversion"/>
  </si>
  <si>
    <t>小林</t>
    <phoneticPr fontId="17" type="noConversion"/>
  </si>
  <si>
    <r>
      <rPr>
        <sz val="11"/>
        <color rgb="FF000000"/>
        <rFont val="宋体"/>
        <family val="2"/>
        <charset val="134"/>
      </rPr>
      <t>恋</t>
    </r>
    <phoneticPr fontId="17" type="noConversion"/>
  </si>
  <si>
    <t>燕尾蝶</t>
    <phoneticPr fontId="17" type="noConversion"/>
  </si>
  <si>
    <t>悟空</t>
    <phoneticPr fontId="17" type="noConversion"/>
  </si>
  <si>
    <r>
      <rPr>
        <sz val="11"/>
        <color rgb="FF000000"/>
        <rFont val="宋体"/>
        <family val="2"/>
        <charset val="134"/>
      </rPr>
      <t>午夜</t>
    </r>
    <phoneticPr fontId="17" type="noConversion"/>
  </si>
  <si>
    <t>姑娘</t>
    <phoneticPr fontId="17" type="noConversion"/>
  </si>
  <si>
    <t>小傻瓜</t>
    <phoneticPr fontId="17" type="noConversion"/>
  </si>
  <si>
    <r>
      <rPr>
        <sz val="11"/>
        <color rgb="FF000000"/>
        <rFont val="宋体"/>
        <family val="2"/>
        <charset val="134"/>
      </rPr>
      <t>大和</t>
    </r>
    <phoneticPr fontId="17" type="noConversion"/>
  </si>
  <si>
    <r>
      <rPr>
        <sz val="11"/>
        <color rgb="FF000000"/>
        <rFont val="宋体"/>
        <family val="2"/>
        <charset val="134"/>
      </rPr>
      <t>可爱</t>
    </r>
    <phoneticPr fontId="17" type="noConversion"/>
  </si>
  <si>
    <t>小妞</t>
    <phoneticPr fontId="17" type="noConversion"/>
  </si>
  <si>
    <t>小雨</t>
    <phoneticPr fontId="17" type="noConversion"/>
  </si>
  <si>
    <r>
      <rPr>
        <sz val="11"/>
        <color rgb="FF000000"/>
        <rFont val="宋体"/>
        <family val="2"/>
        <charset val="134"/>
      </rPr>
      <t>慕容</t>
    </r>
    <phoneticPr fontId="17" type="noConversion"/>
  </si>
  <si>
    <t>小小</t>
    <phoneticPr fontId="17" type="noConversion"/>
  </si>
  <si>
    <t>小宇</t>
    <phoneticPr fontId="17" type="noConversion"/>
  </si>
  <si>
    <r>
      <rPr>
        <sz val="11"/>
        <color rgb="FF000000"/>
        <rFont val="宋体"/>
        <family val="2"/>
        <charset val="134"/>
      </rPr>
      <t>欧阳</t>
    </r>
    <phoneticPr fontId="17" type="noConversion"/>
  </si>
  <si>
    <t>玲玲</t>
    <phoneticPr fontId="17" type="noConversion"/>
  </si>
  <si>
    <t>小羽</t>
    <phoneticPr fontId="17" type="noConversion"/>
  </si>
  <si>
    <r>
      <rPr>
        <sz val="11"/>
        <color rgb="FF000000"/>
        <rFont val="宋体"/>
        <family val="2"/>
        <charset val="134"/>
      </rPr>
      <t>西门</t>
    </r>
    <phoneticPr fontId="17" type="noConversion"/>
  </si>
  <si>
    <r>
      <rPr>
        <sz val="11"/>
        <color rgb="FF000000"/>
        <rFont val="宋体"/>
        <family val="2"/>
        <charset val="134"/>
      </rPr>
      <t>千语</t>
    </r>
    <phoneticPr fontId="17" type="noConversion"/>
  </si>
  <si>
    <t>啊绫</t>
    <phoneticPr fontId="17" type="noConversion"/>
  </si>
  <si>
    <t>小渔</t>
    <phoneticPr fontId="17" type="noConversion"/>
  </si>
  <si>
    <r>
      <rPr>
        <sz val="11"/>
        <color rgb="FF000000"/>
        <rFont val="宋体"/>
        <family val="2"/>
        <charset val="134"/>
      </rPr>
      <t>南宫</t>
    </r>
    <phoneticPr fontId="17" type="noConversion"/>
  </si>
  <si>
    <t>美人</t>
    <phoneticPr fontId="17" type="noConversion"/>
  </si>
  <si>
    <t>小煜</t>
    <phoneticPr fontId="17" type="noConversion"/>
  </si>
  <si>
    <r>
      <rPr>
        <sz val="11"/>
        <color rgb="FF000000"/>
        <rFont val="宋体"/>
        <family val="2"/>
        <charset val="134"/>
      </rPr>
      <t>夏侯</t>
    </r>
    <phoneticPr fontId="17" type="noConversion"/>
  </si>
  <si>
    <t>倾城</t>
    <phoneticPr fontId="17" type="noConversion"/>
  </si>
  <si>
    <t>妖精</t>
    <phoneticPr fontId="17" type="noConversion"/>
  </si>
  <si>
    <t>潇雨</t>
    <phoneticPr fontId="17" type="noConversion"/>
  </si>
  <si>
    <r>
      <rPr>
        <sz val="11"/>
        <color rgb="FF000000"/>
        <rFont val="宋体"/>
        <family val="2"/>
        <charset val="134"/>
      </rPr>
      <t>诸葛</t>
    </r>
    <phoneticPr fontId="17" type="noConversion"/>
  </si>
  <si>
    <t>娜娜</t>
    <phoneticPr fontId="17" type="noConversion"/>
  </si>
  <si>
    <t>小瑜</t>
    <phoneticPr fontId="17" type="noConversion"/>
  </si>
  <si>
    <r>
      <rPr>
        <sz val="11"/>
        <color rgb="FF000000"/>
        <rFont val="宋体"/>
        <family val="2"/>
        <charset val="134"/>
      </rPr>
      <t>哈利</t>
    </r>
    <phoneticPr fontId="17" type="noConversion"/>
  </si>
  <si>
    <t>小娜</t>
    <phoneticPr fontId="17" type="noConversion"/>
  </si>
  <si>
    <t>晓宇</t>
    <phoneticPr fontId="17" type="noConversion"/>
  </si>
  <si>
    <r>
      <rPr>
        <sz val="11"/>
        <color rgb="FF000000"/>
        <rFont val="宋体"/>
        <family val="2"/>
        <charset val="134"/>
      </rPr>
      <t>演绎</t>
    </r>
    <phoneticPr fontId="17" type="noConversion"/>
  </si>
  <si>
    <t>小禹</t>
    <phoneticPr fontId="17" type="noConversion"/>
  </si>
  <si>
    <r>
      <rPr>
        <sz val="11"/>
        <color rgb="FF000000"/>
        <rFont val="宋体"/>
        <family val="2"/>
        <charset val="134"/>
      </rPr>
      <t>司马</t>
    </r>
    <phoneticPr fontId="17" type="noConversion"/>
  </si>
  <si>
    <t>小鱼</t>
    <phoneticPr fontId="17" type="noConversion"/>
  </si>
  <si>
    <t>豆包</t>
    <phoneticPr fontId="17" type="noConversion"/>
  </si>
  <si>
    <r>
      <rPr>
        <sz val="11"/>
        <color rgb="FF000000"/>
        <rFont val="宋体"/>
        <family val="2"/>
        <charset val="134"/>
      </rPr>
      <t>春野</t>
    </r>
    <phoneticPr fontId="17" type="noConversion"/>
  </si>
  <si>
    <t>包子</t>
    <phoneticPr fontId="17" type="noConversion"/>
  </si>
  <si>
    <t>猫猫</t>
    <phoneticPr fontId="17" type="noConversion"/>
  </si>
  <si>
    <t>豆浆</t>
    <phoneticPr fontId="17" type="noConversion"/>
  </si>
  <si>
    <r>
      <rPr>
        <sz val="11"/>
        <color rgb="FF000000"/>
        <rFont val="宋体"/>
        <family val="2"/>
        <charset val="134"/>
      </rPr>
      <t>卑弥呼</t>
    </r>
    <phoneticPr fontId="17" type="noConversion"/>
  </si>
  <si>
    <t>玄子</t>
    <phoneticPr fontId="17" type="noConversion"/>
  </si>
  <si>
    <t>志伟</t>
    <phoneticPr fontId="17" type="noConversion"/>
  </si>
  <si>
    <r>
      <rPr>
        <sz val="11"/>
        <color rgb="FF000000"/>
        <rFont val="宋体"/>
        <family val="2"/>
        <charset val="134"/>
      </rPr>
      <t>彩虹</t>
    </r>
    <phoneticPr fontId="17" type="noConversion"/>
  </si>
  <si>
    <t>国宝</t>
    <phoneticPr fontId="17" type="noConversion"/>
  </si>
  <si>
    <t>小辉</t>
    <phoneticPr fontId="17" type="noConversion"/>
  </si>
  <si>
    <t>熊猫</t>
    <phoneticPr fontId="17" type="noConversion"/>
  </si>
  <si>
    <t>小二</t>
    <phoneticPr fontId="17" type="noConversion"/>
  </si>
  <si>
    <t>蕊</t>
    <phoneticPr fontId="17" type="noConversion"/>
  </si>
  <si>
    <t>瑞</t>
    <phoneticPr fontId="17" type="noConversion"/>
  </si>
  <si>
    <t>小蕊</t>
    <phoneticPr fontId="17" type="noConversion"/>
  </si>
  <si>
    <t>小瑞</t>
    <phoneticPr fontId="17" type="noConversion"/>
  </si>
  <si>
    <t>七夜</t>
    <phoneticPr fontId="17" type="noConversion"/>
  </si>
  <si>
    <t>墨墨</t>
    <phoneticPr fontId="17" type="noConversion"/>
  </si>
  <si>
    <t>笑笑</t>
    <phoneticPr fontId="17" type="noConversion"/>
  </si>
  <si>
    <t>阿修罗</t>
    <phoneticPr fontId="17" type="noConversion"/>
  </si>
  <si>
    <t>泪</t>
    <phoneticPr fontId="17" type="noConversion"/>
  </si>
  <si>
    <t>星星</t>
    <phoneticPr fontId="17" type="noConversion"/>
  </si>
  <si>
    <t>红人</t>
    <phoneticPr fontId="17" type="noConversion"/>
  </si>
  <si>
    <t>淑女</t>
    <phoneticPr fontId="17" type="noConversion"/>
  </si>
  <si>
    <t>star</t>
    <phoneticPr fontId="17" type="noConversion"/>
  </si>
  <si>
    <t>梦</t>
    <phoneticPr fontId="17" type="noConversion"/>
  </si>
  <si>
    <t>小梦</t>
    <phoneticPr fontId="17" type="noConversion"/>
  </si>
  <si>
    <t>卡罗琳</t>
  </si>
  <si>
    <t>晓梦</t>
    <phoneticPr fontId="17" type="noConversion"/>
  </si>
  <si>
    <t>凯瑟琳</t>
  </si>
  <si>
    <t>茉莉</t>
    <phoneticPr fontId="17" type="noConversion"/>
  </si>
  <si>
    <r>
      <rPr>
        <sz val="11"/>
        <color rgb="FF000000"/>
        <rFont val="宋体"/>
        <family val="2"/>
        <charset val="134"/>
      </rPr>
      <t>神气</t>
    </r>
    <phoneticPr fontId="17" type="noConversion"/>
  </si>
  <si>
    <t>牡丹</t>
    <phoneticPr fontId="17" type="noConversion"/>
  </si>
  <si>
    <r>
      <rPr>
        <sz val="11"/>
        <color rgb="FF000000"/>
        <rFont val="宋体"/>
        <family val="2"/>
        <charset val="134"/>
      </rPr>
      <t>先生</t>
    </r>
    <phoneticPr fontId="17" type="noConversion"/>
  </si>
  <si>
    <t>姗姗</t>
    <phoneticPr fontId="17" type="noConversion"/>
  </si>
  <si>
    <r>
      <rPr>
        <sz val="11"/>
        <color rgb="FF000000"/>
        <rFont val="宋体"/>
        <family val="2"/>
        <charset val="134"/>
      </rPr>
      <t>浪子</t>
    </r>
    <phoneticPr fontId="17" type="noConversion"/>
  </si>
  <si>
    <t>灵魂</t>
    <phoneticPr fontId="17" type="noConversion"/>
  </si>
  <si>
    <t>小珊</t>
    <phoneticPr fontId="17" type="noConversion"/>
  </si>
  <si>
    <r>
      <rPr>
        <sz val="11"/>
        <color rgb="FF000000"/>
        <rFont val="宋体"/>
        <family val="2"/>
        <charset val="134"/>
      </rPr>
      <t>空空</t>
    </r>
    <phoneticPr fontId="17" type="noConversion"/>
  </si>
  <si>
    <t>无情</t>
    <phoneticPr fontId="17" type="noConversion"/>
  </si>
  <si>
    <t>天使</t>
    <phoneticPr fontId="17" type="noConversion"/>
  </si>
  <si>
    <t>卡卡</t>
    <phoneticPr fontId="17" type="noConversion"/>
  </si>
  <si>
    <t>咪咪</t>
    <phoneticPr fontId="17" type="noConversion"/>
  </si>
  <si>
    <r>
      <rPr>
        <sz val="11"/>
        <color rgb="FF000000"/>
        <rFont val="宋体"/>
        <family val="2"/>
        <charset val="134"/>
      </rPr>
      <t>清景</t>
    </r>
    <phoneticPr fontId="17" type="noConversion"/>
  </si>
  <si>
    <t>蜜蜜</t>
    <phoneticPr fontId="17" type="noConversion"/>
  </si>
  <si>
    <r>
      <rPr>
        <sz val="11"/>
        <color rgb="FF000000"/>
        <rFont val="宋体"/>
        <family val="2"/>
        <charset val="134"/>
      </rPr>
      <t>晓林</t>
    </r>
    <phoneticPr fontId="17" type="noConversion"/>
  </si>
  <si>
    <t>小蜜</t>
    <phoneticPr fontId="17" type="noConversion"/>
  </si>
  <si>
    <r>
      <rPr>
        <sz val="11"/>
        <color rgb="FF000000"/>
        <rFont val="宋体"/>
        <family val="2"/>
        <charset val="134"/>
      </rPr>
      <t>庆</t>
    </r>
    <phoneticPr fontId="17" type="noConversion"/>
  </si>
  <si>
    <t>小秘</t>
    <phoneticPr fontId="17" type="noConversion"/>
  </si>
  <si>
    <r>
      <rPr>
        <sz val="11"/>
        <color rgb="FF000000"/>
        <rFont val="宋体"/>
        <family val="2"/>
        <charset val="134"/>
      </rPr>
      <t>阿信</t>
    </r>
    <phoneticPr fontId="17" type="noConversion"/>
  </si>
  <si>
    <t>莫莫</t>
    <phoneticPr fontId="17" type="noConversion"/>
  </si>
  <si>
    <r>
      <rPr>
        <sz val="11"/>
        <color rgb="FF000000"/>
        <rFont val="宋体"/>
        <family val="2"/>
        <charset val="134"/>
      </rPr>
      <t>波特</t>
    </r>
    <phoneticPr fontId="17" type="noConversion"/>
  </si>
  <si>
    <t>沫沫</t>
    <phoneticPr fontId="17" type="noConversion"/>
  </si>
  <si>
    <r>
      <rPr>
        <sz val="11"/>
        <color rgb="FF000000"/>
        <rFont val="宋体"/>
        <family val="2"/>
        <charset val="134"/>
      </rPr>
      <t>草雉</t>
    </r>
    <phoneticPr fontId="17" type="noConversion"/>
  </si>
  <si>
    <t>么么</t>
    <phoneticPr fontId="17" type="noConversion"/>
  </si>
  <si>
    <r>
      <rPr>
        <sz val="11"/>
        <color rgb="FF000000"/>
        <rFont val="宋体"/>
        <family val="2"/>
        <charset val="134"/>
      </rPr>
      <t>巴神</t>
    </r>
    <phoneticPr fontId="17" type="noConversion"/>
  </si>
  <si>
    <t>美子</t>
    <phoneticPr fontId="17" type="noConversion"/>
  </si>
  <si>
    <t>雯雯</t>
    <phoneticPr fontId="17" type="noConversion"/>
  </si>
  <si>
    <t>小雯</t>
    <phoneticPr fontId="17" type="noConversion"/>
  </si>
  <si>
    <t>晓雯</t>
    <phoneticPr fontId="17" type="noConversion"/>
  </si>
  <si>
    <t>乐乐</t>
    <phoneticPr fontId="17" type="noConversion"/>
  </si>
  <si>
    <t>小仙</t>
    <phoneticPr fontId="17" type="noConversion"/>
  </si>
  <si>
    <t>仙儿</t>
    <phoneticPr fontId="17" type="noConversion"/>
  </si>
  <si>
    <t>supper</t>
    <phoneticPr fontId="17" type="noConversion"/>
  </si>
  <si>
    <t>格格</t>
    <phoneticPr fontId="17" type="noConversion"/>
  </si>
  <si>
    <t>记忆</t>
    <phoneticPr fontId="17" type="noConversion"/>
  </si>
  <si>
    <t>小倩</t>
    <phoneticPr fontId="17" type="noConversion"/>
  </si>
  <si>
    <t>倩倩</t>
    <phoneticPr fontId="17" type="noConversion"/>
  </si>
  <si>
    <t>小茜</t>
    <phoneticPr fontId="17" type="noConversion"/>
  </si>
  <si>
    <t>公主</t>
    <phoneticPr fontId="17" type="noConversion"/>
  </si>
  <si>
    <t>泡泡</t>
    <phoneticPr fontId="17" type="noConversion"/>
  </si>
  <si>
    <t>小诺</t>
    <phoneticPr fontId="17" type="noConversion"/>
  </si>
  <si>
    <t>小</t>
    <phoneticPr fontId="17" type="noConversion"/>
  </si>
  <si>
    <r>
      <rPr>
        <sz val="11"/>
        <color rgb="FF000000"/>
        <rFont val="宋体"/>
        <family val="2"/>
        <charset val="134"/>
      </rPr>
      <t>鬼鬼</t>
    </r>
    <phoneticPr fontId="17" type="noConversion"/>
  </si>
  <si>
    <r>
      <rPr>
        <sz val="11"/>
        <color rgb="FF000000"/>
        <rFont val="宋体"/>
        <family val="2"/>
        <charset val="134"/>
      </rPr>
      <t>小鬼</t>
    </r>
    <phoneticPr fontId="17" type="noConversion"/>
  </si>
  <si>
    <t>大飞</t>
    <phoneticPr fontId="17" type="noConversion"/>
  </si>
  <si>
    <r>
      <rPr>
        <sz val="11"/>
        <color rgb="FF000000"/>
        <rFont val="宋体"/>
        <family val="2"/>
        <charset val="134"/>
      </rPr>
      <t>琪琪</t>
    </r>
    <phoneticPr fontId="17" type="noConversion"/>
  </si>
  <si>
    <r>
      <rPr>
        <sz val="11"/>
        <color rgb="FF000000"/>
        <rFont val="宋体"/>
        <family val="2"/>
        <charset val="134"/>
      </rPr>
      <t>温柔</t>
    </r>
    <phoneticPr fontId="17" type="noConversion"/>
  </si>
  <si>
    <r>
      <rPr>
        <sz val="11"/>
        <color rgb="FF000000"/>
        <rFont val="宋体"/>
        <family val="2"/>
        <charset val="134"/>
      </rPr>
      <t>小姐</t>
    </r>
    <phoneticPr fontId="17" type="noConversion"/>
  </si>
  <si>
    <t>娜</t>
    <phoneticPr fontId="17" type="noConversion"/>
  </si>
  <si>
    <r>
      <rPr>
        <sz val="11"/>
        <color rgb="FF000000"/>
        <rFont val="宋体"/>
        <family val="2"/>
        <charset val="134"/>
      </rPr>
      <t>心儿</t>
    </r>
    <phoneticPr fontId="17" type="noConversion"/>
  </si>
  <si>
    <r>
      <rPr>
        <sz val="11"/>
        <color rgb="FF000000"/>
        <rFont val="宋体"/>
        <family val="2"/>
        <charset val="134"/>
      </rPr>
      <t>欣儿</t>
    </r>
    <phoneticPr fontId="17" type="noConversion"/>
  </si>
  <si>
    <r>
      <rPr>
        <sz val="11"/>
        <color rgb="FF000000"/>
        <rFont val="宋体"/>
        <family val="2"/>
        <charset val="134"/>
      </rPr>
      <t>馨儿</t>
    </r>
    <phoneticPr fontId="17" type="noConversion"/>
  </si>
  <si>
    <t>小静</t>
    <phoneticPr fontId="17" type="noConversion"/>
  </si>
  <si>
    <t>永恒</t>
    <phoneticPr fontId="17" type="noConversion"/>
  </si>
  <si>
    <r>
      <rPr>
        <sz val="11"/>
        <color rgb="FF000000"/>
        <rFont val="宋体"/>
        <family val="2"/>
        <charset val="134"/>
      </rPr>
      <t>虹虹</t>
    </r>
    <phoneticPr fontId="17" type="noConversion"/>
  </si>
  <si>
    <r>
      <rPr>
        <sz val="11"/>
        <color rgb="FF000000"/>
        <rFont val="宋体"/>
        <family val="2"/>
        <charset val="134"/>
      </rPr>
      <t>傲雪</t>
    </r>
    <phoneticPr fontId="17" type="noConversion"/>
  </si>
  <si>
    <r>
      <rPr>
        <sz val="11"/>
        <color rgb="FF000000"/>
        <rFont val="宋体"/>
        <family val="2"/>
        <charset val="134"/>
      </rPr>
      <t>扶子</t>
    </r>
    <phoneticPr fontId="17" type="noConversion"/>
  </si>
  <si>
    <r>
      <rPr>
        <sz val="11"/>
        <color rgb="FF000000"/>
        <rFont val="宋体"/>
        <family val="2"/>
        <charset val="134"/>
      </rPr>
      <t>素素</t>
    </r>
    <phoneticPr fontId="17" type="noConversion"/>
  </si>
  <si>
    <r>
      <rPr>
        <sz val="11"/>
        <color rgb="FF000000"/>
        <rFont val="宋体"/>
        <family val="2"/>
        <charset val="134"/>
      </rPr>
      <t>雨滴</t>
    </r>
    <phoneticPr fontId="17" type="noConversion"/>
  </si>
  <si>
    <t>momo</t>
    <phoneticPr fontId="17" type="noConversion"/>
  </si>
  <si>
    <r>
      <rPr>
        <sz val="11"/>
        <color rgb="FF000000"/>
        <rFont val="宋体"/>
        <family val="2"/>
        <charset val="134"/>
      </rPr>
      <t>诺拉</t>
    </r>
    <phoneticPr fontId="17" type="noConversion"/>
  </si>
  <si>
    <t>贝色麦</t>
    <phoneticPr fontId="17" type="noConversion"/>
  </si>
  <si>
    <t>yoyo</t>
    <phoneticPr fontId="17" type="noConversion"/>
  </si>
  <si>
    <r>
      <rPr>
        <sz val="11"/>
        <color rgb="FF000000"/>
        <rFont val="宋体"/>
        <family val="2"/>
        <charset val="134"/>
      </rPr>
      <t>小夏</t>
    </r>
    <phoneticPr fontId="17" type="noConversion"/>
  </si>
  <si>
    <r>
      <rPr>
        <sz val="11"/>
        <color rgb="FF000000"/>
        <rFont val="宋体"/>
        <family val="2"/>
        <charset val="134"/>
      </rPr>
      <t>小嫣</t>
    </r>
    <phoneticPr fontId="17" type="noConversion"/>
  </si>
  <si>
    <r>
      <rPr>
        <sz val="11"/>
        <color rgb="FF000000"/>
        <rFont val="宋体"/>
        <family val="2"/>
        <charset val="134"/>
      </rPr>
      <t>语嫣</t>
    </r>
    <phoneticPr fontId="17" type="noConversion"/>
  </si>
  <si>
    <t>比顿</t>
    <phoneticPr fontId="17" type="noConversion"/>
  </si>
  <si>
    <r>
      <rPr>
        <sz val="11"/>
        <color rgb="FF000000"/>
        <rFont val="宋体"/>
        <family val="2"/>
        <charset val="134"/>
      </rPr>
      <t>天涯</t>
    </r>
    <phoneticPr fontId="17" type="noConversion"/>
  </si>
  <si>
    <r>
      <rPr>
        <sz val="11"/>
        <color rgb="FF000000"/>
        <rFont val="宋体"/>
        <family val="2"/>
        <charset val="134"/>
      </rPr>
      <t>阿欣</t>
    </r>
    <phoneticPr fontId="17" type="noConversion"/>
  </si>
  <si>
    <r>
      <rPr>
        <sz val="11"/>
        <color rgb="FF000000"/>
        <rFont val="宋体"/>
        <family val="2"/>
        <charset val="134"/>
      </rPr>
      <t>青青</t>
    </r>
    <phoneticPr fontId="17" type="noConversion"/>
  </si>
  <si>
    <r>
      <rPr>
        <sz val="11"/>
        <color rgb="FF000000"/>
        <rFont val="宋体"/>
        <family val="2"/>
        <charset val="134"/>
      </rPr>
      <t>大白</t>
    </r>
    <phoneticPr fontId="17" type="noConversion"/>
  </si>
  <si>
    <r>
      <rPr>
        <sz val="11"/>
        <color rgb="FF000000"/>
        <rFont val="宋体"/>
        <family val="2"/>
        <charset val="134"/>
      </rPr>
      <t>小白</t>
    </r>
    <phoneticPr fontId="17" type="noConversion"/>
  </si>
  <si>
    <r>
      <rPr>
        <sz val="11"/>
        <color rgb="FF000000"/>
        <rFont val="宋体"/>
        <family val="2"/>
        <charset val="134"/>
      </rPr>
      <t>白白</t>
    </r>
    <phoneticPr fontId="17" type="noConversion"/>
  </si>
  <si>
    <t>威尼弗雷德</t>
  </si>
  <si>
    <t>布洛姆菲尔德</t>
    <phoneticPr fontId="17" type="noConversion"/>
  </si>
  <si>
    <t>薇薇安</t>
    <phoneticPr fontId="17" type="noConversion"/>
  </si>
  <si>
    <t>白朗蒂</t>
    <phoneticPr fontId="17" type="noConversion"/>
  </si>
  <si>
    <t>布朗宁</t>
    <phoneticPr fontId="17" type="noConversion"/>
  </si>
  <si>
    <t>布赖恩</t>
  </si>
  <si>
    <t>小妖</t>
  </si>
  <si>
    <t>布赖斯</t>
  </si>
  <si>
    <t>淡淡</t>
  </si>
  <si>
    <t>巴克</t>
  </si>
  <si>
    <t>乔安娜</t>
  </si>
  <si>
    <t>浅浅</t>
  </si>
  <si>
    <t>巴克耳</t>
  </si>
  <si>
    <t>小可</t>
  </si>
  <si>
    <t>微笑</t>
  </si>
  <si>
    <t>布尔沃</t>
  </si>
  <si>
    <t>贾思琳</t>
  </si>
  <si>
    <t>桃子</t>
  </si>
  <si>
    <t>平凡</t>
  </si>
  <si>
    <t>布尔韦尔</t>
  </si>
  <si>
    <t>乔蒂</t>
  </si>
  <si>
    <t>香香</t>
  </si>
  <si>
    <t>上帝</t>
  </si>
  <si>
    <t>布尼安</t>
  </si>
  <si>
    <t>约瑟芬</t>
  </si>
  <si>
    <t>小七</t>
  </si>
  <si>
    <t>伯克</t>
  </si>
  <si>
    <t>朱蒂斯</t>
  </si>
  <si>
    <t>漫漫</t>
  </si>
  <si>
    <t>酱油</t>
  </si>
  <si>
    <t>朱蒂</t>
  </si>
  <si>
    <t>华莉丝</t>
  </si>
  <si>
    <t>颓废</t>
  </si>
  <si>
    <t>伯恩</t>
    <phoneticPr fontId="17" type="noConversion"/>
  </si>
  <si>
    <t>朱莉娅</t>
  </si>
  <si>
    <t>旺妲</t>
  </si>
  <si>
    <t>伯恩斯</t>
  </si>
  <si>
    <t>朱莉</t>
  </si>
  <si>
    <t>温妮</t>
  </si>
  <si>
    <t>黑色</t>
  </si>
  <si>
    <t>彭斯</t>
  </si>
  <si>
    <t>朱丽叶</t>
  </si>
  <si>
    <t>芝妮雅</t>
  </si>
  <si>
    <t>巴特勒</t>
  </si>
  <si>
    <t>伊芳</t>
  </si>
  <si>
    <t>勃特勒</t>
  </si>
  <si>
    <t>莎拉</t>
  </si>
  <si>
    <t>拜伦</t>
  </si>
  <si>
    <t>若娜</t>
  </si>
  <si>
    <t>卡拉米</t>
  </si>
  <si>
    <t>席梦娜</t>
  </si>
  <si>
    <t>坎普</t>
  </si>
  <si>
    <t>凯莉</t>
  </si>
  <si>
    <t>苏菲亚</t>
  </si>
  <si>
    <t>凯雷</t>
  </si>
  <si>
    <t>凯里</t>
  </si>
  <si>
    <t>苏珊</t>
  </si>
  <si>
    <t>罗拉</t>
  </si>
  <si>
    <t>苏珊娜</t>
  </si>
  <si>
    <t>卡莱尔</t>
  </si>
  <si>
    <t>苏西</t>
  </si>
  <si>
    <t>卡门</t>
  </si>
  <si>
    <t>卡内基</t>
  </si>
  <si>
    <t>泰贝莎</t>
  </si>
  <si>
    <t>莉娜</t>
  </si>
  <si>
    <t>泰蜜</t>
  </si>
  <si>
    <t>卡彭特</t>
  </si>
  <si>
    <t>利昂娜</t>
  </si>
  <si>
    <t>特莉萨</t>
  </si>
  <si>
    <t>雷思丽</t>
  </si>
  <si>
    <t>泰丝</t>
  </si>
  <si>
    <t>卡丽</t>
  </si>
  <si>
    <t>列蒂西雅</t>
  </si>
  <si>
    <t>席拉</t>
  </si>
  <si>
    <t>李莉斯</t>
  </si>
  <si>
    <t>泰莉萨</t>
  </si>
  <si>
    <t>卡罗尔</t>
  </si>
  <si>
    <t>丽莲</t>
  </si>
  <si>
    <t>蒂法尼</t>
  </si>
  <si>
    <t>卡特</t>
  </si>
  <si>
    <t>莉萨</t>
  </si>
  <si>
    <t>翠西</t>
  </si>
  <si>
    <t>莉斯</t>
  </si>
  <si>
    <t>翠丝特</t>
  </si>
  <si>
    <t>塞西利亚</t>
  </si>
  <si>
    <t>杜达</t>
  </si>
  <si>
    <t>张伯伦</t>
  </si>
  <si>
    <t>琳</t>
  </si>
  <si>
    <t>优拉</t>
  </si>
  <si>
    <t>卓别麟</t>
  </si>
  <si>
    <t>优娜</t>
  </si>
  <si>
    <t>查普林</t>
  </si>
  <si>
    <t>玛琪</t>
  </si>
  <si>
    <t>查普曼</t>
  </si>
  <si>
    <t>玛吉</t>
  </si>
  <si>
    <t>瓦勒莉</t>
  </si>
  <si>
    <t>查尔斯</t>
  </si>
  <si>
    <t>梅蜜</t>
  </si>
  <si>
    <t>维娜</t>
  </si>
  <si>
    <t>查利</t>
  </si>
  <si>
    <t>曼蒂</t>
  </si>
  <si>
    <t>潘妮</t>
  </si>
  <si>
    <t>玛西亚</t>
  </si>
  <si>
    <t>菲莉帕</t>
  </si>
  <si>
    <t>夏洛蒂</t>
  </si>
  <si>
    <t>玛丽安</t>
  </si>
  <si>
    <t>菲碧</t>
  </si>
  <si>
    <t>玛格丽特</t>
  </si>
  <si>
    <t>菲丽丝</t>
  </si>
  <si>
    <t>玛丽亚</t>
  </si>
  <si>
    <t>珀莉</t>
  </si>
  <si>
    <t>乔叟</t>
  </si>
  <si>
    <t>马丽娜</t>
  </si>
  <si>
    <t>切斯特顿</t>
  </si>
  <si>
    <t>玛乔丽</t>
  </si>
  <si>
    <t>普莉玛</t>
  </si>
  <si>
    <t>蔡尔德</t>
  </si>
  <si>
    <t>马莎</t>
  </si>
  <si>
    <t>昆娜</t>
  </si>
  <si>
    <t>玛蒂娜</t>
  </si>
  <si>
    <t>昆蒂娜</t>
  </si>
  <si>
    <t>克赖斯特</t>
  </si>
  <si>
    <t>玛丽</t>
  </si>
  <si>
    <t>瑞琪儿</t>
  </si>
  <si>
    <t>克里琴斯</t>
  </si>
  <si>
    <t>穆琳</t>
  </si>
  <si>
    <t>瑞伊</t>
  </si>
  <si>
    <t>克里斯蒂安娜</t>
  </si>
  <si>
    <t>梅薇思</t>
  </si>
  <si>
    <t>蕾娜塔</t>
  </si>
  <si>
    <t>克里斯蒂</t>
  </si>
  <si>
    <t>玛可欣</t>
  </si>
  <si>
    <t>蕾妮</t>
  </si>
  <si>
    <t>克里斯托弗</t>
  </si>
  <si>
    <t>莉达</t>
  </si>
  <si>
    <t>蒙莉萨</t>
  </si>
  <si>
    <t>莉娃</t>
  </si>
  <si>
    <t>罗丝</t>
  </si>
  <si>
    <t>丘吉尔</t>
  </si>
  <si>
    <t>锡西</t>
  </si>
  <si>
    <t>梅莉</t>
  </si>
  <si>
    <t>露比</t>
  </si>
  <si>
    <t>克拉彭</t>
  </si>
  <si>
    <t>米歇尔</t>
  </si>
  <si>
    <t>莎莉</t>
  </si>
  <si>
    <t>克拉拉</t>
  </si>
  <si>
    <t>蜜雪莉雅</t>
  </si>
  <si>
    <t>莎洛姆</t>
  </si>
  <si>
    <t>克莱尔</t>
  </si>
  <si>
    <t>蜜妮安</t>
  </si>
  <si>
    <t>莎曼撤</t>
  </si>
  <si>
    <t>克拉丽莎</t>
  </si>
  <si>
    <t>穆得莉</t>
  </si>
  <si>
    <t>珊多拉</t>
  </si>
  <si>
    <t>克拉克</t>
  </si>
  <si>
    <t>米兰达</t>
  </si>
  <si>
    <t>仙蒂</t>
  </si>
  <si>
    <t>克莱门斯</t>
  </si>
  <si>
    <t>蜜莉恩</t>
  </si>
  <si>
    <t>克里曼斯</t>
  </si>
  <si>
    <t>摩黛丝提</t>
  </si>
  <si>
    <t>赛拉</t>
  </si>
  <si>
    <t>克莱门特</t>
  </si>
  <si>
    <t>茉伊拉</t>
  </si>
  <si>
    <t>萨琳娜</t>
  </si>
  <si>
    <t>科克尔</t>
  </si>
  <si>
    <t>沙伦</t>
  </si>
  <si>
    <t>科菲</t>
  </si>
  <si>
    <t>梦娜</t>
  </si>
  <si>
    <t>希拉</t>
  </si>
  <si>
    <t>科尔克拉夫</t>
  </si>
  <si>
    <t>莫妮卡</t>
  </si>
  <si>
    <t>雪莉</t>
  </si>
  <si>
    <t>科尔里奇</t>
  </si>
  <si>
    <t>穆丽儿</t>
  </si>
  <si>
    <t>希贝儿</t>
  </si>
  <si>
    <t>柯勒律治</t>
  </si>
  <si>
    <t>玛瑞</t>
  </si>
  <si>
    <t>玛拉</t>
  </si>
  <si>
    <t>柯林斯</t>
  </si>
  <si>
    <t>蜜尔娜</t>
  </si>
  <si>
    <t>康芒斯</t>
  </si>
  <si>
    <t>南希</t>
  </si>
  <si>
    <t>科南</t>
  </si>
  <si>
    <t>娜娥迷</t>
  </si>
  <si>
    <t>康格里夫</t>
  </si>
  <si>
    <t>康尼</t>
  </si>
  <si>
    <t>内丽</t>
  </si>
  <si>
    <t>康纳</t>
  </si>
  <si>
    <t>娜提雅维达</t>
  </si>
  <si>
    <t>妮可</t>
  </si>
  <si>
    <t>康拉德</t>
  </si>
  <si>
    <t>妮可拉</t>
  </si>
  <si>
    <t>康斯坦斯</t>
  </si>
  <si>
    <t>妮娜</t>
  </si>
  <si>
    <t>库克</t>
  </si>
  <si>
    <t>库珀</t>
  </si>
  <si>
    <t>科波菲尔</t>
  </si>
  <si>
    <t>妮蒂亚</t>
  </si>
  <si>
    <t>柯顿</t>
  </si>
  <si>
    <t>科弗代尔</t>
  </si>
  <si>
    <t>奥丽芙</t>
  </si>
  <si>
    <t>考珀</t>
  </si>
  <si>
    <t>奥克塔薇尔</t>
  </si>
  <si>
    <t>佩格</t>
  </si>
  <si>
    <t>克雷吉</t>
  </si>
  <si>
    <t>蓓姬</t>
  </si>
  <si>
    <t>克兰</t>
  </si>
  <si>
    <t>奥蒂莉亚</t>
  </si>
  <si>
    <t>帕梅拉</t>
  </si>
  <si>
    <t>克赖顿</t>
  </si>
  <si>
    <t>潘多拉</t>
  </si>
  <si>
    <t>克罗夫特</t>
  </si>
  <si>
    <t>克罗夫茨</t>
  </si>
  <si>
    <t>奥丽薇亚</t>
  </si>
  <si>
    <t>佩儿</t>
  </si>
  <si>
    <t>克伦威尔</t>
  </si>
  <si>
    <t>奥菲莉亚</t>
  </si>
  <si>
    <t>克罗宁</t>
  </si>
  <si>
    <t>克洛宁</t>
  </si>
  <si>
    <t>坎伯兰</t>
  </si>
  <si>
    <t>柯姆</t>
  </si>
  <si>
    <t>戴西</t>
  </si>
  <si>
    <t>派翠西亚</t>
  </si>
  <si>
    <t>道尔顿</t>
  </si>
  <si>
    <t>丹尼尔</t>
  </si>
  <si>
    <t>佩内洛普</t>
  </si>
  <si>
    <t>丹聂耳</t>
  </si>
  <si>
    <t>达尔文</t>
  </si>
  <si>
    <t>戴维</t>
  </si>
  <si>
    <t>菲妮克丝</t>
  </si>
  <si>
    <t>迪福</t>
  </si>
  <si>
    <t>迪莉娅</t>
  </si>
  <si>
    <t>丹尼斯</t>
  </si>
  <si>
    <t>杜瓦</t>
  </si>
  <si>
    <t>昆西</t>
  </si>
  <si>
    <t>迪尤尔</t>
  </si>
  <si>
    <t>狄更斯</t>
  </si>
  <si>
    <t>迪肯斯</t>
  </si>
  <si>
    <t>迪基</t>
  </si>
  <si>
    <t>狄龙</t>
  </si>
  <si>
    <t>多宾</t>
  </si>
  <si>
    <t>罗莎琳德</t>
  </si>
  <si>
    <t>多德</t>
  </si>
  <si>
    <t>道尔蒂</t>
  </si>
  <si>
    <t>鲁思玛丽</t>
  </si>
  <si>
    <t>陶赫蒂</t>
  </si>
  <si>
    <t>多利</t>
  </si>
  <si>
    <t>多恩</t>
  </si>
  <si>
    <t>莎碧娜</t>
  </si>
  <si>
    <t>陶丽思</t>
    <phoneticPr fontId="17" type="noConversion"/>
  </si>
  <si>
    <t>莎柏琳娜</t>
  </si>
  <si>
    <t>多丽丝</t>
  </si>
  <si>
    <t>多萝西娅</t>
  </si>
  <si>
    <t>多萝西</t>
  </si>
  <si>
    <t>道格拉斯</t>
  </si>
  <si>
    <t>多伊尔</t>
  </si>
  <si>
    <t>德莱登</t>
    <phoneticPr fontId="17" type="noConversion"/>
  </si>
  <si>
    <t>莎芭丝提安</t>
  </si>
  <si>
    <t>德莱塞</t>
  </si>
  <si>
    <t>屈莱顿</t>
  </si>
  <si>
    <t>杜波依斯</t>
  </si>
  <si>
    <t>杜勒斯</t>
  </si>
  <si>
    <t>邓巴</t>
  </si>
  <si>
    <t>邓肯</t>
  </si>
  <si>
    <t>西格莉德</t>
  </si>
  <si>
    <t>邓洛普</t>
  </si>
  <si>
    <t>杜邦</t>
  </si>
  <si>
    <t>杜德</t>
    <phoneticPr fontId="17" type="noConversion"/>
  </si>
  <si>
    <t>达特</t>
  </si>
  <si>
    <t>丝特芬妮</t>
  </si>
  <si>
    <t>埃迪</t>
  </si>
  <si>
    <t>艾登</t>
  </si>
  <si>
    <t>埃奇沃思</t>
  </si>
  <si>
    <t>伊迪</t>
  </si>
  <si>
    <t>爱迪生</t>
  </si>
  <si>
    <t>埃德蒙</t>
  </si>
  <si>
    <t>爱德华</t>
  </si>
  <si>
    <t>埃菲</t>
  </si>
  <si>
    <t>艾泼斯坦</t>
  </si>
  <si>
    <t>艾森豪威尔</t>
  </si>
  <si>
    <t>埃兰娜</t>
  </si>
  <si>
    <t>埃利诺</t>
  </si>
  <si>
    <t>伊利克特拉</t>
  </si>
  <si>
    <t>爱略特</t>
  </si>
  <si>
    <t>埃利奥特</t>
  </si>
  <si>
    <t>艾略特</t>
  </si>
  <si>
    <t>范伦汀娜</t>
  </si>
  <si>
    <t>维拉</t>
  </si>
  <si>
    <t>埃伦</t>
  </si>
  <si>
    <t>艾利斯</t>
  </si>
  <si>
    <t>维拉妮卡</t>
  </si>
  <si>
    <t>埃尔西</t>
  </si>
  <si>
    <t>埃墨森</t>
  </si>
  <si>
    <t>维尔莉特</t>
  </si>
  <si>
    <t>艾米丽</t>
  </si>
  <si>
    <t>维吉妮亚</t>
  </si>
  <si>
    <t>维达</t>
  </si>
  <si>
    <t>埃米</t>
    <phoneticPr fontId="17" type="noConversion"/>
  </si>
  <si>
    <t>欧内斯特</t>
  </si>
  <si>
    <t>埃丝特</t>
  </si>
  <si>
    <t>尤金</t>
  </si>
  <si>
    <t>温迪</t>
  </si>
  <si>
    <t>尤菲米娅</t>
  </si>
  <si>
    <t>赛薇亚拉</t>
  </si>
  <si>
    <t>伊娃</t>
  </si>
  <si>
    <t>埃文</t>
  </si>
  <si>
    <t>依耶塔</t>
  </si>
  <si>
    <t>埃文思</t>
  </si>
  <si>
    <t>伊夫</t>
  </si>
  <si>
    <t>埃维莉娜</t>
  </si>
  <si>
    <t>伊夫琳</t>
    <phoneticPr fontId="17" type="noConversion"/>
  </si>
  <si>
    <t>伊齐基尔</t>
  </si>
  <si>
    <t>丽诺比丽</t>
  </si>
  <si>
    <t>范妮</t>
  </si>
  <si>
    <t>若伊</t>
  </si>
  <si>
    <t>法拉第</t>
  </si>
  <si>
    <t>法斯特</t>
  </si>
  <si>
    <t>若拉</t>
  </si>
  <si>
    <t>福克纳</t>
  </si>
  <si>
    <t>费利克斯</t>
  </si>
  <si>
    <t>费尔顿</t>
  </si>
  <si>
    <t>费迪南德</t>
  </si>
  <si>
    <t>福开森</t>
  </si>
  <si>
    <t>弗格森</t>
  </si>
  <si>
    <t>菲尔德</t>
  </si>
  <si>
    <t>菲尔丁</t>
  </si>
  <si>
    <t>芬恩</t>
  </si>
  <si>
    <t>菲茨杰拉德</t>
  </si>
  <si>
    <t>弗劳尔</t>
  </si>
  <si>
    <t>弗林</t>
  </si>
  <si>
    <t>弗琳</t>
  </si>
  <si>
    <t>福特</t>
  </si>
  <si>
    <t>福斯特</t>
  </si>
  <si>
    <t>福勒</t>
  </si>
  <si>
    <t>福克斯</t>
  </si>
  <si>
    <t>弗朗西丝</t>
  </si>
  <si>
    <t>香远</t>
    <phoneticPr fontId="17" type="noConversion"/>
  </si>
  <si>
    <t>丽影</t>
    <phoneticPr fontId="17" type="noConversion"/>
  </si>
  <si>
    <t>法兰西斯</t>
  </si>
  <si>
    <t>莎</t>
    <phoneticPr fontId="17" type="noConversion"/>
  </si>
  <si>
    <t>弗兰克</t>
  </si>
  <si>
    <t>丫头</t>
    <phoneticPr fontId="17" type="noConversion"/>
  </si>
  <si>
    <t>富兰克林</t>
  </si>
  <si>
    <t>阿木</t>
    <phoneticPr fontId="17" type="noConversion"/>
  </si>
  <si>
    <t>弗雷德</t>
  </si>
  <si>
    <t>银铃</t>
    <phoneticPr fontId="17" type="noConversion"/>
  </si>
  <si>
    <t>弗雷德里克</t>
  </si>
  <si>
    <t>小芳</t>
    <phoneticPr fontId="17" type="noConversion"/>
  </si>
  <si>
    <t>弗里曼</t>
  </si>
  <si>
    <t>芳芳</t>
    <phoneticPr fontId="17" type="noConversion"/>
  </si>
  <si>
    <t>芬克</t>
  </si>
  <si>
    <t>小八</t>
    <phoneticPr fontId="17" type="noConversion"/>
  </si>
  <si>
    <t>加布里埃尔</t>
  </si>
  <si>
    <t>八酱</t>
    <phoneticPr fontId="17" type="noConversion"/>
  </si>
  <si>
    <t>加布尔雷思</t>
  </si>
  <si>
    <t>喵酱</t>
    <phoneticPr fontId="17" type="noConversion"/>
  </si>
  <si>
    <t>加拉赫</t>
  </si>
  <si>
    <t>小笨蛋</t>
    <phoneticPr fontId="17" type="noConversion"/>
  </si>
  <si>
    <t>盖洛普</t>
  </si>
  <si>
    <t>coco</t>
    <phoneticPr fontId="17" type="noConversion"/>
  </si>
  <si>
    <t>高尔斯沃西</t>
  </si>
  <si>
    <t>燕尾蝶</t>
    <phoneticPr fontId="17" type="noConversion"/>
  </si>
  <si>
    <t>加西亚</t>
  </si>
  <si>
    <t>姑娘</t>
    <phoneticPr fontId="17" type="noConversion"/>
  </si>
  <si>
    <t>加登</t>
  </si>
  <si>
    <t>小妞</t>
    <phoneticPr fontId="17" type="noConversion"/>
  </si>
  <si>
    <t>加德纳</t>
  </si>
  <si>
    <t>小小</t>
    <phoneticPr fontId="17" type="noConversion"/>
  </si>
  <si>
    <t>加斯克尔</t>
  </si>
  <si>
    <t>玲玲</t>
    <phoneticPr fontId="17" type="noConversion"/>
  </si>
  <si>
    <t>杰弗里</t>
  </si>
  <si>
    <t>啊绫</t>
    <phoneticPr fontId="17" type="noConversion"/>
  </si>
  <si>
    <t>乔迪</t>
  </si>
  <si>
    <t>美人</t>
    <phoneticPr fontId="17" type="noConversion"/>
  </si>
  <si>
    <t>乔治</t>
  </si>
  <si>
    <t>妖精</t>
    <phoneticPr fontId="17" type="noConversion"/>
  </si>
  <si>
    <t>吉本</t>
  </si>
  <si>
    <t>娜娜</t>
    <phoneticPr fontId="17" type="noConversion"/>
  </si>
  <si>
    <t>吉布森</t>
  </si>
  <si>
    <t>小娜</t>
    <phoneticPr fontId="17" type="noConversion"/>
  </si>
  <si>
    <t>吉尔伯特</t>
  </si>
  <si>
    <t>詹理斯</t>
  </si>
  <si>
    <t>小鱼</t>
    <phoneticPr fontId="17" type="noConversion"/>
  </si>
  <si>
    <t>贾尔斯</t>
  </si>
  <si>
    <t>潇雨</t>
    <phoneticPr fontId="17" type="noConversion"/>
  </si>
  <si>
    <t>吉尔</t>
  </si>
  <si>
    <t>猫猫</t>
    <phoneticPr fontId="17" type="noConversion"/>
  </si>
  <si>
    <t>季星</t>
  </si>
  <si>
    <t>玄子</t>
    <phoneticPr fontId="17" type="noConversion"/>
  </si>
  <si>
    <t>格拉德斯通</t>
  </si>
  <si>
    <t>国宝</t>
    <phoneticPr fontId="17" type="noConversion"/>
  </si>
  <si>
    <t>格莱斯顿</t>
  </si>
  <si>
    <t>熊猫</t>
    <phoneticPr fontId="17" type="noConversion"/>
  </si>
  <si>
    <t>戈德温</t>
  </si>
  <si>
    <t>蕊</t>
    <phoneticPr fontId="17" type="noConversion"/>
  </si>
  <si>
    <t>葛德文</t>
  </si>
  <si>
    <t>小蕊</t>
    <phoneticPr fontId="17" type="noConversion"/>
  </si>
  <si>
    <t>戈尔德</t>
  </si>
  <si>
    <t>七夜</t>
    <phoneticPr fontId="17" type="noConversion"/>
  </si>
  <si>
    <t>高尔德</t>
  </si>
  <si>
    <t>笑笑</t>
    <phoneticPr fontId="17" type="noConversion"/>
  </si>
  <si>
    <t>戈德史密斯</t>
  </si>
  <si>
    <t>泪</t>
    <phoneticPr fontId="17" type="noConversion"/>
  </si>
  <si>
    <t>哥尔斯密</t>
  </si>
  <si>
    <t>星星</t>
    <phoneticPr fontId="17" type="noConversion"/>
  </si>
  <si>
    <t>戈斯</t>
  </si>
  <si>
    <t>淑女</t>
    <phoneticPr fontId="17" type="noConversion"/>
  </si>
  <si>
    <t>格雷斯</t>
  </si>
  <si>
    <t>梦</t>
    <phoneticPr fontId="17" type="noConversion"/>
  </si>
  <si>
    <t>格雷西</t>
  </si>
  <si>
    <t>小梦</t>
    <phoneticPr fontId="17" type="noConversion"/>
  </si>
  <si>
    <t>格雷汉姆</t>
  </si>
  <si>
    <t>晓梦</t>
    <phoneticPr fontId="17" type="noConversion"/>
  </si>
  <si>
    <t>格兰汉</t>
  </si>
  <si>
    <t>茉莉</t>
    <phoneticPr fontId="17" type="noConversion"/>
  </si>
  <si>
    <t>格雷厄姆</t>
  </si>
  <si>
    <t>牡丹</t>
    <phoneticPr fontId="17" type="noConversion"/>
  </si>
  <si>
    <t>格兰特</t>
  </si>
  <si>
    <t>姗姗</t>
    <phoneticPr fontId="17" type="noConversion"/>
  </si>
  <si>
    <t>格兰瑟姆</t>
  </si>
  <si>
    <t>小珊</t>
    <phoneticPr fontId="17" type="noConversion"/>
  </si>
  <si>
    <t>格雷</t>
  </si>
  <si>
    <t>天使</t>
    <phoneticPr fontId="17" type="noConversion"/>
  </si>
  <si>
    <t>格林</t>
  </si>
  <si>
    <t>咪咪</t>
    <phoneticPr fontId="17" type="noConversion"/>
  </si>
  <si>
    <t>格雷戈里</t>
  </si>
  <si>
    <t>蜜蜜</t>
    <phoneticPr fontId="17" type="noConversion"/>
  </si>
  <si>
    <t>格雷沙姆</t>
  </si>
  <si>
    <t>小蜜</t>
    <phoneticPr fontId="17" type="noConversion"/>
  </si>
  <si>
    <t>小秘</t>
    <phoneticPr fontId="17" type="noConversion"/>
  </si>
  <si>
    <t>格罗特</t>
  </si>
  <si>
    <t>莫莫</t>
    <phoneticPr fontId="17" type="noConversion"/>
  </si>
  <si>
    <t>冈特</t>
  </si>
  <si>
    <t>沫沫</t>
    <phoneticPr fontId="17" type="noConversion"/>
  </si>
  <si>
    <t>冈瑟</t>
  </si>
  <si>
    <t>么么</t>
    <phoneticPr fontId="17" type="noConversion"/>
  </si>
  <si>
    <t>格斯</t>
  </si>
  <si>
    <t>美子</t>
    <phoneticPr fontId="17" type="noConversion"/>
  </si>
  <si>
    <t>哈巴卡克</t>
  </si>
  <si>
    <t>雯雯</t>
    <phoneticPr fontId="17" type="noConversion"/>
  </si>
  <si>
    <t>哈该</t>
  </si>
  <si>
    <t>小雯</t>
    <phoneticPr fontId="17" type="noConversion"/>
  </si>
  <si>
    <t>哈尔</t>
  </si>
  <si>
    <t>晓雯</t>
    <phoneticPr fontId="17" type="noConversion"/>
  </si>
  <si>
    <t>哈利法克斯</t>
  </si>
  <si>
    <t>乐乐</t>
    <phoneticPr fontId="17" type="noConversion"/>
  </si>
  <si>
    <t>哈密尔敦</t>
  </si>
  <si>
    <t>小仙</t>
    <phoneticPr fontId="17" type="noConversion"/>
  </si>
  <si>
    <t>汉森尔顿</t>
  </si>
  <si>
    <t>仙儿</t>
    <phoneticPr fontId="17" type="noConversion"/>
  </si>
  <si>
    <t>哈姆雷特</t>
  </si>
  <si>
    <t>格格</t>
    <phoneticPr fontId="17" type="noConversion"/>
  </si>
  <si>
    <t>汉森</t>
  </si>
  <si>
    <t>小倩</t>
    <phoneticPr fontId="17" type="noConversion"/>
  </si>
  <si>
    <t>倩倩</t>
    <phoneticPr fontId="17" type="noConversion"/>
  </si>
  <si>
    <t>汉萨</t>
  </si>
  <si>
    <t>小茜</t>
    <phoneticPr fontId="17" type="noConversion"/>
  </si>
  <si>
    <t>哈代哈迪</t>
  </si>
  <si>
    <t>哈罗德</t>
  </si>
  <si>
    <t>公主</t>
    <phoneticPr fontId="17" type="noConversion"/>
  </si>
  <si>
    <t>哈珀</t>
  </si>
  <si>
    <t>小诺</t>
    <phoneticPr fontId="17" type="noConversion"/>
  </si>
  <si>
    <t>哈里曼</t>
  </si>
  <si>
    <t>小</t>
    <phoneticPr fontId="17" type="noConversion"/>
  </si>
  <si>
    <t>哈林顿</t>
  </si>
  <si>
    <t>哈灵顿</t>
  </si>
  <si>
    <t>哈里森</t>
  </si>
  <si>
    <r>
      <rPr>
        <sz val="11"/>
        <color rgb="FF000000"/>
        <rFont val="宋体"/>
        <family val="2"/>
        <charset val="134"/>
      </rPr>
      <t>鬼鬼</t>
    </r>
    <phoneticPr fontId="17" type="noConversion"/>
  </si>
  <si>
    <t>哈里</t>
  </si>
  <si>
    <r>
      <rPr>
        <sz val="11"/>
        <color rgb="FF000000"/>
        <rFont val="宋体"/>
        <family val="2"/>
        <charset val="134"/>
      </rPr>
      <t>小鬼</t>
    </r>
    <phoneticPr fontId="17" type="noConversion"/>
  </si>
  <si>
    <t>哈特</t>
  </si>
  <si>
    <r>
      <rPr>
        <sz val="11"/>
        <color rgb="FF000000"/>
        <rFont val="宋体"/>
        <family val="2"/>
        <charset val="134"/>
      </rPr>
      <t>琪琪</t>
    </r>
    <phoneticPr fontId="17" type="noConversion"/>
  </si>
  <si>
    <t>哈维</t>
  </si>
  <si>
    <r>
      <rPr>
        <sz val="11"/>
        <color rgb="FF000000"/>
        <rFont val="宋体"/>
        <family val="2"/>
        <charset val="134"/>
      </rPr>
      <t>温柔</t>
    </r>
    <phoneticPr fontId="17" type="noConversion"/>
  </si>
  <si>
    <t>霍索恩</t>
  </si>
  <si>
    <r>
      <rPr>
        <sz val="11"/>
        <color rgb="FF000000"/>
        <rFont val="宋体"/>
        <family val="2"/>
        <charset val="134"/>
      </rPr>
      <t>小姐</t>
    </r>
    <phoneticPr fontId="17" type="noConversion"/>
  </si>
  <si>
    <t>海登</t>
  </si>
  <si>
    <t>海伍德</t>
  </si>
  <si>
    <r>
      <rPr>
        <sz val="11"/>
        <color rgb="FF000000"/>
        <rFont val="宋体"/>
        <family val="2"/>
        <charset val="134"/>
      </rPr>
      <t>心儿</t>
    </r>
    <phoneticPr fontId="17" type="noConversion"/>
  </si>
  <si>
    <t>黑兹利特</t>
  </si>
  <si>
    <r>
      <rPr>
        <sz val="11"/>
        <color rgb="FF000000"/>
        <rFont val="宋体"/>
        <family val="2"/>
        <charset val="134"/>
      </rPr>
      <t>欣儿</t>
    </r>
    <phoneticPr fontId="17" type="noConversion"/>
  </si>
  <si>
    <t>赫士列特</t>
  </si>
  <si>
    <r>
      <rPr>
        <sz val="11"/>
        <color rgb="FF000000"/>
        <rFont val="宋体"/>
        <family val="2"/>
        <charset val="134"/>
      </rPr>
      <t>馨儿</t>
    </r>
    <phoneticPr fontId="17" type="noConversion"/>
  </si>
  <si>
    <t>赫斯特</t>
  </si>
  <si>
    <t>小静</t>
    <phoneticPr fontId="17" type="noConversion"/>
  </si>
  <si>
    <t>娜</t>
    <phoneticPr fontId="17" type="noConversion"/>
  </si>
  <si>
    <r>
      <rPr>
        <sz val="11"/>
        <color rgb="FF000000"/>
        <rFont val="宋体"/>
        <family val="2"/>
        <charset val="134"/>
      </rPr>
      <t>虹虹</t>
    </r>
    <phoneticPr fontId="17" type="noConversion"/>
  </si>
  <si>
    <t>赫莉</t>
  </si>
  <si>
    <r>
      <rPr>
        <sz val="11"/>
        <color rgb="FF000000"/>
        <rFont val="宋体"/>
        <family val="2"/>
        <charset val="134"/>
      </rPr>
      <t>傲雪</t>
    </r>
    <phoneticPr fontId="17" type="noConversion"/>
  </si>
  <si>
    <t>海明威</t>
  </si>
  <si>
    <r>
      <rPr>
        <sz val="11"/>
        <color rgb="FF000000"/>
        <rFont val="宋体"/>
        <family val="2"/>
        <charset val="134"/>
      </rPr>
      <t>扶子</t>
    </r>
    <phoneticPr fontId="17" type="noConversion"/>
  </si>
  <si>
    <t>亨利</t>
  </si>
  <si>
    <r>
      <rPr>
        <sz val="11"/>
        <color rgb="FF000000"/>
        <rFont val="宋体"/>
        <family val="2"/>
        <charset val="134"/>
      </rPr>
      <t>素素</t>
    </r>
    <phoneticPr fontId="17" type="noConversion"/>
  </si>
  <si>
    <t>亨里埃塔</t>
  </si>
  <si>
    <r>
      <rPr>
        <sz val="11"/>
        <color rgb="FF000000"/>
        <rFont val="宋体"/>
        <family val="2"/>
        <charset val="134"/>
      </rPr>
      <t>雨滴</t>
    </r>
    <phoneticPr fontId="17" type="noConversion"/>
  </si>
  <si>
    <t>赫伯特</t>
  </si>
  <si>
    <t>momo</t>
    <phoneticPr fontId="17" type="noConversion"/>
  </si>
  <si>
    <r>
      <rPr>
        <sz val="11"/>
        <color rgb="FF000000"/>
        <rFont val="宋体"/>
        <family val="2"/>
        <charset val="134"/>
      </rPr>
      <t>诺拉</t>
    </r>
    <phoneticPr fontId="17" type="noConversion"/>
  </si>
  <si>
    <t>休利特</t>
  </si>
  <si>
    <t>yoyo</t>
    <phoneticPr fontId="17" type="noConversion"/>
  </si>
  <si>
    <t>希克斯</t>
  </si>
  <si>
    <r>
      <rPr>
        <sz val="11"/>
        <color rgb="FF000000"/>
        <rFont val="宋体"/>
        <family val="2"/>
        <charset val="134"/>
      </rPr>
      <t>小夏</t>
    </r>
    <phoneticPr fontId="17" type="noConversion"/>
  </si>
  <si>
    <t>希尔</t>
  </si>
  <si>
    <r>
      <rPr>
        <sz val="11"/>
        <color rgb="FF000000"/>
        <rFont val="宋体"/>
        <family val="2"/>
        <charset val="134"/>
      </rPr>
      <t>小嫣</t>
    </r>
    <phoneticPr fontId="17" type="noConversion"/>
  </si>
  <si>
    <t>霍布斯</t>
  </si>
  <si>
    <r>
      <rPr>
        <sz val="11"/>
        <color rgb="FF000000"/>
        <rFont val="宋体"/>
        <family val="2"/>
        <charset val="134"/>
      </rPr>
      <t>语嫣</t>
    </r>
    <phoneticPr fontId="17" type="noConversion"/>
  </si>
  <si>
    <t>霍布森</t>
  </si>
  <si>
    <r>
      <rPr>
        <sz val="11"/>
        <color rgb="FF000000"/>
        <rFont val="宋体"/>
        <family val="2"/>
        <charset val="134"/>
      </rPr>
      <t>天涯</t>
    </r>
    <phoneticPr fontId="17" type="noConversion"/>
  </si>
  <si>
    <t>霍奇</t>
  </si>
  <si>
    <r>
      <rPr>
        <sz val="11"/>
        <color rgb="FF000000"/>
        <rFont val="宋体"/>
        <family val="2"/>
        <charset val="134"/>
      </rPr>
      <t>阿欣</t>
    </r>
    <phoneticPr fontId="17" type="noConversion"/>
  </si>
  <si>
    <t>霍奇森</t>
  </si>
  <si>
    <r>
      <rPr>
        <sz val="11"/>
        <color rgb="FF000000"/>
        <rFont val="宋体"/>
        <family val="2"/>
        <charset val="134"/>
      </rPr>
      <t>青青</t>
    </r>
    <phoneticPr fontId="17" type="noConversion"/>
  </si>
  <si>
    <t>霍姆斯</t>
  </si>
  <si>
    <r>
      <rPr>
        <sz val="11"/>
        <color rgb="FF000000"/>
        <rFont val="宋体"/>
        <family val="2"/>
        <charset val="134"/>
      </rPr>
      <t>大白</t>
    </r>
    <phoneticPr fontId="17" type="noConversion"/>
  </si>
  <si>
    <t> 福尔摩斯</t>
  </si>
  <si>
    <r>
      <rPr>
        <sz val="11"/>
        <color rgb="FF000000"/>
        <rFont val="宋体"/>
        <family val="2"/>
        <charset val="134"/>
      </rPr>
      <t>小白</t>
    </r>
    <phoneticPr fontId="17" type="noConversion"/>
  </si>
  <si>
    <t>霍尔特</t>
  </si>
  <si>
    <r>
      <rPr>
        <sz val="11"/>
        <color rgb="FF000000"/>
        <rFont val="宋体"/>
        <family val="2"/>
        <charset val="134"/>
      </rPr>
      <t>白白</t>
    </r>
    <phoneticPr fontId="17" type="noConversion"/>
  </si>
  <si>
    <t>胡德</t>
  </si>
  <si>
    <t>胡佛</t>
  </si>
  <si>
    <t>霍普</t>
  </si>
  <si>
    <t>霍普斯</t>
    <phoneticPr fontId="17" type="noConversion"/>
  </si>
  <si>
    <t>霍普金</t>
  </si>
  <si>
    <t>霍勒斯</t>
  </si>
  <si>
    <t>贺拉斯</t>
  </si>
  <si>
    <t>贺拉斯</t>
    <phoneticPr fontId="17" type="noConversion"/>
  </si>
  <si>
    <t>霍雷肖</t>
  </si>
  <si>
    <t>霍恩比</t>
  </si>
  <si>
    <t>霍齐亚</t>
  </si>
  <si>
    <t>豪斯</t>
  </si>
  <si>
    <t>豪斯曼</t>
  </si>
  <si>
    <t>休斯敦</t>
  </si>
  <si>
    <t>霍华德</t>
  </si>
  <si>
    <t>豪厄斯</t>
  </si>
  <si>
    <t>豪厄尔</t>
  </si>
  <si>
    <t>霍伊尔</t>
  </si>
  <si>
    <t>薇薇安</t>
    <phoneticPr fontId="17" type="noConversion"/>
  </si>
  <si>
    <t>哈伯德</t>
  </si>
  <si>
    <t>赫德森</t>
  </si>
  <si>
    <t>哈金斯</t>
  </si>
  <si>
    <t>休士</t>
  </si>
  <si>
    <t>休斯</t>
  </si>
  <si>
    <t>休姆</t>
  </si>
  <si>
    <t>休谟</t>
  </si>
  <si>
    <t>汉弗莱</t>
  </si>
  <si>
    <t>亨廷顿</t>
  </si>
  <si>
    <t>赫特</t>
  </si>
  <si>
    <t>赫胥黎</t>
  </si>
  <si>
    <t>赫克利斯</t>
  </si>
  <si>
    <t>英格索尔</t>
  </si>
  <si>
    <t>欧文</t>
  </si>
  <si>
    <t>艾萨克</t>
  </si>
  <si>
    <t>伊莎贝尔</t>
  </si>
  <si>
    <t>艾塞亚</t>
  </si>
  <si>
    <t>杰克</t>
  </si>
  <si>
    <t>杰克逊</t>
  </si>
  <si>
    <t>雅各布</t>
  </si>
  <si>
    <t>詹姆斯</t>
  </si>
  <si>
    <t>简</t>
  </si>
  <si>
    <t>贾斯帕</t>
  </si>
  <si>
    <t>杰姆斯</t>
  </si>
  <si>
    <t>杰斐逊</t>
  </si>
  <si>
    <t>杰弗逊</t>
  </si>
  <si>
    <t>詹斯</t>
    <phoneticPr fontId="17" type="noConversion"/>
  </si>
  <si>
    <t>詹金</t>
  </si>
  <si>
    <t>詹宁斯</t>
  </si>
  <si>
    <t>珍妮</t>
  </si>
  <si>
    <t>杰里迈亚</t>
  </si>
  <si>
    <t>杰里米</t>
  </si>
  <si>
    <t>杰罗姆</t>
  </si>
  <si>
    <t>杰里</t>
  </si>
  <si>
    <t>杰西</t>
  </si>
  <si>
    <t>吉姆</t>
  </si>
  <si>
    <t>杰米</t>
  </si>
  <si>
    <t>乔布</t>
  </si>
  <si>
    <t>乔尔</t>
  </si>
  <si>
    <t>约翰</t>
  </si>
  <si>
    <t>约翰尼</t>
  </si>
  <si>
    <t>约翰逊</t>
  </si>
  <si>
    <t>约翰斯顿</t>
  </si>
  <si>
    <t>乔纳</t>
  </si>
  <si>
    <t>乔纳森</t>
  </si>
  <si>
    <t>琼森</t>
  </si>
  <si>
    <t>乔丹</t>
  </si>
  <si>
    <t>约瑟夫</t>
  </si>
  <si>
    <t>乔希</t>
  </si>
  <si>
    <t>乔舒亚</t>
  </si>
  <si>
    <t>焦尔</t>
  </si>
  <si>
    <t>贾德</t>
  </si>
  <si>
    <t>朱迪思</t>
  </si>
  <si>
    <t>贾德森</t>
  </si>
  <si>
    <t>朱利安</t>
  </si>
  <si>
    <t>朱莉安娜</t>
  </si>
  <si>
    <t>朱利叶斯</t>
  </si>
  <si>
    <t>凯特</t>
  </si>
  <si>
    <t>卡特琳</t>
  </si>
  <si>
    <t>基茨</t>
  </si>
  <si>
    <t>凯利</t>
  </si>
  <si>
    <t>凯洛格</t>
  </si>
  <si>
    <t>凯尔森</t>
  </si>
  <si>
    <t>凯尔文</t>
  </si>
  <si>
    <t>凯南</t>
  </si>
  <si>
    <t>肯尼迪</t>
  </si>
  <si>
    <t>凯佩尔</t>
  </si>
  <si>
    <t>凯恩斯</t>
  </si>
  <si>
    <t>金斯利</t>
  </si>
  <si>
    <t>基普林</t>
  </si>
  <si>
    <t>基特</t>
  </si>
  <si>
    <t>基托</t>
  </si>
  <si>
    <t>基蒂</t>
  </si>
  <si>
    <t>拉姆</t>
  </si>
  <si>
    <t>兰姆</t>
  </si>
  <si>
    <t>朗伯</t>
  </si>
  <si>
    <t>兰伯特</t>
  </si>
  <si>
    <t>兰斯洛特</t>
  </si>
  <si>
    <t>兰登</t>
  </si>
  <si>
    <t>拉金</t>
  </si>
  <si>
    <t>拉铁摩尔</t>
  </si>
  <si>
    <t>劳里</t>
  </si>
  <si>
    <t>劳</t>
  </si>
  <si>
    <t>劳伦斯</t>
  </si>
  <si>
    <t>劳逊</t>
  </si>
  <si>
    <t>劳森</t>
  </si>
  <si>
    <t>李科克</t>
  </si>
  <si>
    <t>利科克</t>
  </si>
  <si>
    <t>利</t>
  </si>
  <si>
    <t>莱顿</t>
  </si>
  <si>
    <t>伦纳德</t>
  </si>
  <si>
    <t>利奥波德</t>
  </si>
  <si>
    <t>卢</t>
  </si>
  <si>
    <t>刘易斯</t>
  </si>
  <si>
    <t>刘易士</t>
  </si>
  <si>
    <t>莉莉</t>
  </si>
  <si>
    <t>林肯</t>
  </si>
  <si>
    <t>林德伯格</t>
  </si>
  <si>
    <t>林塞</t>
  </si>
  <si>
    <t>利齐</t>
  </si>
  <si>
    <t>劳埃德</t>
  </si>
  <si>
    <t>洛克</t>
  </si>
  <si>
    <t>伦敦</t>
  </si>
  <si>
    <t>朗费罗</t>
  </si>
  <si>
    <t>朗曼</t>
  </si>
  <si>
    <t>路易</t>
  </si>
  <si>
    <t>路易斯</t>
  </si>
  <si>
    <t>路易莎</t>
  </si>
  <si>
    <t>路易丝</t>
  </si>
  <si>
    <t>罗厄尔</t>
  </si>
  <si>
    <t>罗威尔</t>
  </si>
  <si>
    <t>卢卡斯</t>
  </si>
  <si>
    <t>露西亚</t>
  </si>
  <si>
    <t>卢修斯</t>
  </si>
  <si>
    <t>露西</t>
  </si>
  <si>
    <t>卢克</t>
  </si>
  <si>
    <t>利利</t>
  </si>
  <si>
    <t>林奇</t>
  </si>
  <si>
    <t>林德</t>
  </si>
  <si>
    <t>李顿</t>
  </si>
  <si>
    <t>麦克亚当</t>
  </si>
  <si>
    <t>麦克阿瑟</t>
  </si>
  <si>
    <t>麦考利</t>
  </si>
  <si>
    <t>利顿</t>
  </si>
  <si>
    <t>麦克唐纳</t>
  </si>
  <si>
    <t>麦金托什</t>
  </si>
  <si>
    <t>麦克弗森</t>
  </si>
  <si>
    <t>麦克米伦</t>
  </si>
  <si>
    <t>麦克菲尔逊</t>
  </si>
  <si>
    <t>马奇</t>
  </si>
  <si>
    <t>玛拉基</t>
  </si>
  <si>
    <t>马伦</t>
  </si>
  <si>
    <t>马洛里</t>
  </si>
  <si>
    <t>马尔茨</t>
  </si>
  <si>
    <t>马尔萨斯</t>
  </si>
  <si>
    <t>马尔兹</t>
  </si>
  <si>
    <t>曼斯菲尔德</t>
    <phoneticPr fontId="17" type="noConversion"/>
  </si>
  <si>
    <t>马塞勒斯</t>
  </si>
  <si>
    <t>马库斯</t>
  </si>
  <si>
    <t>玛格丽塔</t>
  </si>
  <si>
    <t>马杰里</t>
  </si>
  <si>
    <t>马里恩</t>
  </si>
  <si>
    <t>马乔里</t>
  </si>
  <si>
    <t>马克</t>
  </si>
  <si>
    <t>马洛</t>
  </si>
  <si>
    <t>马南</t>
  </si>
  <si>
    <t>马歇尔</t>
  </si>
  <si>
    <t>马丁</t>
  </si>
  <si>
    <t>梅斯菲尔德</t>
  </si>
  <si>
    <t>马蒂尔达</t>
  </si>
  <si>
    <t>马修</t>
  </si>
  <si>
    <t>莫德</t>
  </si>
  <si>
    <t>莫姆</t>
  </si>
  <si>
    <t>莫里斯</t>
  </si>
  <si>
    <t>马克斯</t>
  </si>
  <si>
    <t>马克斯韦尔</t>
  </si>
  <si>
    <t>麦卡锡</t>
  </si>
  <si>
    <t>梅格</t>
  </si>
  <si>
    <t>梅尔维尔</t>
  </si>
  <si>
    <t>梅雷迪斯</t>
  </si>
  <si>
    <t>梅瑞狄斯</t>
  </si>
  <si>
    <t>迈卡</t>
  </si>
  <si>
    <t>迈克尔</t>
  </si>
  <si>
    <t>迈克尔孙</t>
  </si>
  <si>
    <t>米切尔森</t>
  </si>
  <si>
    <t>密德尔顿</t>
  </si>
  <si>
    <t>迈克</t>
  </si>
  <si>
    <t>米尔</t>
  </si>
  <si>
    <t>米尔恩</t>
  </si>
  <si>
    <t>米尔顿</t>
  </si>
  <si>
    <t>明妮</t>
  </si>
  <si>
    <t>莫尔</t>
  </si>
  <si>
    <t>蒙德</t>
  </si>
  <si>
    <t>门罗</t>
  </si>
  <si>
    <t>蒙哥马利</t>
  </si>
  <si>
    <t>穆尔</t>
  </si>
  <si>
    <t>摩根</t>
  </si>
  <si>
    <t>摩利</t>
  </si>
  <si>
    <t>莫里森</t>
  </si>
  <si>
    <t>莫尔斯</t>
  </si>
  <si>
    <t>摩顿</t>
  </si>
  <si>
    <t>莫尔顿</t>
  </si>
  <si>
    <t>摩西</t>
  </si>
  <si>
    <t>莫特利</t>
  </si>
  <si>
    <t>默里</t>
  </si>
  <si>
    <t>内厄姆</t>
  </si>
  <si>
    <t>纳撒尼尔</t>
  </si>
  <si>
    <t>尼达姆</t>
  </si>
  <si>
    <t>尼赫迈亚</t>
  </si>
  <si>
    <t>内尔</t>
  </si>
  <si>
    <t>内利</t>
  </si>
  <si>
    <t>奈尔孙</t>
  </si>
  <si>
    <t>纽曼</t>
  </si>
  <si>
    <t>牛顿</t>
  </si>
  <si>
    <t>尼古拉斯</t>
  </si>
  <si>
    <t>尼科斯</t>
    <phoneticPr fontId="17" type="noConversion"/>
  </si>
  <si>
    <t>尼科尔</t>
  </si>
  <si>
    <t>尼克</t>
  </si>
  <si>
    <t>尼克松</t>
  </si>
  <si>
    <t>诺厄</t>
  </si>
  <si>
    <t>诺埃尔</t>
  </si>
  <si>
    <t>娜拉</t>
  </si>
  <si>
    <t>诺里斯</t>
  </si>
  <si>
    <t>诺思</t>
  </si>
  <si>
    <t>诺顿</t>
  </si>
  <si>
    <t>诺伊斯</t>
  </si>
  <si>
    <t>奥巴代亚</t>
  </si>
  <si>
    <t>奥卡西</t>
  </si>
  <si>
    <t>奥凯西</t>
  </si>
  <si>
    <t>奥卡姆</t>
  </si>
  <si>
    <t>奥康纳</t>
  </si>
  <si>
    <t>奥利弗</t>
  </si>
  <si>
    <t>奥尼尔</t>
  </si>
  <si>
    <t>奥尼恩斯</t>
  </si>
  <si>
    <t>奥兰多</t>
  </si>
  <si>
    <t>奥斯卡</t>
  </si>
  <si>
    <t>帕尔默</t>
  </si>
  <si>
    <t>潘西</t>
  </si>
  <si>
    <t>帕克</t>
  </si>
  <si>
    <t>帕特里奇</t>
  </si>
  <si>
    <t>佩德</t>
  </si>
  <si>
    <t>佩特</t>
  </si>
  <si>
    <t>佩兴斯</t>
  </si>
  <si>
    <t>帕特里克</t>
  </si>
  <si>
    <t>保罗</t>
  </si>
  <si>
    <t>皮科尔</t>
  </si>
  <si>
    <t>皮尔逊</t>
  </si>
  <si>
    <t>佩吉</t>
  </si>
  <si>
    <t>佩恩</t>
  </si>
  <si>
    <t>皮普斯</t>
  </si>
  <si>
    <t>佩皮斯</t>
  </si>
  <si>
    <t>珀金</t>
  </si>
  <si>
    <t>彼得</t>
  </si>
  <si>
    <t>佩蒂</t>
  </si>
  <si>
    <t>菲利蒙</t>
  </si>
  <si>
    <t>菲利普</t>
  </si>
  <si>
    <t>皮尔斯</t>
  </si>
  <si>
    <t>皮古</t>
  </si>
  <si>
    <t>庇古</t>
  </si>
  <si>
    <t>皮特曼</t>
  </si>
  <si>
    <t>波</t>
  </si>
  <si>
    <t>波利特</t>
  </si>
  <si>
    <t>波利</t>
  </si>
  <si>
    <t>波普</t>
  </si>
  <si>
    <t>蒲柏</t>
  </si>
  <si>
    <t>庞德</t>
  </si>
  <si>
    <t>鲍威尔</t>
  </si>
  <si>
    <t>普赖斯</t>
  </si>
  <si>
    <t>普里斯特利</t>
  </si>
  <si>
    <t>普里斯特莱</t>
  </si>
  <si>
    <t>普里特</t>
  </si>
  <si>
    <t>帕利策尔</t>
  </si>
  <si>
    <t>普里策</t>
  </si>
  <si>
    <t>普兰</t>
  </si>
  <si>
    <t>普尔曼</t>
  </si>
  <si>
    <t>奎勒</t>
  </si>
  <si>
    <t>拉格伦</t>
  </si>
  <si>
    <t>罗利</t>
  </si>
  <si>
    <t>拉尔夫</t>
  </si>
  <si>
    <t>拉曼</t>
  </si>
  <si>
    <t>冉斯登</t>
  </si>
  <si>
    <t>拉姆斯登</t>
  </si>
  <si>
    <t>拉菲尔</t>
  </si>
  <si>
    <t>瑞利</t>
  </si>
  <si>
    <t>雷利</t>
  </si>
  <si>
    <t>雷蒙德</t>
  </si>
  <si>
    <t>里德</t>
  </si>
  <si>
    <t>丽贝卡</t>
  </si>
  <si>
    <t>雷诺兹</t>
  </si>
  <si>
    <t>罗兹</t>
  </si>
  <si>
    <t>里斯</t>
  </si>
  <si>
    <t>理嘉图</t>
  </si>
  <si>
    <t>李嘉图</t>
  </si>
  <si>
    <t>理查</t>
  </si>
  <si>
    <t>理查兹</t>
  </si>
  <si>
    <t>理查森</t>
  </si>
  <si>
    <t>罗布</t>
  </si>
  <si>
    <t>罗宾斯</t>
  </si>
  <si>
    <t>罗伯特</t>
  </si>
  <si>
    <t>罗伯逊</t>
  </si>
  <si>
    <t>罗宾</t>
  </si>
  <si>
    <t>罗宾森</t>
  </si>
  <si>
    <t>罗宾逊</t>
  </si>
  <si>
    <t>洛克菲勒</t>
  </si>
  <si>
    <t>罗吉尔</t>
  </si>
  <si>
    <t>罗杰</t>
  </si>
  <si>
    <t>罗兰</t>
  </si>
  <si>
    <t>罗密欧</t>
  </si>
  <si>
    <t>罗斯福</t>
  </si>
  <si>
    <t>罗莎</t>
  </si>
  <si>
    <t>罗塞蒂</t>
  </si>
  <si>
    <t>罗瑟琳</t>
  </si>
  <si>
    <t>罗斯</t>
  </si>
  <si>
    <t>罗赛蒂</t>
  </si>
  <si>
    <t>罗伊</t>
  </si>
  <si>
    <t>,鲁道夫</t>
  </si>
  <si>
    <t>腊斯克</t>
  </si>
  <si>
    <t>拉斯金</t>
  </si>
  <si>
    <t>罗斯金</t>
  </si>
  <si>
    <t>罗素</t>
  </si>
  <si>
    <t>拉塞尔</t>
  </si>
  <si>
    <t>卢瑟福</t>
  </si>
  <si>
    <t>拉瑟福德</t>
  </si>
  <si>
    <t>塞恩思伯里</t>
  </si>
  <si>
    <t>森次巴立</t>
  </si>
  <si>
    <t>索尔兹伯里</t>
  </si>
  <si>
    <t>萨莉</t>
  </si>
  <si>
    <t>萨洛美</t>
  </si>
  <si>
    <t>萨姆</t>
  </si>
  <si>
    <t>萨姆森</t>
  </si>
  <si>
    <t>塞缪尔</t>
  </si>
  <si>
    <t>桑德</t>
  </si>
  <si>
    <t>桑迪</t>
  </si>
  <si>
    <t>萨皮尔</t>
  </si>
  <si>
    <t>萨拉</t>
  </si>
  <si>
    <t>萨洛扬</t>
  </si>
  <si>
    <t>萨罗扬</t>
  </si>
  <si>
    <t>沙逊</t>
  </si>
  <si>
    <t>索尔</t>
  </si>
  <si>
    <t>索耶</t>
  </si>
  <si>
    <t>萨克斯顿</t>
  </si>
  <si>
    <t>斯科特</t>
  </si>
  <si>
    <t>司各脱</t>
  </si>
  <si>
    <t>斯克利普斯</t>
  </si>
  <si>
    <t>西尼尔</t>
  </si>
  <si>
    <t>瑟维斯</t>
  </si>
  <si>
    <t>莎士比亚</t>
  </si>
  <si>
    <t>夏普</t>
  </si>
  <si>
    <t>肖</t>
  </si>
  <si>
    <t>雪莱</t>
  </si>
  <si>
    <t>谢利</t>
  </si>
  <si>
    <t>谢里登</t>
  </si>
  <si>
    <t>谢立丹</t>
  </si>
  <si>
    <t>舍伍德</t>
  </si>
  <si>
    <t>悉尼</t>
  </si>
  <si>
    <t>锡特尼</t>
  </si>
  <si>
    <t>赛拉斯</t>
  </si>
  <si>
    <t>西蒙</t>
  </si>
  <si>
    <t>辛普森</t>
  </si>
  <si>
    <t>辛克莱</t>
  </si>
  <si>
    <t>史沫特莱</t>
  </si>
  <si>
    <t>斯梅德利</t>
  </si>
  <si>
    <t>史密斯</t>
  </si>
  <si>
    <t>斯莫利特</t>
  </si>
  <si>
    <t>斯摩莱特</t>
  </si>
  <si>
    <t>斯诺</t>
  </si>
  <si>
    <t>萨默菲尔德</t>
  </si>
  <si>
    <t>索莫费尔德</t>
  </si>
  <si>
    <t>索菲娅</t>
  </si>
  <si>
    <t>索菲</t>
  </si>
  <si>
    <t>索锡</t>
  </si>
  <si>
    <t>骚塞</t>
  </si>
  <si>
    <t>斯潘塞</t>
  </si>
  <si>
    <t>斯宾塞</t>
  </si>
  <si>
    <t>斯彭德</t>
  </si>
  <si>
    <t>斯普林霍尔</t>
  </si>
  <si>
    <t>斯蒂尔</t>
  </si>
  <si>
    <t>斯梯尔</t>
  </si>
  <si>
    <t>斯坦贝克</t>
  </si>
  <si>
    <t>斯坦培克</t>
  </si>
  <si>
    <t>斯特拉</t>
  </si>
  <si>
    <t>斯蒂芬</t>
  </si>
  <si>
    <t>史蒂芬</t>
  </si>
  <si>
    <t>斯蒂芬斯</t>
  </si>
  <si>
    <t>史蒂文森</t>
  </si>
  <si>
    <t>史迪威</t>
  </si>
  <si>
    <t>斯通</t>
  </si>
  <si>
    <t>斯托</t>
  </si>
  <si>
    <t>斯特雷奇</t>
  </si>
  <si>
    <t>斯特朗</t>
  </si>
  <si>
    <t>司徒雷登</t>
  </si>
  <si>
    <t>斯图尔特</t>
  </si>
  <si>
    <t>萨里</t>
  </si>
  <si>
    <t>萨利</t>
  </si>
  <si>
    <t>斯威特</t>
  </si>
  <si>
    <t>斯维夫特</t>
  </si>
  <si>
    <t>斯威夫特</t>
  </si>
  <si>
    <t>斯温伯恩</t>
  </si>
  <si>
    <t>史文朋</t>
  </si>
  <si>
    <t>西蒙斯</t>
  </si>
  <si>
    <t>泰特</t>
  </si>
  <si>
    <t>泰勒</t>
  </si>
  <si>
    <t>特德</t>
  </si>
  <si>
    <t>坦普尔</t>
  </si>
  <si>
    <t>坦尼森</t>
  </si>
  <si>
    <t>丁尼生</t>
  </si>
  <si>
    <t>特里</t>
  </si>
  <si>
    <t>撒克里</t>
  </si>
  <si>
    <t>西奥多</t>
  </si>
  <si>
    <t>特里萨</t>
  </si>
  <si>
    <t>托马斯</t>
  </si>
  <si>
    <t>汤普森</t>
  </si>
  <si>
    <t>汤姆森</t>
  </si>
  <si>
    <t>索罗</t>
  </si>
  <si>
    <t>梭洛</t>
  </si>
  <si>
    <t>桑代克</t>
  </si>
  <si>
    <t>蒂莫西</t>
  </si>
  <si>
    <t>泰特斯</t>
  </si>
  <si>
    <t>托拜厄斯</t>
  </si>
  <si>
    <t>托兰</t>
  </si>
  <si>
    <t>汤姆</t>
  </si>
  <si>
    <t>汤姆林森</t>
  </si>
  <si>
    <t>汤米</t>
  </si>
  <si>
    <t>托尼</t>
  </si>
  <si>
    <t>图尔斯</t>
  </si>
  <si>
    <t>陶特</t>
  </si>
  <si>
    <t>托因比</t>
  </si>
  <si>
    <t>特雷西</t>
  </si>
  <si>
    <t>特里维康</t>
  </si>
  <si>
    <t>特罗洛普</t>
  </si>
  <si>
    <t>杜鲁门</t>
  </si>
  <si>
    <t>特纳</t>
  </si>
  <si>
    <t>塔特尔</t>
  </si>
  <si>
    <t>吐温</t>
  </si>
  <si>
    <t>特温</t>
  </si>
  <si>
    <t>尤利塞斯</t>
  </si>
  <si>
    <t>瓦伦丁</t>
  </si>
  <si>
    <t>范</t>
  </si>
  <si>
    <t>伏恩</t>
  </si>
  <si>
    <t>维布伦</t>
  </si>
  <si>
    <t>凡勃伦</t>
  </si>
  <si>
    <t>维克托</t>
  </si>
  <si>
    <t>文森特</t>
  </si>
  <si>
    <t>瓦奥莱特</t>
  </si>
  <si>
    <t>弗吉尼亚</t>
  </si>
  <si>
    <t>沃格特</t>
  </si>
  <si>
    <t>瓦格纳</t>
  </si>
  <si>
    <t>沃克</t>
  </si>
  <si>
    <t>沃克利</t>
  </si>
  <si>
    <t>华莱土</t>
  </si>
  <si>
    <t>沃利斯</t>
  </si>
  <si>
    <t>沃波尔</t>
  </si>
  <si>
    <t>沃尔什</t>
  </si>
  <si>
    <t>沃尔特</t>
  </si>
  <si>
    <t>沃尔顿</t>
  </si>
  <si>
    <t>沃德</t>
  </si>
  <si>
    <t>沃纳</t>
  </si>
  <si>
    <t>沃伦</t>
  </si>
  <si>
    <t>华盛顿</t>
  </si>
  <si>
    <t>沃特</t>
  </si>
  <si>
    <t>沃特斯</t>
  </si>
  <si>
    <t>瓦特</t>
  </si>
  <si>
    <t>韦布</t>
  </si>
  <si>
    <t>韦伯斯特</t>
  </si>
  <si>
    <t>韦尔斯</t>
  </si>
  <si>
    <t>韦斯利</t>
  </si>
  <si>
    <t>惠特利</t>
  </si>
  <si>
    <t>惠勒</t>
  </si>
  <si>
    <t>惠特</t>
  </si>
  <si>
    <t>怀特黑德</t>
  </si>
  <si>
    <t>怀特海</t>
  </si>
  <si>
    <t>惠特曼</t>
  </si>
  <si>
    <t>惠蒂尔</t>
  </si>
  <si>
    <t>怀特</t>
  </si>
  <si>
    <t>威尔科特斯</t>
  </si>
  <si>
    <t>魏尔德</t>
  </si>
  <si>
    <t>王尔德</t>
  </si>
  <si>
    <t>怀尔德</t>
  </si>
  <si>
    <t>威廉明娜</t>
  </si>
  <si>
    <t>威尔</t>
  </si>
  <si>
    <t>威拉德</t>
  </si>
  <si>
    <t>威廉</t>
  </si>
  <si>
    <t>威尔莫特</t>
  </si>
  <si>
    <t>威尔逊</t>
  </si>
  <si>
    <t>温泽</t>
  </si>
  <si>
    <t>温莎</t>
  </si>
  <si>
    <t>沃德豪斯</t>
  </si>
  <si>
    <t>沃尔夫</t>
  </si>
  <si>
    <t>渥拉斯顿</t>
  </si>
  <si>
    <t>沃拉斯顿</t>
  </si>
  <si>
    <t>伍德</t>
  </si>
  <si>
    <t>伍尔夫</t>
  </si>
  <si>
    <t>伍莱</t>
  </si>
  <si>
    <t>伍利</t>
  </si>
  <si>
    <t>沃兹沃思</t>
  </si>
  <si>
    <t>渥兹华斯</t>
  </si>
  <si>
    <t>华兹沃斯</t>
  </si>
  <si>
    <t>赖特</t>
  </si>
  <si>
    <t>怀阿特</t>
  </si>
  <si>
    <t>怀亚特</t>
  </si>
  <si>
    <t>魏克利夫</t>
  </si>
  <si>
    <t>威克利夫</t>
  </si>
  <si>
    <t>耶鲁</t>
  </si>
  <si>
    <t>耶尔</t>
  </si>
  <si>
    <t>耶茨</t>
  </si>
  <si>
    <t>夏芝</t>
  </si>
  <si>
    <t>耶基斯</t>
  </si>
  <si>
    <t>扬</t>
  </si>
  <si>
    <t>尤尔</t>
  </si>
  <si>
    <t>扎卡赖亚斯</t>
  </si>
  <si>
    <t>赞格威尔</t>
  </si>
  <si>
    <t>泽卡赖亚</t>
  </si>
  <si>
    <t>泽弗奈亚</t>
  </si>
  <si>
    <t>齐默尔曼</t>
  </si>
  <si>
    <t>埃拉道尔</t>
  </si>
  <si>
    <t>迪基菲碧</t>
  </si>
  <si>
    <t>陶丽思</t>
  </si>
  <si>
    <t>巴克耳哈利</t>
  </si>
  <si>
    <t>克里曼斯康斯坦丝</t>
  </si>
  <si>
    <t>本杰明恋</t>
  </si>
  <si>
    <t>阿格尼丝海柔尔</t>
  </si>
  <si>
    <t>安托瓦妮特莉娃</t>
  </si>
  <si>
    <t>克里斯托弗天道</t>
  </si>
  <si>
    <t>阿克曼西格莉德</t>
  </si>
  <si>
    <t>杜德么么</t>
  </si>
  <si>
    <t>伯恩翠丝特</t>
  </si>
  <si>
    <t>科尔里奇左岸</t>
  </si>
  <si>
    <t>巴雷特咪咪</t>
  </si>
  <si>
    <t>切斯特顿姑娘</t>
  </si>
  <si>
    <t>卡门杜达</t>
  </si>
  <si>
    <t>科南艾丽斯</t>
  </si>
  <si>
    <t>迪尤尔雨滴</t>
  </si>
  <si>
    <t>博福特月影</t>
  </si>
  <si>
    <t>季星孙</t>
  </si>
  <si>
    <t>丹罗伦</t>
  </si>
  <si>
    <t>霍勒斯沙伦</t>
  </si>
  <si>
    <t>格莱斯顿夏洛特</t>
  </si>
  <si>
    <t>艾奇逊凯瑟琳</t>
  </si>
  <si>
    <t>丹聂耳彩虹</t>
  </si>
  <si>
    <t>弗格森罗丝</t>
  </si>
  <si>
    <t>哈珀薇薇安</t>
  </si>
  <si>
    <t>查利黛儿</t>
  </si>
  <si>
    <t>贝基百丽儿</t>
  </si>
  <si>
    <t>赫特momo</t>
  </si>
  <si>
    <t>奥尔德里奇完美</t>
  </si>
  <si>
    <t>费迪南德茉伊拉</t>
  </si>
  <si>
    <t>克里斯蒂鲁思玛丽</t>
  </si>
  <si>
    <t>哈金斯妮可</t>
  </si>
  <si>
    <t>查尔斯洛兰</t>
  </si>
  <si>
    <t>阿利妮蒂亚</t>
  </si>
  <si>
    <t>康拉德神圣</t>
  </si>
  <si>
    <t>查普林凯瑟琳</t>
  </si>
  <si>
    <t>查理精彩</t>
  </si>
  <si>
    <t>汉弗莱莎芭丝提安</t>
  </si>
  <si>
    <t>白壁德玄子</t>
  </si>
  <si>
    <t>乔纳森黛西</t>
  </si>
  <si>
    <t>艾尔索普妮可</t>
  </si>
  <si>
    <t>鲍恩曼蒂</t>
  </si>
  <si>
    <t>杰里小</t>
  </si>
  <si>
    <t>休谟哈莉特</t>
  </si>
  <si>
    <t>琼斯糖糖</t>
  </si>
  <si>
    <t>盖伊埃达</t>
  </si>
  <si>
    <t>伊凡汉纳</t>
  </si>
  <si>
    <t>克拉彭查理</t>
  </si>
  <si>
    <t>鲍曼若娜</t>
  </si>
  <si>
    <t>迪基浪漫</t>
  </si>
  <si>
    <t>霍普萨琳娜</t>
  </si>
  <si>
    <t>奥古斯丁潘多拉</t>
  </si>
  <si>
    <t>亚当耶达</t>
  </si>
  <si>
    <t>比尔多拉</t>
  </si>
  <si>
    <t>赫蒂萨琳娜</t>
  </si>
  <si>
    <t>鲍勃朱蒂</t>
  </si>
  <si>
    <t>霍奇森苏珊娜</t>
  </si>
  <si>
    <t>格斯莉达</t>
  </si>
  <si>
    <t>霍恩比哈利</t>
  </si>
  <si>
    <t>艾伯特雷思丽</t>
  </si>
  <si>
    <t>约翰逊淑女</t>
  </si>
  <si>
    <t>奥尔科特穆丽儿</t>
  </si>
  <si>
    <t>约翰尼蜜莉恩</t>
  </si>
  <si>
    <t>贝齐欧尔佳</t>
  </si>
  <si>
    <t>尤金朱莉</t>
  </si>
  <si>
    <t>丘奇查理</t>
  </si>
  <si>
    <t>赫德森奥劳拉</t>
  </si>
  <si>
    <t>伊夫琳可妮莉雅</t>
  </si>
  <si>
    <t>贾斯帕阿芙拉</t>
  </si>
  <si>
    <t>柯顿翠西</t>
  </si>
  <si>
    <t>法斯特珊多拉</t>
  </si>
  <si>
    <t>哈利法克斯希拉瑞莉</t>
  </si>
  <si>
    <t>乔叟珊多拉</t>
  </si>
  <si>
    <t>坎普天使</t>
  </si>
  <si>
    <t>昆西埃达</t>
  </si>
  <si>
    <t>安汉纳</t>
  </si>
  <si>
    <t>科菲青青</t>
  </si>
  <si>
    <t>巴尼妮子</t>
  </si>
  <si>
    <t>乔纳杰奎琳</t>
  </si>
  <si>
    <t>霍普金朱恩</t>
  </si>
  <si>
    <t>杜波依斯阿加莎</t>
  </si>
  <si>
    <t>杰斐逊泰蜜</t>
  </si>
  <si>
    <t>艾尔索普旋律</t>
  </si>
  <si>
    <t>安德鲁朱丽叶</t>
  </si>
  <si>
    <t>埃菲潼恩</t>
  </si>
  <si>
    <t>波伊尔阿尔娃</t>
  </si>
  <si>
    <t>克里斯蒂安娜回忆</t>
  </si>
  <si>
    <t>菲尔丁红尘</t>
  </si>
  <si>
    <t>艾狄生佩儿</t>
  </si>
  <si>
    <t>多萝西泰贝莎</t>
  </si>
  <si>
    <t>杜德苏珊</t>
  </si>
  <si>
    <t>弗朗西丝米兰达</t>
  </si>
  <si>
    <t>哈尔贝琳达</t>
  </si>
  <si>
    <t>霍布斯伊迪丝</t>
  </si>
  <si>
    <t>鲍曼迪克</t>
  </si>
  <si>
    <t>吉本瑞伊</t>
  </si>
  <si>
    <t>克拉彭莉迪亚</t>
  </si>
  <si>
    <t>巴尼扶子</t>
  </si>
  <si>
    <t>安妮珀莉</t>
  </si>
  <si>
    <t>杜威席拉</t>
  </si>
  <si>
    <t>阿格尼丝费怡</t>
  </si>
  <si>
    <t>詹姆斯可妮莉雅</t>
  </si>
  <si>
    <t>勃特勒阿欣</t>
  </si>
  <si>
    <t>伊娃传说</t>
  </si>
  <si>
    <t>本尼迪克特梅蜜</t>
  </si>
  <si>
    <t>格雷艾咪</t>
  </si>
  <si>
    <t>詹金内丽</t>
  </si>
  <si>
    <t>贝蒂王者</t>
  </si>
  <si>
    <t>珍妮卡玛</t>
  </si>
  <si>
    <t>乔爱尔莎</t>
  </si>
  <si>
    <t>杰克奥丽芙</t>
  </si>
  <si>
    <t>奥尔科特席梦娜</t>
  </si>
  <si>
    <t>弗琳蒂法尼</t>
  </si>
  <si>
    <t>乔布萨琳娜</t>
  </si>
  <si>
    <t>奥斯汀艾琳</t>
  </si>
  <si>
    <t>格雷沙姆艾丽斯</t>
  </si>
  <si>
    <t>巴顿朱恩</t>
  </si>
  <si>
    <t>布莱克嘉比里拉</t>
  </si>
  <si>
    <t>彭斯艾丝翠得</t>
  </si>
  <si>
    <t>哈灵顿艾琳诺</t>
  </si>
  <si>
    <t>冈特小妖</t>
  </si>
  <si>
    <t>巴里莎拉</t>
  </si>
  <si>
    <t>格罗特泰丝</t>
  </si>
  <si>
    <t>张伯伦洛</t>
  </si>
  <si>
    <t>查理专属</t>
  </si>
  <si>
    <t>黑兹利特克洛怡</t>
  </si>
  <si>
    <t>约翰尼梧桐</t>
  </si>
  <si>
    <t>巴比贝丝</t>
  </si>
  <si>
    <t>弗琳卡玛</t>
  </si>
  <si>
    <t>克罗夫特莉娜</t>
  </si>
  <si>
    <t>詹姆斯李莉斯</t>
  </si>
  <si>
    <t>盖洛普佩格</t>
  </si>
  <si>
    <t>蔡尔德梅</t>
  </si>
  <si>
    <t>博福特吉蒂</t>
  </si>
  <si>
    <t>娜小姐</t>
  </si>
  <si>
    <t>杰姆斯诺拉</t>
  </si>
  <si>
    <t>迪莉娅瑞琪儿</t>
  </si>
  <si>
    <t>艾登唐娜</t>
  </si>
  <si>
    <t>费尔顿嘉利</t>
  </si>
  <si>
    <t>格雷沙伦</t>
  </si>
  <si>
    <t>凯雷维基</t>
  </si>
  <si>
    <t>丹尼尔若娜</t>
  </si>
  <si>
    <t>坎伯兰玛格丽特</t>
  </si>
  <si>
    <t>格雷沙姆阿芙拉</t>
  </si>
  <si>
    <t>比尔德小梦</t>
  </si>
  <si>
    <t>本尼迪克特伊甸</t>
  </si>
  <si>
    <t>阿奇博尔德诺维雅</t>
  </si>
  <si>
    <t>阿狄森小珊</t>
  </si>
  <si>
    <t>乔叟寻梦</t>
  </si>
  <si>
    <t>哈该暗香</t>
  </si>
  <si>
    <t>弗琳可妮莉雅</t>
  </si>
  <si>
    <t>乔治无忧</t>
  </si>
  <si>
    <t>琼斯淑女</t>
  </si>
  <si>
    <t>艾迪生约瑟芬</t>
  </si>
  <si>
    <t>比尔德昆娜</t>
  </si>
  <si>
    <t>汉萨姗姗</t>
  </si>
  <si>
    <t>锡西寻梦</t>
  </si>
  <si>
    <t>赫伯特幻想</t>
  </si>
  <si>
    <t>哈代哈迪妮可</t>
  </si>
  <si>
    <t>格斯沫沫</t>
  </si>
  <si>
    <t>埃玛娜提雅维达</t>
  </si>
  <si>
    <t>戈尔德艾琳娜</t>
  </si>
  <si>
    <t>布赖恩苏菲亚</t>
  </si>
  <si>
    <t>埃迪琳</t>
  </si>
  <si>
    <t>阿狄森凯伦</t>
  </si>
  <si>
    <t>艾尔弗雷德丹尼丝</t>
  </si>
  <si>
    <t>埃迪阿加莎</t>
  </si>
  <si>
    <t>胡佛泰蜜</t>
  </si>
  <si>
    <t>查理葛罗瑞亚</t>
  </si>
  <si>
    <t>鲍恩小白</t>
  </si>
  <si>
    <t>丘吉尔雪舞</t>
  </si>
  <si>
    <t>戈德史密斯西门</t>
  </si>
  <si>
    <t>伯特玛希</t>
  </si>
  <si>
    <t>费迪南德银铃</t>
  </si>
  <si>
    <t>戴西朱莉娅</t>
  </si>
  <si>
    <t>安德鲁艾琳诺</t>
  </si>
  <si>
    <t>格拉德斯通琼</t>
  </si>
  <si>
    <t>多拉糖糖</t>
  </si>
  <si>
    <t>赫莉艾尔玛</t>
  </si>
  <si>
    <t>福斯特比利</t>
  </si>
  <si>
    <t>亨利依耶芙特</t>
  </si>
  <si>
    <t>赫特穆琳</t>
  </si>
  <si>
    <t>张伯伦嘉利</t>
  </si>
  <si>
    <t>比尔博姆艾丝翠得</t>
  </si>
  <si>
    <t>克赖顿演绎</t>
  </si>
  <si>
    <t>巴雷特克莱拉</t>
  </si>
  <si>
    <t>艾伯特普莉斯拉</t>
  </si>
  <si>
    <t>贝蒂善良</t>
  </si>
  <si>
    <t>格雷朱莉娅</t>
  </si>
  <si>
    <t>格拉德斯通晨曦</t>
  </si>
  <si>
    <t>巴赫阿娜丝塔西夏</t>
  </si>
  <si>
    <t>约翰逊菲菲</t>
  </si>
  <si>
    <t>比尔德小茜</t>
  </si>
  <si>
    <t>哈该青青</t>
  </si>
  <si>
    <t>巴纳德一一</t>
  </si>
  <si>
    <t>德莱登</t>
  </si>
  <si>
    <t>尤菲米娅吉蒂</t>
  </si>
  <si>
    <t>陶赫蒂小兔</t>
  </si>
  <si>
    <t>贝内特灵魂</t>
  </si>
  <si>
    <t>布鲁斯特薇薇安</t>
  </si>
  <si>
    <t>克罗夫茨洛兰</t>
  </si>
  <si>
    <t>弗朗西斯曼蒂</t>
  </si>
  <si>
    <t>赫蒂妮蒂亚</t>
  </si>
  <si>
    <t>埃利诺珊多拉</t>
  </si>
  <si>
    <t>克罗夫茨普莉玛</t>
  </si>
  <si>
    <t>克莱门特阿尔娃</t>
  </si>
  <si>
    <t>克伦威尔凯莉</t>
  </si>
  <si>
    <t>希尔伊芙</t>
  </si>
  <si>
    <t>勃特勒露比</t>
  </si>
  <si>
    <t>克里斯蒂燕尾蝶</t>
  </si>
  <si>
    <t>埃文思维隆卡</t>
  </si>
  <si>
    <t>霍伊尔威尼弗雷德</t>
  </si>
  <si>
    <t>伊娃玛丽</t>
  </si>
  <si>
    <t>欧内斯特小茜</t>
  </si>
  <si>
    <t>考珀穆得莉</t>
  </si>
  <si>
    <t>希克斯达莲娜</t>
  </si>
  <si>
    <t>贝基普鲁登斯</t>
  </si>
  <si>
    <t>艾略特雯雯</t>
  </si>
  <si>
    <t>加斯克尔维吉妮亚</t>
  </si>
  <si>
    <t>詹斯</t>
  </si>
  <si>
    <t>卡丽奥丽薇亚</t>
  </si>
  <si>
    <t>霍雷肖梅薇思</t>
  </si>
  <si>
    <t>加斯克尔多琳</t>
  </si>
  <si>
    <t>霍普达莲娜</t>
  </si>
  <si>
    <t>艾利斯潼恩</t>
  </si>
  <si>
    <t>丹西格莉德</t>
  </si>
  <si>
    <t>康尼纳塔利</t>
  </si>
  <si>
    <t>迪福桃乐斯</t>
  </si>
  <si>
    <t>布赖特天使</t>
  </si>
  <si>
    <t>费利克斯婷婷</t>
  </si>
  <si>
    <t>库克伊莎蓓尔</t>
  </si>
  <si>
    <t>福特蓓姬</t>
  </si>
  <si>
    <t>迪基莎</t>
  </si>
  <si>
    <t>嘉利奥尔瑟雅</t>
  </si>
  <si>
    <t>埃米莉洛兰</t>
  </si>
  <si>
    <t>邓肯诺玛</t>
  </si>
  <si>
    <t>爱德华希贝儿</t>
  </si>
  <si>
    <t>达特莫莫</t>
  </si>
  <si>
    <t>克拉彭珍妮特</t>
  </si>
  <si>
    <t>吉本丹丹</t>
  </si>
  <si>
    <t>克拉丽莎米歇尔</t>
  </si>
  <si>
    <t>格雷厄姆温妮</t>
  </si>
  <si>
    <t>亚当斯泰蜜</t>
  </si>
  <si>
    <t>波伊尔玛蒂娜</t>
  </si>
  <si>
    <t>福斯特爱玛</t>
  </si>
  <si>
    <t>阿诺德希拉</t>
  </si>
  <si>
    <t>布莱克妮娜</t>
  </si>
  <si>
    <t>豪厄斯丝柏凌</t>
  </si>
  <si>
    <t>巴克耳晓梦</t>
  </si>
  <si>
    <t>高尔斯沃西蜜莉恩</t>
  </si>
  <si>
    <t>卡门龙之</t>
  </si>
  <si>
    <t>布卢尔玛莉提丝</t>
  </si>
  <si>
    <t>休谟阿加莎</t>
  </si>
  <si>
    <t>加登小八</t>
  </si>
  <si>
    <t>昆西海洛伊丝</t>
  </si>
  <si>
    <t>埃玛埃拉</t>
  </si>
  <si>
    <t>阿利布莱兹</t>
  </si>
  <si>
    <t>贝丝糖果</t>
  </si>
  <si>
    <t>霍恩比迪得莉</t>
  </si>
  <si>
    <t>艾奇逊小仙</t>
  </si>
  <si>
    <t>贝基奥蒂莉亚</t>
  </si>
  <si>
    <t>阿利李</t>
  </si>
  <si>
    <t>博福特梦之</t>
  </si>
  <si>
    <t>菲尔丁罗克珊</t>
  </si>
  <si>
    <t>埃拉迷糊</t>
  </si>
  <si>
    <t>阿道夫嘉利</t>
  </si>
  <si>
    <t>布鲁克安东妮儿</t>
  </si>
  <si>
    <t>伯恩</t>
  </si>
  <si>
    <t>蔡尔德希贝儿</t>
  </si>
  <si>
    <t>埃米</t>
  </si>
  <si>
    <t>艾森豪威尔神圣</t>
  </si>
  <si>
    <t>希克斯诺拉</t>
  </si>
  <si>
    <t>杰弗里coco</t>
  </si>
  <si>
    <t>伯纳德玛丽安</t>
  </si>
  <si>
    <t>弗雷德珍妮特</t>
  </si>
  <si>
    <t>哈姆雷特大和</t>
  </si>
  <si>
    <t>埃文思罗克珊</t>
  </si>
  <si>
    <t>艾尔索普潘妮</t>
  </si>
  <si>
    <t>艾米丽迪得莉</t>
  </si>
  <si>
    <t>安德鲁米歇尔</t>
  </si>
  <si>
    <t>琼梅莉</t>
  </si>
  <si>
    <t>哈该丝柏凌</t>
  </si>
  <si>
    <t>布莱克布伦达</t>
  </si>
  <si>
    <t>比勒尔泰蜜</t>
  </si>
  <si>
    <t>坎伯兰梦之</t>
  </si>
  <si>
    <t>休士茉伊拉</t>
  </si>
  <si>
    <t>克里斯托弗阿西娜</t>
  </si>
  <si>
    <t>勃特勒婕咪</t>
  </si>
  <si>
    <t>艾略特无情</t>
  </si>
  <si>
    <t>娜杜达</t>
  </si>
  <si>
    <t>弗琳乔治亚</t>
  </si>
  <si>
    <t>埃德蒙乔</t>
  </si>
  <si>
    <t>白壁德奥劳拉</t>
  </si>
  <si>
    <t>艾尔弗雷德莎拉</t>
  </si>
  <si>
    <t>多萝西娅丝特勒</t>
  </si>
  <si>
    <t>奥尔德里奇丝特芬妮</t>
  </si>
  <si>
    <t>伊利克特拉丘奇</t>
  </si>
  <si>
    <t>阿克曼曼蒂</t>
  </si>
  <si>
    <t>埃丝特茉莉</t>
  </si>
  <si>
    <t>霍恩比吉榭尔</t>
  </si>
  <si>
    <t>埃迪珍妮特</t>
  </si>
  <si>
    <t>陶赫蒂利昂娜</t>
  </si>
  <si>
    <t>吉尔伯特伊凡</t>
  </si>
  <si>
    <t>詹斯幻想</t>
  </si>
  <si>
    <t>奥尔丁顿乔</t>
  </si>
  <si>
    <t>迪克乔</t>
  </si>
  <si>
    <t>乔泪</t>
  </si>
  <si>
    <t>道尔顿珍尼丝</t>
  </si>
  <si>
    <t>嘉利耶达</t>
  </si>
  <si>
    <t>艾登么么</t>
  </si>
  <si>
    <t>胡佛妖精</t>
  </si>
  <si>
    <t>克莱门斯潇洒</t>
  </si>
  <si>
    <t>布鲁诺维拉妮卡</t>
  </si>
  <si>
    <t>奥尔科特演绎</t>
  </si>
  <si>
    <t>屈莱顿维拉</t>
  </si>
  <si>
    <t>比顿罗瑞尔</t>
  </si>
  <si>
    <t>戴维凯瑟琳</t>
  </si>
  <si>
    <t>布洛姆菲尔德多琳</t>
  </si>
  <si>
    <t>欧文精英</t>
  </si>
  <si>
    <t>克兰珍</t>
  </si>
  <si>
    <t>道尔坎蒂丝</t>
  </si>
  <si>
    <t>哈金斯南希</t>
  </si>
  <si>
    <t>坎伯兰艾谱莉</t>
  </si>
  <si>
    <t>多宾艾谱莉</t>
  </si>
  <si>
    <t>亚当斯无情</t>
  </si>
  <si>
    <t>贝克安</t>
  </si>
  <si>
    <t>贝齐海柔尔</t>
  </si>
  <si>
    <t>哈尔艾琳</t>
  </si>
  <si>
    <t>格兰特伊凡</t>
  </si>
  <si>
    <t>哈尔蒂法尼</t>
  </si>
  <si>
    <t>迪基小茜</t>
  </si>
  <si>
    <t>杰西supper</t>
  </si>
  <si>
    <t>霍齐亚浅浅</t>
  </si>
  <si>
    <t>休斯妮娜</t>
  </si>
  <si>
    <t>邓洛普诸葛</t>
  </si>
  <si>
    <t>蔡尔德妮子</t>
  </si>
  <si>
    <t>巴顿巅峰</t>
  </si>
  <si>
    <t>亚历克梦之</t>
  </si>
  <si>
    <t>鲍尔普莉玛</t>
  </si>
  <si>
    <t>克莱门特弗朗西斯</t>
  </si>
  <si>
    <t>贝克琴</t>
  </si>
  <si>
    <t>艾迪生潼恩</t>
  </si>
  <si>
    <t>霍雷肖黛安娜</t>
  </si>
  <si>
    <t>巴雷特米歇尔</t>
  </si>
  <si>
    <t>查理蒙莉萨</t>
  </si>
  <si>
    <t>哈罗德永恒</t>
  </si>
  <si>
    <t>芬恩克洛怡</t>
  </si>
  <si>
    <t>戴维达莲娜</t>
  </si>
  <si>
    <t>福斯特小兔</t>
  </si>
  <si>
    <t>勃朗特无忧</t>
  </si>
  <si>
    <t>巴克瓦勒莉</t>
  </si>
  <si>
    <t>德莱塞精彩</t>
  </si>
  <si>
    <t>阿米利亚汐</t>
  </si>
  <si>
    <t>珍妮喵酱</t>
  </si>
  <si>
    <t>达尔文小夏</t>
  </si>
  <si>
    <t>伊丽莎白温妮</t>
  </si>
  <si>
    <t> 福尔摩斯回忆</t>
  </si>
  <si>
    <t>戈斯唐娜</t>
  </si>
  <si>
    <t>布鲁克晓雯</t>
  </si>
  <si>
    <t>巴比特非主流</t>
  </si>
  <si>
    <t>杰罗姆寻梦</t>
  </si>
  <si>
    <t>艾丽丝彩虹</t>
  </si>
  <si>
    <t>克里斯蒂安娜温柔</t>
  </si>
  <si>
    <t>丘吉尔埃拉</t>
  </si>
  <si>
    <t>英格索尔英格丽</t>
  </si>
  <si>
    <t>嘉利伊甸</t>
  </si>
  <si>
    <t>伯恩斯小娜</t>
  </si>
  <si>
    <t>布尔沃伊夫林</t>
  </si>
  <si>
    <t>布赖斯希伯来</t>
  </si>
  <si>
    <t>琼斯多多</t>
  </si>
  <si>
    <t>豪厄斯奥丽薇亚</t>
  </si>
  <si>
    <t>布尔沃泰贝莎</t>
  </si>
  <si>
    <t>查尔斯莎莉</t>
  </si>
  <si>
    <t>亚伯拉罕珍</t>
  </si>
  <si>
    <t>休斯芭芭拉</t>
  </si>
  <si>
    <t>0</t>
  </si>
  <si>
    <t>0</t>
    <phoneticPr fontId="4" type="noConversion"/>
  </si>
  <si>
    <t>0</t>
    <phoneticPr fontId="4" type="noConversion"/>
  </si>
  <si>
    <t>英灵</t>
    <phoneticPr fontId="4" type="noConversion"/>
  </si>
  <si>
    <t>101|102|103|4201|105</t>
    <phoneticPr fontId="4" type="noConversion"/>
  </si>
  <si>
    <t>106|107|108|4201|110</t>
    <phoneticPr fontId="4" type="noConversion"/>
  </si>
  <si>
    <t>111|112|113|4201|115</t>
    <phoneticPr fontId="4" type="noConversion"/>
  </si>
  <si>
    <t>116|117|118|4201|120</t>
    <phoneticPr fontId="4" type="noConversion"/>
  </si>
  <si>
    <t>24|25|26|27</t>
    <phoneticPr fontId="4" type="noConversion"/>
  </si>
  <si>
    <t>20|21|22|23</t>
    <phoneticPr fontId="4" type="noConversion"/>
  </si>
  <si>
    <t>32|33|34</t>
    <phoneticPr fontId="4" type="noConversion"/>
  </si>
  <si>
    <t>28|29|30|31</t>
    <phoneticPr fontId="4" type="noConversion"/>
  </si>
  <si>
    <t>toppk_score</t>
    <phoneticPr fontId="4" type="noConversion"/>
  </si>
  <si>
    <t>[{24,1,1},{25,1,1},{26,1,1},{27,1,1},{1,1,1},{2,1,1},{3,1,1}]</t>
    <phoneticPr fontId="4" type="noConversion"/>
  </si>
  <si>
    <t>[{20,1,1},{21,1,1},{22,1,1},{23,1,1},{4,1,1},{5,1,1},{6,1,1}]</t>
    <phoneticPr fontId="4" type="noConversion"/>
  </si>
  <si>
    <t>[{32,1,1},{33,1,1},{34,1,1},{35,1,1},{7,1,1},{8,1,1},{9,1,1}]</t>
    <phoneticPr fontId="4" type="noConversion"/>
  </si>
  <si>
    <t>[{28,1,1},{29,1,1},{30,1,1},{31,1,1},{10,1,1},{11,1,1},{12,1,1}]</t>
    <phoneticPr fontId="4" type="noConversion"/>
  </si>
  <si>
    <t>职业</t>
    <phoneticPr fontId="4" type="noConversion"/>
  </si>
  <si>
    <t>攻击力</t>
    <phoneticPr fontId="17" type="noConversion"/>
  </si>
  <si>
    <t>防御力</t>
    <phoneticPr fontId="17" type="noConversion"/>
  </si>
  <si>
    <t>穿透等级</t>
    <phoneticPr fontId="17" type="noConversion"/>
  </si>
  <si>
    <t>生命值</t>
    <phoneticPr fontId="17" type="noConversion"/>
  </si>
  <si>
    <t>法力</t>
    <phoneticPr fontId="17" type="noConversion"/>
  </si>
  <si>
    <t>暴击等级</t>
    <phoneticPr fontId="17" type="noConversion"/>
  </si>
  <si>
    <t>暴击加成</t>
    <phoneticPr fontId="17" type="noConversion"/>
  </si>
  <si>
    <t>暴击抵抗</t>
    <phoneticPr fontId="17" type="noConversion"/>
  </si>
  <si>
    <t>命中等级</t>
    <phoneticPr fontId="17" type="noConversion"/>
  </si>
  <si>
    <t>闪避等级</t>
    <phoneticPr fontId="17" type="noConversion"/>
  </si>
  <si>
    <t>伤害加深</t>
    <phoneticPr fontId="17" type="noConversion"/>
  </si>
  <si>
    <t>伤害减免</t>
    <phoneticPr fontId="17" type="noConversion"/>
  </si>
  <si>
    <t>格挡等级</t>
    <phoneticPr fontId="17" type="noConversion"/>
  </si>
  <si>
    <t>护甲值</t>
    <phoneticPr fontId="17" type="noConversion"/>
  </si>
  <si>
    <t>真实伤害</t>
    <phoneticPr fontId="17" type="noConversion"/>
  </si>
  <si>
    <t>atk</t>
  </si>
  <si>
    <t>def</t>
  </si>
  <si>
    <t>hpLimit</t>
  </si>
  <si>
    <t>mpLimit</t>
  </si>
  <si>
    <t>str</t>
  </si>
  <si>
    <t>agi</t>
  </si>
  <si>
    <t>sta</t>
  </si>
  <si>
    <t>wis</t>
  </si>
  <si>
    <t>spi</t>
  </si>
  <si>
    <t>defIgnore</t>
  </si>
  <si>
    <t>cri</t>
  </si>
  <si>
    <t>criDmg</t>
  </si>
  <si>
    <t>hit</t>
  </si>
  <si>
    <t>dod</t>
  </si>
  <si>
    <t>dmgRate</t>
  </si>
  <si>
    <t>dmgDownRate</t>
  </si>
  <si>
    <t>blockRate</t>
  </si>
  <si>
    <t>blockDmgDownRate</t>
  </si>
  <si>
    <t>realDmg</t>
  </si>
  <si>
    <t>moveSpd</t>
  </si>
  <si>
    <t>hpRestore</t>
  </si>
  <si>
    <t>mpRestore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</si>
</sst>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9"/>
      <color indexed="8"/>
      <name val="宋体"/>
      <family val="2"/>
      <charset val="134"/>
    </font>
    <font>
      <sz val="9"/>
      <color indexed="8"/>
      <name val="宋体"/>
      <family val="3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1"/>
      <color indexed="17"/>
      <name val="宋体"/>
      <family val="2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333333"/>
      <name val="Arial"/>
      <family val="2"/>
    </font>
    <font>
      <sz val="11"/>
      <color rgb="FF000000"/>
      <name val="Tahoma"/>
      <family val="2"/>
    </font>
    <font>
      <sz val="11"/>
      <color rgb="FF000000"/>
      <name val="宋体"/>
      <family val="2"/>
      <charset val="134"/>
    </font>
    <font>
      <sz val="12"/>
      <color theme="1"/>
      <name val="微软雅黑"/>
      <family val="2"/>
      <charset val="134"/>
    </font>
    <font>
      <sz val="10"/>
      <color indexed="8"/>
      <name val="宋体"/>
      <family val="2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0"/>
      <color theme="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3">
    <xf numFmtId="0" fontId="0" fillId="0" borderId="0">
      <alignment vertical="center"/>
    </xf>
    <xf numFmtId="0" fontId="13" fillId="2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3" fillId="2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1" fillId="0" borderId="0">
      <alignment vertical="center"/>
    </xf>
    <xf numFmtId="0" fontId="13" fillId="2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1" fillId="0" borderId="0">
      <alignment vertical="center"/>
    </xf>
    <xf numFmtId="0" fontId="13" fillId="2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</cellStyleXfs>
  <cellXfs count="47">
    <xf numFmtId="0" fontId="0" fillId="0" borderId="0" xfId="0">
      <alignment vertical="center"/>
    </xf>
    <xf numFmtId="49" fontId="2" fillId="0" borderId="0" xfId="0" applyNumberFormat="1" applyFo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49" fontId="3" fillId="0" borderId="1" xfId="0" applyNumberFormat="1" applyFont="1" applyFill="1" applyBorder="1">
      <alignment vertical="center"/>
    </xf>
    <xf numFmtId="49" fontId="2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 wrapText="1"/>
    </xf>
    <xf numFmtId="49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0" fontId="0" fillId="0" borderId="1" xfId="0" applyBorder="1" applyAlignment="1"/>
    <xf numFmtId="49" fontId="3" fillId="0" borderId="1" xfId="0" applyNumberFormat="1" applyFont="1" applyFill="1" applyBorder="1" applyAlignment="1">
      <alignment horizontal="left" vertical="center"/>
    </xf>
    <xf numFmtId="0" fontId="0" fillId="0" borderId="0" xfId="0" applyBorder="1" applyAlignment="1"/>
    <xf numFmtId="49" fontId="3" fillId="0" borderId="0" xfId="0" applyNumberFormat="1" applyFont="1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6" borderId="0" xfId="0" applyFill="1" applyBorder="1">
      <alignment vertical="center"/>
    </xf>
    <xf numFmtId="0" fontId="0" fillId="0" borderId="0" xfId="0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/>
    </xf>
    <xf numFmtId="49" fontId="16" fillId="0" borderId="0" xfId="0" applyNumberFormat="1" applyFont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 wrapText="1"/>
    </xf>
    <xf numFmtId="0" fontId="3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1" xfId="0" applyNumberFormat="1" applyFont="1" applyBorder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5" fillId="0" borderId="0" xfId="0" applyFont="1">
      <alignment vertical="center"/>
    </xf>
    <xf numFmtId="0" fontId="22" fillId="0" borderId="0" xfId="0" applyFont="1">
      <alignment vertical="center"/>
    </xf>
    <xf numFmtId="0" fontId="18" fillId="0" borderId="0" xfId="0" quotePrefix="1" applyFont="1">
      <alignment vertical="center"/>
    </xf>
    <xf numFmtId="0" fontId="23" fillId="0" borderId="0" xfId="0" applyFont="1">
      <alignment vertical="center"/>
    </xf>
    <xf numFmtId="49" fontId="24" fillId="0" borderId="1" xfId="0" applyNumberFormat="1" applyFont="1" applyBorder="1" applyAlignment="1">
      <alignment vertical="center"/>
    </xf>
    <xf numFmtId="49" fontId="25" fillId="0" borderId="1" xfId="0" applyNumberFormat="1" applyFont="1" applyBorder="1" applyAlignment="1">
      <alignment vertical="center"/>
    </xf>
    <xf numFmtId="49" fontId="26" fillId="7" borderId="0" xfId="0" applyNumberFormat="1" applyFont="1" applyFill="1" applyAlignment="1"/>
    <xf numFmtId="49" fontId="26" fillId="8" borderId="0" xfId="0" applyNumberFormat="1" applyFont="1" applyFill="1" applyAlignment="1"/>
    <xf numFmtId="49" fontId="27" fillId="8" borderId="0" xfId="0" applyNumberFormat="1" applyFont="1" applyFill="1" applyAlignment="1"/>
    <xf numFmtId="49" fontId="27" fillId="7" borderId="0" xfId="0" applyNumberFormat="1" applyFont="1" applyFill="1" applyAlignment="1"/>
    <xf numFmtId="49" fontId="26" fillId="7" borderId="0" xfId="0" applyNumberFormat="1" applyFont="1" applyFill="1" applyAlignment="1">
      <alignment vertical="center"/>
    </xf>
    <xf numFmtId="49" fontId="26" fillId="8" borderId="0" xfId="0" applyNumberFormat="1" applyFont="1" applyFill="1" applyAlignment="1">
      <alignment vertical="center"/>
    </xf>
    <xf numFmtId="0" fontId="0" fillId="0" borderId="2" xfId="0" applyBorder="1" applyAlignment="1">
      <alignment horizontal="left" vertical="center"/>
    </xf>
  </cellXfs>
  <cellStyles count="23">
    <cellStyle name="差 2" xfId="2"/>
    <cellStyle name="差 3" xfId="7"/>
    <cellStyle name="差 4" xfId="11"/>
    <cellStyle name="差 5" xfId="15"/>
    <cellStyle name="常规" xfId="0" builtinId="0"/>
    <cellStyle name="常规 2" xfId="4"/>
    <cellStyle name="常规 2 2" xfId="5"/>
    <cellStyle name="常规 2 3" xfId="17"/>
    <cellStyle name="常规 2 4" xfId="19"/>
    <cellStyle name="常规 2 5" xfId="18"/>
    <cellStyle name="常规 3" xfId="9"/>
    <cellStyle name="常规 4" xfId="13"/>
    <cellStyle name="常规 5" xfId="20"/>
    <cellStyle name="常规 6" xfId="21"/>
    <cellStyle name="常规 7" xfId="22"/>
    <cellStyle name="好 2" xfId="1"/>
    <cellStyle name="好 3" xfId="6"/>
    <cellStyle name="好 4" xfId="10"/>
    <cellStyle name="好 5" xfId="14"/>
    <cellStyle name="适中 2" xfId="3"/>
    <cellStyle name="适中 3" xfId="8"/>
    <cellStyle name="适中 4" xfId="12"/>
    <cellStyle name="适中 5" xfId="16"/>
  </cellStyles>
  <dxfs count="1"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76200</xdr:rowOff>
        </xdr:from>
        <xdr:to>
          <xdr:col>8</xdr:col>
          <xdr:colOff>438150</xdr:colOff>
          <xdr:row>0</xdr:row>
          <xdr:rowOff>238125</xdr:rowOff>
        </xdr:to>
        <xdr:sp macro="" textlink="">
          <xdr:nvSpPr>
            <xdr:cNvPr id="1025" name="Button 10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/&#12304;&#27704;&#24658;&#22823;&#38470;&#12305;&#29609;&#23478;&#23646;&#24615;&#26631;&#2716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系统模型"/>
    </sheetNames>
    <sheetDataSet>
      <sheetData sheetId="0">
        <row r="1">
          <cell r="A1"/>
          <cell r="VD1">
            <v>101</v>
          </cell>
          <cell r="VE1">
            <v>102</v>
          </cell>
          <cell r="VF1">
            <v>104</v>
          </cell>
        </row>
        <row r="2">
          <cell r="A2"/>
          <cell r="VD2">
            <v>25</v>
          </cell>
          <cell r="VE2">
            <v>25</v>
          </cell>
          <cell r="VF2">
            <v>1</v>
          </cell>
        </row>
        <row r="3">
          <cell r="A3" t="str">
            <v>等级</v>
          </cell>
          <cell r="VD3" t="str">
            <v>攻击力</v>
          </cell>
          <cell r="VE3" t="str">
            <v>防御力</v>
          </cell>
          <cell r="VF3" t="str">
            <v>生命值</v>
          </cell>
        </row>
        <row r="4">
          <cell r="A4">
            <v>1</v>
          </cell>
          <cell r="VD4">
            <v>64</v>
          </cell>
          <cell r="VE4">
            <v>6</v>
          </cell>
          <cell r="VF4">
            <v>1535</v>
          </cell>
        </row>
        <row r="5">
          <cell r="A5">
            <v>2</v>
          </cell>
          <cell r="VD5">
            <v>64</v>
          </cell>
          <cell r="VE5">
            <v>6</v>
          </cell>
          <cell r="VF5">
            <v>1547</v>
          </cell>
        </row>
        <row r="6">
          <cell r="A6">
            <v>3</v>
          </cell>
          <cell r="VD6">
            <v>64</v>
          </cell>
          <cell r="VE6">
            <v>6</v>
          </cell>
          <cell r="VF6">
            <v>1566</v>
          </cell>
        </row>
        <row r="7">
          <cell r="A7">
            <v>4</v>
          </cell>
          <cell r="VD7">
            <v>64</v>
          </cell>
          <cell r="VE7">
            <v>6</v>
          </cell>
          <cell r="VF7">
            <v>1588</v>
          </cell>
        </row>
        <row r="8">
          <cell r="A8">
            <v>5</v>
          </cell>
          <cell r="VD8">
            <v>74</v>
          </cell>
          <cell r="VE8">
            <v>6</v>
          </cell>
          <cell r="VF8">
            <v>1611</v>
          </cell>
        </row>
        <row r="9">
          <cell r="A9">
            <v>6</v>
          </cell>
          <cell r="VD9">
            <v>79</v>
          </cell>
          <cell r="VE9">
            <v>6</v>
          </cell>
          <cell r="VF9">
            <v>1635</v>
          </cell>
        </row>
        <row r="10">
          <cell r="A10">
            <v>7</v>
          </cell>
          <cell r="VD10">
            <v>82</v>
          </cell>
          <cell r="VE10">
            <v>6</v>
          </cell>
          <cell r="VF10">
            <v>1660</v>
          </cell>
        </row>
        <row r="11">
          <cell r="A11">
            <v>8</v>
          </cell>
          <cell r="VD11">
            <v>94</v>
          </cell>
          <cell r="VE11">
            <v>6</v>
          </cell>
          <cell r="VF11">
            <v>1685</v>
          </cell>
        </row>
        <row r="12">
          <cell r="A12">
            <v>9</v>
          </cell>
          <cell r="VD12">
            <v>102</v>
          </cell>
          <cell r="VE12">
            <v>6</v>
          </cell>
          <cell r="VF12">
            <v>1710</v>
          </cell>
        </row>
        <row r="13">
          <cell r="A13">
            <v>10</v>
          </cell>
          <cell r="VD13">
            <v>108</v>
          </cell>
          <cell r="VE13">
            <v>6</v>
          </cell>
          <cell r="VF13">
            <v>1735</v>
          </cell>
        </row>
        <row r="14">
          <cell r="A14">
            <v>11</v>
          </cell>
          <cell r="VD14">
            <v>122</v>
          </cell>
          <cell r="VE14">
            <v>6</v>
          </cell>
          <cell r="VF14">
            <v>1760</v>
          </cell>
        </row>
        <row r="15">
          <cell r="A15">
            <v>12</v>
          </cell>
          <cell r="VD15">
            <v>129</v>
          </cell>
          <cell r="VE15">
            <v>6</v>
          </cell>
          <cell r="VF15">
            <v>1785</v>
          </cell>
        </row>
        <row r="16">
          <cell r="A16">
            <v>13</v>
          </cell>
          <cell r="VD16">
            <v>137</v>
          </cell>
          <cell r="VE16">
            <v>7</v>
          </cell>
          <cell r="VF16">
            <v>1847</v>
          </cell>
        </row>
        <row r="17">
          <cell r="A17">
            <v>14</v>
          </cell>
          <cell r="VD17">
            <v>156</v>
          </cell>
          <cell r="VE17">
            <v>8</v>
          </cell>
          <cell r="VF17">
            <v>1891</v>
          </cell>
        </row>
        <row r="18">
          <cell r="A18">
            <v>15</v>
          </cell>
          <cell r="VD18">
            <v>167</v>
          </cell>
          <cell r="VE18">
            <v>8</v>
          </cell>
          <cell r="VF18">
            <v>1925</v>
          </cell>
        </row>
        <row r="19">
          <cell r="A19">
            <v>16</v>
          </cell>
          <cell r="VD19">
            <v>172</v>
          </cell>
          <cell r="VE19">
            <v>8</v>
          </cell>
          <cell r="VF19">
            <v>1955</v>
          </cell>
        </row>
        <row r="20">
          <cell r="A20">
            <v>17</v>
          </cell>
          <cell r="VD20">
            <v>192</v>
          </cell>
          <cell r="VE20">
            <v>8</v>
          </cell>
          <cell r="VF20">
            <v>1982</v>
          </cell>
        </row>
        <row r="21">
          <cell r="A21">
            <v>18</v>
          </cell>
          <cell r="VD21">
            <v>205</v>
          </cell>
          <cell r="VE21">
            <v>8</v>
          </cell>
          <cell r="VF21">
            <v>2008</v>
          </cell>
        </row>
        <row r="22">
          <cell r="A22">
            <v>19</v>
          </cell>
          <cell r="VD22">
            <v>211</v>
          </cell>
          <cell r="VE22">
            <v>8</v>
          </cell>
          <cell r="VF22">
            <v>2034</v>
          </cell>
        </row>
        <row r="23">
          <cell r="A23">
            <v>20</v>
          </cell>
          <cell r="VD23">
            <v>229</v>
          </cell>
          <cell r="VE23">
            <v>8</v>
          </cell>
          <cell r="VF23">
            <v>2059</v>
          </cell>
        </row>
        <row r="24">
          <cell r="A24">
            <v>21</v>
          </cell>
          <cell r="VD24">
            <v>242</v>
          </cell>
          <cell r="VE24">
            <v>11</v>
          </cell>
          <cell r="VF24">
            <v>2084</v>
          </cell>
        </row>
        <row r="25">
          <cell r="A25">
            <v>22</v>
          </cell>
          <cell r="VD25">
            <v>251</v>
          </cell>
          <cell r="VE25">
            <v>13</v>
          </cell>
          <cell r="VF25">
            <v>2109</v>
          </cell>
        </row>
        <row r="26">
          <cell r="A26">
            <v>23</v>
          </cell>
          <cell r="VD26">
            <v>271</v>
          </cell>
          <cell r="VE26">
            <v>14</v>
          </cell>
          <cell r="VF26">
            <v>2134</v>
          </cell>
        </row>
        <row r="27">
          <cell r="A27">
            <v>24</v>
          </cell>
          <cell r="VD27">
            <v>281</v>
          </cell>
          <cell r="VE27">
            <v>14</v>
          </cell>
          <cell r="VF27">
            <v>2159</v>
          </cell>
        </row>
        <row r="28">
          <cell r="A28">
            <v>25</v>
          </cell>
          <cell r="VD28">
            <v>289</v>
          </cell>
          <cell r="VE28">
            <v>14</v>
          </cell>
          <cell r="VF28">
            <v>2184</v>
          </cell>
        </row>
        <row r="29">
          <cell r="A29">
            <v>26</v>
          </cell>
          <cell r="VD29">
            <v>313</v>
          </cell>
          <cell r="VE29">
            <v>14</v>
          </cell>
          <cell r="VF29">
            <v>2209</v>
          </cell>
        </row>
        <row r="30">
          <cell r="A30">
            <v>27</v>
          </cell>
          <cell r="VD30">
            <v>325</v>
          </cell>
          <cell r="VE30">
            <v>14</v>
          </cell>
          <cell r="VF30">
            <v>2234</v>
          </cell>
        </row>
        <row r="31">
          <cell r="A31">
            <v>28</v>
          </cell>
          <cell r="VD31">
            <v>331</v>
          </cell>
          <cell r="VE31">
            <v>14</v>
          </cell>
          <cell r="VF31">
            <v>2259</v>
          </cell>
        </row>
        <row r="32">
          <cell r="A32">
            <v>29</v>
          </cell>
          <cell r="VD32">
            <v>337</v>
          </cell>
          <cell r="VE32">
            <v>14</v>
          </cell>
          <cell r="VF32">
            <v>2284</v>
          </cell>
        </row>
        <row r="33">
          <cell r="A33">
            <v>30</v>
          </cell>
          <cell r="VD33">
            <v>366</v>
          </cell>
          <cell r="VE33">
            <v>17</v>
          </cell>
          <cell r="VF33">
            <v>2388</v>
          </cell>
        </row>
        <row r="34">
          <cell r="A34">
            <v>31</v>
          </cell>
          <cell r="VD34">
            <v>381</v>
          </cell>
          <cell r="VE34">
            <v>20</v>
          </cell>
          <cell r="VF34">
            <v>2477</v>
          </cell>
        </row>
        <row r="35">
          <cell r="A35">
            <v>32</v>
          </cell>
          <cell r="VD35">
            <v>388</v>
          </cell>
          <cell r="VE35">
            <v>21</v>
          </cell>
          <cell r="VF35">
            <v>2534</v>
          </cell>
        </row>
        <row r="36">
          <cell r="A36">
            <v>33</v>
          </cell>
          <cell r="VD36">
            <v>413</v>
          </cell>
          <cell r="VE36">
            <v>22</v>
          </cell>
          <cell r="VF36">
            <v>2575</v>
          </cell>
        </row>
        <row r="37">
          <cell r="A37">
            <v>34</v>
          </cell>
          <cell r="VD37">
            <v>431</v>
          </cell>
          <cell r="VE37">
            <v>22</v>
          </cell>
          <cell r="VF37">
            <v>2608</v>
          </cell>
        </row>
        <row r="38">
          <cell r="A38">
            <v>35</v>
          </cell>
          <cell r="VD38">
            <v>440</v>
          </cell>
          <cell r="VE38">
            <v>23</v>
          </cell>
          <cell r="VF38">
            <v>2662</v>
          </cell>
        </row>
        <row r="39">
          <cell r="A39">
            <v>36</v>
          </cell>
          <cell r="VD39">
            <v>463</v>
          </cell>
          <cell r="VE39">
            <v>23</v>
          </cell>
          <cell r="VF39">
            <v>2702</v>
          </cell>
        </row>
        <row r="40">
          <cell r="A40">
            <v>37</v>
          </cell>
          <cell r="VD40">
            <v>478</v>
          </cell>
          <cell r="VE40">
            <v>23</v>
          </cell>
          <cell r="VF40">
            <v>2734</v>
          </cell>
        </row>
        <row r="41">
          <cell r="A41">
            <v>38</v>
          </cell>
          <cell r="VD41">
            <v>491</v>
          </cell>
          <cell r="VE41">
            <v>23</v>
          </cell>
          <cell r="VF41">
            <v>2763</v>
          </cell>
        </row>
        <row r="42">
          <cell r="A42">
            <v>39</v>
          </cell>
          <cell r="VD42">
            <v>518</v>
          </cell>
          <cell r="VE42">
            <v>24</v>
          </cell>
          <cell r="VF42">
            <v>2815</v>
          </cell>
        </row>
        <row r="43">
          <cell r="A43">
            <v>40</v>
          </cell>
          <cell r="VD43">
            <v>534</v>
          </cell>
          <cell r="VE43">
            <v>27</v>
          </cell>
          <cell r="VF43">
            <v>2928</v>
          </cell>
        </row>
        <row r="44">
          <cell r="A44">
            <v>41</v>
          </cell>
          <cell r="VD44">
            <v>546</v>
          </cell>
          <cell r="VE44">
            <v>29</v>
          </cell>
          <cell r="VF44">
            <v>3015</v>
          </cell>
        </row>
        <row r="45">
          <cell r="A45">
            <v>42</v>
          </cell>
          <cell r="VD45">
            <v>579</v>
          </cell>
          <cell r="VE45">
            <v>30</v>
          </cell>
          <cell r="VF45">
            <v>3071</v>
          </cell>
        </row>
        <row r="46">
          <cell r="A46">
            <v>43</v>
          </cell>
          <cell r="VD46">
            <v>595</v>
          </cell>
          <cell r="VE46">
            <v>31</v>
          </cell>
          <cell r="VF46">
            <v>3136</v>
          </cell>
        </row>
        <row r="47">
          <cell r="A47">
            <v>44</v>
          </cell>
          <cell r="VD47">
            <v>603</v>
          </cell>
          <cell r="VE47">
            <v>32</v>
          </cell>
          <cell r="VF47">
            <v>3181</v>
          </cell>
        </row>
        <row r="48">
          <cell r="A48">
            <v>45</v>
          </cell>
          <cell r="VD48">
            <v>632</v>
          </cell>
          <cell r="VE48">
            <v>32</v>
          </cell>
          <cell r="VF48">
            <v>3216</v>
          </cell>
        </row>
        <row r="49">
          <cell r="A49">
            <v>46</v>
          </cell>
          <cell r="VD49">
            <v>653</v>
          </cell>
          <cell r="VE49">
            <v>32</v>
          </cell>
          <cell r="VF49">
            <v>3246</v>
          </cell>
        </row>
        <row r="50">
          <cell r="A50">
            <v>47</v>
          </cell>
          <cell r="VD50">
            <v>663</v>
          </cell>
          <cell r="VE50">
            <v>33</v>
          </cell>
          <cell r="VF50">
            <v>3299</v>
          </cell>
        </row>
        <row r="51">
          <cell r="A51">
            <v>48</v>
          </cell>
          <cell r="VD51">
            <v>690</v>
          </cell>
          <cell r="VE51">
            <v>34</v>
          </cell>
          <cell r="VF51">
            <v>3338</v>
          </cell>
        </row>
        <row r="52">
          <cell r="A52">
            <v>49</v>
          </cell>
          <cell r="VD52">
            <v>707</v>
          </cell>
          <cell r="VE52">
            <v>34</v>
          </cell>
          <cell r="VF52">
            <v>3370</v>
          </cell>
        </row>
        <row r="53">
          <cell r="A53">
            <v>50</v>
          </cell>
          <cell r="VD53">
            <v>727</v>
          </cell>
          <cell r="VE53">
            <v>40</v>
          </cell>
          <cell r="VF53">
            <v>3493</v>
          </cell>
        </row>
        <row r="54">
          <cell r="A54">
            <v>51</v>
          </cell>
          <cell r="VD54">
            <v>760</v>
          </cell>
          <cell r="VE54">
            <v>46</v>
          </cell>
          <cell r="VF54">
            <v>3592</v>
          </cell>
        </row>
        <row r="55">
          <cell r="A55">
            <v>52</v>
          </cell>
          <cell r="VD55">
            <v>777</v>
          </cell>
          <cell r="VE55">
            <v>49</v>
          </cell>
          <cell r="VF55">
            <v>3654</v>
          </cell>
        </row>
        <row r="56">
          <cell r="A56">
            <v>53</v>
          </cell>
          <cell r="VD56">
            <v>789</v>
          </cell>
          <cell r="VE56">
            <v>51</v>
          </cell>
          <cell r="VF56">
            <v>3697</v>
          </cell>
        </row>
        <row r="57">
          <cell r="A57">
            <v>54</v>
          </cell>
          <cell r="VD57">
            <v>801</v>
          </cell>
          <cell r="VE57">
            <v>52</v>
          </cell>
          <cell r="VF57">
            <v>3731</v>
          </cell>
        </row>
        <row r="58">
          <cell r="A58">
            <v>55</v>
          </cell>
          <cell r="VD58">
            <v>832</v>
          </cell>
          <cell r="VE58">
            <v>53</v>
          </cell>
          <cell r="VF58">
            <v>3836</v>
          </cell>
        </row>
        <row r="59">
          <cell r="A59">
            <v>56</v>
          </cell>
          <cell r="VD59">
            <v>847</v>
          </cell>
          <cell r="VE59">
            <v>53</v>
          </cell>
          <cell r="VF59">
            <v>3901</v>
          </cell>
        </row>
        <row r="60">
          <cell r="A60">
            <v>57</v>
          </cell>
          <cell r="VD60">
            <v>859</v>
          </cell>
          <cell r="VE60">
            <v>54</v>
          </cell>
          <cell r="VF60">
            <v>3946</v>
          </cell>
        </row>
        <row r="61">
          <cell r="A61">
            <v>58</v>
          </cell>
          <cell r="VD61">
            <v>897</v>
          </cell>
          <cell r="VE61">
            <v>54</v>
          </cell>
          <cell r="VF61">
            <v>4031</v>
          </cell>
        </row>
        <row r="62">
          <cell r="A62">
            <v>59</v>
          </cell>
          <cell r="VD62">
            <v>918</v>
          </cell>
          <cell r="VE62">
            <v>55</v>
          </cell>
          <cell r="VF62">
            <v>4162</v>
          </cell>
        </row>
        <row r="63">
          <cell r="A63">
            <v>60</v>
          </cell>
          <cell r="VD63">
            <v>937</v>
          </cell>
          <cell r="VE63">
            <v>60</v>
          </cell>
          <cell r="VF63">
            <v>4340</v>
          </cell>
        </row>
        <row r="64">
          <cell r="A64">
            <v>61</v>
          </cell>
          <cell r="VD64">
            <v>1026</v>
          </cell>
          <cell r="VE64">
            <v>63</v>
          </cell>
          <cell r="VF64">
            <v>4509</v>
          </cell>
        </row>
        <row r="65">
          <cell r="A65">
            <v>62</v>
          </cell>
          <cell r="VD65">
            <v>1078</v>
          </cell>
          <cell r="VE65">
            <v>65</v>
          </cell>
          <cell r="VF65">
            <v>4606</v>
          </cell>
        </row>
        <row r="66">
          <cell r="A66">
            <v>63</v>
          </cell>
          <cell r="VD66">
            <v>1105</v>
          </cell>
          <cell r="VE66">
            <v>66</v>
          </cell>
          <cell r="VF66">
            <v>4743</v>
          </cell>
        </row>
        <row r="67">
          <cell r="A67">
            <v>64</v>
          </cell>
          <cell r="VD67">
            <v>1145</v>
          </cell>
          <cell r="VE67">
            <v>69</v>
          </cell>
          <cell r="VF67">
            <v>4875</v>
          </cell>
        </row>
        <row r="68">
          <cell r="A68">
            <v>65</v>
          </cell>
          <cell r="VD68">
            <v>1173</v>
          </cell>
          <cell r="VE68">
            <v>70</v>
          </cell>
          <cell r="VF68">
            <v>4954</v>
          </cell>
        </row>
        <row r="69">
          <cell r="A69">
            <v>66</v>
          </cell>
          <cell r="VD69">
            <v>1196</v>
          </cell>
          <cell r="VE69">
            <v>73</v>
          </cell>
          <cell r="VF69">
            <v>5060</v>
          </cell>
        </row>
        <row r="70">
          <cell r="A70">
            <v>67</v>
          </cell>
          <cell r="VD70">
            <v>1233</v>
          </cell>
          <cell r="VE70">
            <v>75</v>
          </cell>
          <cell r="VF70">
            <v>5151</v>
          </cell>
        </row>
        <row r="71">
          <cell r="A71">
            <v>68</v>
          </cell>
          <cell r="VD71">
            <v>1253</v>
          </cell>
          <cell r="VE71">
            <v>77</v>
          </cell>
          <cell r="VF71">
            <v>5260</v>
          </cell>
        </row>
        <row r="72">
          <cell r="A72">
            <v>69</v>
          </cell>
          <cell r="VD72">
            <v>1272</v>
          </cell>
          <cell r="VE72">
            <v>80</v>
          </cell>
          <cell r="VF72">
            <v>5379</v>
          </cell>
        </row>
        <row r="73">
          <cell r="A73">
            <v>70</v>
          </cell>
          <cell r="VD73">
            <v>1438</v>
          </cell>
          <cell r="VE73">
            <v>86</v>
          </cell>
          <cell r="VF73">
            <v>5571</v>
          </cell>
        </row>
        <row r="74">
          <cell r="A74">
            <v>71</v>
          </cell>
          <cell r="VD74">
            <v>1523</v>
          </cell>
          <cell r="VE74">
            <v>91</v>
          </cell>
          <cell r="VF74">
            <v>5774</v>
          </cell>
        </row>
        <row r="75">
          <cell r="A75">
            <v>72</v>
          </cell>
          <cell r="VD75">
            <v>1565</v>
          </cell>
          <cell r="VE75">
            <v>94</v>
          </cell>
          <cell r="VF75">
            <v>5888</v>
          </cell>
        </row>
        <row r="76">
          <cell r="A76">
            <v>73</v>
          </cell>
          <cell r="VD76">
            <v>1623</v>
          </cell>
          <cell r="VE76">
            <v>97</v>
          </cell>
          <cell r="VF76">
            <v>6009</v>
          </cell>
        </row>
        <row r="77">
          <cell r="A77">
            <v>74</v>
          </cell>
          <cell r="VD77">
            <v>1665</v>
          </cell>
          <cell r="VE77">
            <v>100</v>
          </cell>
          <cell r="VF77">
            <v>6135</v>
          </cell>
        </row>
        <row r="78">
          <cell r="A78">
            <v>75</v>
          </cell>
          <cell r="VD78">
            <v>1690</v>
          </cell>
          <cell r="VE78">
            <v>107</v>
          </cell>
          <cell r="VF78">
            <v>6245</v>
          </cell>
        </row>
        <row r="79">
          <cell r="A79">
            <v>76</v>
          </cell>
          <cell r="VD79">
            <v>1730</v>
          </cell>
          <cell r="VE79">
            <v>113</v>
          </cell>
          <cell r="VF79">
            <v>6369</v>
          </cell>
        </row>
        <row r="80">
          <cell r="A80">
            <v>77</v>
          </cell>
          <cell r="VD80">
            <v>1759</v>
          </cell>
          <cell r="VE80">
            <v>116</v>
          </cell>
          <cell r="VF80">
            <v>6443</v>
          </cell>
        </row>
        <row r="81">
          <cell r="A81">
            <v>78</v>
          </cell>
          <cell r="VD81">
            <v>1787</v>
          </cell>
          <cell r="VE81">
            <v>119</v>
          </cell>
          <cell r="VF81">
            <v>6549</v>
          </cell>
        </row>
        <row r="82">
          <cell r="A82">
            <v>79</v>
          </cell>
          <cell r="VD82">
            <v>1802</v>
          </cell>
          <cell r="VE82">
            <v>122</v>
          </cell>
          <cell r="VF82">
            <v>6692</v>
          </cell>
        </row>
        <row r="83">
          <cell r="A83">
            <v>80</v>
          </cell>
          <cell r="VD83">
            <v>1841</v>
          </cell>
          <cell r="VE83">
            <v>128</v>
          </cell>
          <cell r="VF83">
            <v>6898</v>
          </cell>
        </row>
        <row r="84">
          <cell r="A84">
            <v>81</v>
          </cell>
          <cell r="VD84">
            <v>1876</v>
          </cell>
          <cell r="VE84">
            <v>138</v>
          </cell>
          <cell r="VF84">
            <v>7192</v>
          </cell>
        </row>
        <row r="85">
          <cell r="A85">
            <v>82</v>
          </cell>
          <cell r="VD85">
            <v>1905</v>
          </cell>
          <cell r="VE85">
            <v>143</v>
          </cell>
          <cell r="VF85">
            <v>7352</v>
          </cell>
        </row>
        <row r="86">
          <cell r="A86">
            <v>83</v>
          </cell>
          <cell r="VD86">
            <v>1949</v>
          </cell>
          <cell r="VE86">
            <v>148</v>
          </cell>
          <cell r="VF86">
            <v>7523</v>
          </cell>
        </row>
        <row r="87">
          <cell r="A87">
            <v>84</v>
          </cell>
          <cell r="VD87">
            <v>1974</v>
          </cell>
          <cell r="VE87">
            <v>153</v>
          </cell>
          <cell r="VF87">
            <v>7683</v>
          </cell>
        </row>
        <row r="88">
          <cell r="A88">
            <v>85</v>
          </cell>
          <cell r="VD88">
            <v>1994</v>
          </cell>
          <cell r="VE88">
            <v>156</v>
          </cell>
          <cell r="VF88">
            <v>7781</v>
          </cell>
        </row>
        <row r="89">
          <cell r="A89">
            <v>86</v>
          </cell>
          <cell r="VD89">
            <v>2046</v>
          </cell>
          <cell r="VE89">
            <v>159</v>
          </cell>
          <cell r="VF89">
            <v>7897</v>
          </cell>
        </row>
        <row r="90">
          <cell r="A90">
            <v>87</v>
          </cell>
          <cell r="VD90">
            <v>2072</v>
          </cell>
          <cell r="VE90">
            <v>161</v>
          </cell>
          <cell r="VF90">
            <v>7992</v>
          </cell>
        </row>
        <row r="91">
          <cell r="A91">
            <v>88</v>
          </cell>
          <cell r="VD91">
            <v>2087</v>
          </cell>
          <cell r="VE91">
            <v>164</v>
          </cell>
          <cell r="VF91">
            <v>8106</v>
          </cell>
        </row>
        <row r="92">
          <cell r="A92">
            <v>89</v>
          </cell>
          <cell r="VD92">
            <v>2133</v>
          </cell>
          <cell r="VE92">
            <v>167</v>
          </cell>
          <cell r="VF92">
            <v>8230</v>
          </cell>
        </row>
        <row r="93">
          <cell r="A93">
            <v>90</v>
          </cell>
          <cell r="VD93">
            <v>2222</v>
          </cell>
          <cell r="VE93">
            <v>174</v>
          </cell>
          <cell r="VF93">
            <v>8429</v>
          </cell>
        </row>
        <row r="94">
          <cell r="A94">
            <v>91</v>
          </cell>
          <cell r="VD94">
            <v>2269</v>
          </cell>
          <cell r="VE94">
            <v>180</v>
          </cell>
          <cell r="VF94">
            <v>8636</v>
          </cell>
        </row>
        <row r="95">
          <cell r="A95">
            <v>92</v>
          </cell>
          <cell r="VD95">
            <v>2320</v>
          </cell>
          <cell r="VE95">
            <v>183</v>
          </cell>
          <cell r="VF95">
            <v>8759</v>
          </cell>
        </row>
        <row r="96">
          <cell r="A96">
            <v>93</v>
          </cell>
          <cell r="VD96">
            <v>2357</v>
          </cell>
          <cell r="VE96">
            <v>186</v>
          </cell>
          <cell r="VF96">
            <v>8892</v>
          </cell>
        </row>
        <row r="97">
          <cell r="A97">
            <v>94</v>
          </cell>
          <cell r="VD97">
            <v>2394</v>
          </cell>
          <cell r="VE97">
            <v>189</v>
          </cell>
          <cell r="VF97">
            <v>9026</v>
          </cell>
        </row>
        <row r="98">
          <cell r="A98">
            <v>95</v>
          </cell>
          <cell r="VD98">
            <v>2441</v>
          </cell>
          <cell r="VE98">
            <v>191</v>
          </cell>
          <cell r="VF98">
            <v>9140</v>
          </cell>
        </row>
        <row r="99">
          <cell r="A99">
            <v>96</v>
          </cell>
          <cell r="VD99">
            <v>2466</v>
          </cell>
          <cell r="VE99">
            <v>194</v>
          </cell>
          <cell r="VF99">
            <v>9265</v>
          </cell>
        </row>
        <row r="100">
          <cell r="A100">
            <v>97</v>
          </cell>
          <cell r="VD100">
            <v>2488</v>
          </cell>
          <cell r="VE100">
            <v>196</v>
          </cell>
          <cell r="VF100">
            <v>9340</v>
          </cell>
        </row>
        <row r="101">
          <cell r="A101">
            <v>98</v>
          </cell>
          <cell r="VD101">
            <v>2546</v>
          </cell>
          <cell r="VE101">
            <v>198</v>
          </cell>
          <cell r="VF101">
            <v>9445</v>
          </cell>
        </row>
        <row r="102">
          <cell r="A102">
            <v>99</v>
          </cell>
          <cell r="VD102">
            <v>2577</v>
          </cell>
          <cell r="VE102">
            <v>202</v>
          </cell>
          <cell r="VF102">
            <v>9616</v>
          </cell>
        </row>
        <row r="103">
          <cell r="A103">
            <v>100</v>
          </cell>
          <cell r="VD103">
            <v>2604</v>
          </cell>
          <cell r="VE103">
            <v>216</v>
          </cell>
          <cell r="VF103">
            <v>9856</v>
          </cell>
        </row>
        <row r="104">
          <cell r="A104">
            <v>101</v>
          </cell>
          <cell r="VD104">
            <v>2648</v>
          </cell>
          <cell r="VE104">
            <v>225</v>
          </cell>
          <cell r="VF104">
            <v>10045</v>
          </cell>
        </row>
        <row r="105">
          <cell r="A105">
            <v>102</v>
          </cell>
          <cell r="VD105">
            <v>2670</v>
          </cell>
          <cell r="VE105">
            <v>229</v>
          </cell>
          <cell r="VF105">
            <v>10155</v>
          </cell>
        </row>
        <row r="106">
          <cell r="A106">
            <v>103</v>
          </cell>
          <cell r="VD106">
            <v>2692</v>
          </cell>
          <cell r="VE106">
            <v>234</v>
          </cell>
          <cell r="VF106">
            <v>10329</v>
          </cell>
        </row>
        <row r="107">
          <cell r="A107">
            <v>104</v>
          </cell>
          <cell r="VD107">
            <v>2722</v>
          </cell>
          <cell r="VE107">
            <v>238</v>
          </cell>
          <cell r="VF107">
            <v>10489</v>
          </cell>
        </row>
        <row r="108">
          <cell r="A108">
            <v>105</v>
          </cell>
          <cell r="VD108">
            <v>2767</v>
          </cell>
          <cell r="VE108">
            <v>240</v>
          </cell>
          <cell r="VF108">
            <v>10602</v>
          </cell>
        </row>
        <row r="109">
          <cell r="A109">
            <v>106</v>
          </cell>
          <cell r="VD109">
            <v>2791</v>
          </cell>
          <cell r="VE109">
            <v>243</v>
          </cell>
          <cell r="VF109">
            <v>10727</v>
          </cell>
        </row>
        <row r="110">
          <cell r="A110">
            <v>107</v>
          </cell>
          <cell r="VD110">
            <v>2803</v>
          </cell>
          <cell r="VE110">
            <v>246</v>
          </cell>
          <cell r="VF110">
            <v>10852</v>
          </cell>
        </row>
        <row r="111">
          <cell r="A111">
            <v>108</v>
          </cell>
          <cell r="VD111">
            <v>2842</v>
          </cell>
          <cell r="VE111">
            <v>249</v>
          </cell>
          <cell r="VF111">
            <v>10999</v>
          </cell>
        </row>
        <row r="112">
          <cell r="A112">
            <v>109</v>
          </cell>
          <cell r="VD112">
            <v>2872</v>
          </cell>
          <cell r="VE112">
            <v>252</v>
          </cell>
          <cell r="VF112">
            <v>11142</v>
          </cell>
        </row>
        <row r="113">
          <cell r="A113">
            <v>110</v>
          </cell>
          <cell r="VD113">
            <v>2925</v>
          </cell>
          <cell r="VE113">
            <v>275</v>
          </cell>
          <cell r="VF113">
            <v>11373</v>
          </cell>
        </row>
        <row r="114">
          <cell r="A114">
            <v>111</v>
          </cell>
          <cell r="VD114">
            <v>2985</v>
          </cell>
          <cell r="VE114">
            <v>291</v>
          </cell>
          <cell r="VF114">
            <v>11608</v>
          </cell>
        </row>
        <row r="115">
          <cell r="A115">
            <v>112</v>
          </cell>
          <cell r="VD115">
            <v>3016</v>
          </cell>
          <cell r="VE115">
            <v>300</v>
          </cell>
          <cell r="VF115">
            <v>11738</v>
          </cell>
        </row>
        <row r="116">
          <cell r="A116">
            <v>113</v>
          </cell>
          <cell r="VD116">
            <v>3035</v>
          </cell>
          <cell r="VE116">
            <v>307</v>
          </cell>
          <cell r="VF116">
            <v>11873</v>
          </cell>
        </row>
        <row r="117">
          <cell r="A117">
            <v>114</v>
          </cell>
          <cell r="VD117">
            <v>3048</v>
          </cell>
          <cell r="VE117">
            <v>314</v>
          </cell>
          <cell r="VF117">
            <v>12011</v>
          </cell>
        </row>
        <row r="118">
          <cell r="A118">
            <v>115</v>
          </cell>
          <cell r="VD118">
            <v>3095</v>
          </cell>
          <cell r="VE118">
            <v>320</v>
          </cell>
          <cell r="VF118">
            <v>12142</v>
          </cell>
        </row>
        <row r="119">
          <cell r="A119">
            <v>116</v>
          </cell>
          <cell r="VD119">
            <v>3140</v>
          </cell>
          <cell r="VE119">
            <v>326</v>
          </cell>
          <cell r="VF119">
            <v>12286</v>
          </cell>
        </row>
        <row r="120">
          <cell r="A120">
            <v>117</v>
          </cell>
          <cell r="VD120">
            <v>3164</v>
          </cell>
          <cell r="VE120">
            <v>331</v>
          </cell>
          <cell r="VF120">
            <v>12370</v>
          </cell>
        </row>
        <row r="121">
          <cell r="A121">
            <v>118</v>
          </cell>
          <cell r="VD121">
            <v>3179</v>
          </cell>
          <cell r="VE121">
            <v>336</v>
          </cell>
          <cell r="VF121">
            <v>12483</v>
          </cell>
        </row>
        <row r="122">
          <cell r="A122">
            <v>119</v>
          </cell>
          <cell r="VD122">
            <v>3221</v>
          </cell>
          <cell r="VE122">
            <v>343</v>
          </cell>
          <cell r="VF122">
            <v>12660</v>
          </cell>
        </row>
        <row r="123">
          <cell r="A123">
            <v>120</v>
          </cell>
          <cell r="VD123">
            <v>3249</v>
          </cell>
          <cell r="VE123">
            <v>354</v>
          </cell>
          <cell r="VF123">
            <v>12925</v>
          </cell>
        </row>
        <row r="124">
          <cell r="A124">
            <v>121</v>
          </cell>
          <cell r="VD124">
            <v>3275</v>
          </cell>
          <cell r="VE124">
            <v>362</v>
          </cell>
          <cell r="VF124">
            <v>13129</v>
          </cell>
        </row>
        <row r="125">
          <cell r="A125">
            <v>122</v>
          </cell>
          <cell r="VD125">
            <v>3307</v>
          </cell>
          <cell r="VE125">
            <v>367</v>
          </cell>
          <cell r="VF125">
            <v>13243</v>
          </cell>
        </row>
        <row r="126">
          <cell r="A126">
            <v>123</v>
          </cell>
          <cell r="VD126">
            <v>3360</v>
          </cell>
          <cell r="VE126">
            <v>374</v>
          </cell>
          <cell r="VF126">
            <v>13421</v>
          </cell>
        </row>
        <row r="127">
          <cell r="A127">
            <v>124</v>
          </cell>
          <cell r="VD127">
            <v>3390</v>
          </cell>
          <cell r="VE127">
            <v>380</v>
          </cell>
          <cell r="VF127">
            <v>13582</v>
          </cell>
        </row>
        <row r="128">
          <cell r="A128">
            <v>125</v>
          </cell>
          <cell r="VD128">
            <v>3410</v>
          </cell>
          <cell r="VE128">
            <v>390</v>
          </cell>
          <cell r="VF128">
            <v>13696</v>
          </cell>
        </row>
        <row r="129">
          <cell r="A129">
            <v>126</v>
          </cell>
          <cell r="VD129">
            <v>3423</v>
          </cell>
          <cell r="VE129">
            <v>398</v>
          </cell>
          <cell r="VF129">
            <v>13825</v>
          </cell>
        </row>
        <row r="130">
          <cell r="A130">
            <v>127</v>
          </cell>
          <cell r="VD130">
            <v>3475</v>
          </cell>
          <cell r="VE130">
            <v>405</v>
          </cell>
          <cell r="VF130">
            <v>14081</v>
          </cell>
        </row>
        <row r="131">
          <cell r="A131">
            <v>128</v>
          </cell>
          <cell r="VD131">
            <v>3522</v>
          </cell>
          <cell r="VE131">
            <v>412</v>
          </cell>
          <cell r="VF131">
            <v>14281</v>
          </cell>
        </row>
        <row r="132">
          <cell r="A132">
            <v>129</v>
          </cell>
          <cell r="VD132">
            <v>3549</v>
          </cell>
          <cell r="VE132">
            <v>418</v>
          </cell>
          <cell r="VF132">
            <v>14457</v>
          </cell>
        </row>
        <row r="133">
          <cell r="A133">
            <v>130</v>
          </cell>
          <cell r="VD133">
            <v>3570</v>
          </cell>
          <cell r="VE133">
            <v>429</v>
          </cell>
          <cell r="VF133">
            <v>14732</v>
          </cell>
        </row>
        <row r="134">
          <cell r="A134">
            <v>131</v>
          </cell>
          <cell r="VD134">
            <v>3619</v>
          </cell>
          <cell r="VE134">
            <v>439</v>
          </cell>
          <cell r="VF134">
            <v>14992</v>
          </cell>
        </row>
        <row r="135">
          <cell r="A135">
            <v>132</v>
          </cell>
          <cell r="VD135">
            <v>3645</v>
          </cell>
          <cell r="VE135">
            <v>445</v>
          </cell>
          <cell r="VF135">
            <v>15142</v>
          </cell>
        </row>
        <row r="136">
          <cell r="A136">
            <v>133</v>
          </cell>
          <cell r="VD136">
            <v>3785</v>
          </cell>
          <cell r="VE136">
            <v>451</v>
          </cell>
          <cell r="VF136">
            <v>15297</v>
          </cell>
        </row>
        <row r="137">
          <cell r="A137">
            <v>134</v>
          </cell>
          <cell r="VD137">
            <v>3877</v>
          </cell>
          <cell r="VE137">
            <v>458</v>
          </cell>
          <cell r="VF137">
            <v>15448</v>
          </cell>
        </row>
        <row r="138">
          <cell r="A138">
            <v>135</v>
          </cell>
          <cell r="VD138">
            <v>3959</v>
          </cell>
          <cell r="VE138">
            <v>465</v>
          </cell>
          <cell r="VF138">
            <v>15599</v>
          </cell>
        </row>
        <row r="139">
          <cell r="A139">
            <v>136</v>
          </cell>
          <cell r="VD139">
            <v>4003</v>
          </cell>
          <cell r="VE139">
            <v>471</v>
          </cell>
          <cell r="VF139">
            <v>15748</v>
          </cell>
        </row>
        <row r="140">
          <cell r="A140">
            <v>137</v>
          </cell>
          <cell r="VD140">
            <v>4027</v>
          </cell>
          <cell r="VE140">
            <v>476</v>
          </cell>
          <cell r="VF140">
            <v>15835</v>
          </cell>
        </row>
        <row r="141">
          <cell r="A141">
            <v>138</v>
          </cell>
          <cell r="VD141">
            <v>4042</v>
          </cell>
          <cell r="VE141">
            <v>482</v>
          </cell>
          <cell r="VF141">
            <v>15952</v>
          </cell>
        </row>
        <row r="142">
          <cell r="A142">
            <v>139</v>
          </cell>
          <cell r="VD142">
            <v>4102</v>
          </cell>
          <cell r="VE142">
            <v>489</v>
          </cell>
          <cell r="VF142">
            <v>16135</v>
          </cell>
        </row>
        <row r="143">
          <cell r="A143">
            <v>140</v>
          </cell>
          <cell r="VD143">
            <v>4158</v>
          </cell>
          <cell r="VE143">
            <v>500</v>
          </cell>
          <cell r="VF143">
            <v>16396</v>
          </cell>
        </row>
        <row r="144">
          <cell r="A144">
            <v>141</v>
          </cell>
          <cell r="VD144">
            <v>4190</v>
          </cell>
          <cell r="VE144">
            <v>509</v>
          </cell>
          <cell r="VF144">
            <v>16658</v>
          </cell>
        </row>
        <row r="145">
          <cell r="A145">
            <v>142</v>
          </cell>
          <cell r="VD145">
            <v>4207</v>
          </cell>
          <cell r="VE145">
            <v>514</v>
          </cell>
          <cell r="VF145">
            <v>16801</v>
          </cell>
        </row>
        <row r="146">
          <cell r="A146">
            <v>143</v>
          </cell>
          <cell r="VD146">
            <v>4256</v>
          </cell>
          <cell r="VE146">
            <v>521</v>
          </cell>
          <cell r="VF146">
            <v>16997</v>
          </cell>
        </row>
        <row r="147">
          <cell r="A147">
            <v>144</v>
          </cell>
          <cell r="VD147">
            <v>4284</v>
          </cell>
          <cell r="VE147">
            <v>528</v>
          </cell>
          <cell r="VF147">
            <v>17170</v>
          </cell>
        </row>
        <row r="148">
          <cell r="A148">
            <v>145</v>
          </cell>
          <cell r="VD148">
            <v>4313</v>
          </cell>
          <cell r="VE148">
            <v>533</v>
          </cell>
          <cell r="VF148">
            <v>17286</v>
          </cell>
        </row>
        <row r="149">
          <cell r="A149">
            <v>146</v>
          </cell>
          <cell r="VD149">
            <v>4463</v>
          </cell>
          <cell r="VE149">
            <v>538</v>
          </cell>
          <cell r="VF149">
            <v>17419</v>
          </cell>
        </row>
        <row r="150">
          <cell r="A150">
            <v>147</v>
          </cell>
          <cell r="VD150">
            <v>4576</v>
          </cell>
          <cell r="VE150">
            <v>543</v>
          </cell>
          <cell r="VF150">
            <v>17548</v>
          </cell>
        </row>
        <row r="151">
          <cell r="A151">
            <v>148</v>
          </cell>
          <cell r="VD151">
            <v>4636</v>
          </cell>
          <cell r="VE151">
            <v>549</v>
          </cell>
          <cell r="VF151">
            <v>17687</v>
          </cell>
        </row>
        <row r="152">
          <cell r="A152">
            <v>149</v>
          </cell>
          <cell r="VD152">
            <v>4669</v>
          </cell>
          <cell r="VE152">
            <v>555</v>
          </cell>
          <cell r="VF152">
            <v>17832</v>
          </cell>
        </row>
        <row r="153">
          <cell r="A153">
            <v>150</v>
          </cell>
          <cell r="VD153">
            <v>4700</v>
          </cell>
          <cell r="VE153">
            <v>574</v>
          </cell>
          <cell r="VF153">
            <v>18104</v>
          </cell>
        </row>
        <row r="154">
          <cell r="A154">
            <v>151</v>
          </cell>
          <cell r="VD154">
            <v>4770</v>
          </cell>
          <cell r="VE154">
            <v>587</v>
          </cell>
          <cell r="VF154">
            <v>18441</v>
          </cell>
        </row>
        <row r="155">
          <cell r="A155">
            <v>152</v>
          </cell>
          <cell r="VD155">
            <v>4830</v>
          </cell>
          <cell r="VE155">
            <v>595</v>
          </cell>
          <cell r="VF155">
            <v>18622</v>
          </cell>
        </row>
        <row r="156">
          <cell r="A156">
            <v>153</v>
          </cell>
          <cell r="VD156">
            <v>4863</v>
          </cell>
          <cell r="VE156">
            <v>602</v>
          </cell>
          <cell r="VF156">
            <v>18789</v>
          </cell>
        </row>
        <row r="157">
          <cell r="A157">
            <v>154</v>
          </cell>
          <cell r="VD157">
            <v>4883</v>
          </cell>
          <cell r="VE157">
            <v>609</v>
          </cell>
          <cell r="VF157">
            <v>18948</v>
          </cell>
        </row>
        <row r="158">
          <cell r="A158">
            <v>155</v>
          </cell>
          <cell r="VD158">
            <v>4932</v>
          </cell>
          <cell r="VE158">
            <v>615</v>
          </cell>
          <cell r="VF158">
            <v>19108</v>
          </cell>
        </row>
        <row r="159">
          <cell r="A159">
            <v>156</v>
          </cell>
          <cell r="VD159">
            <v>4961</v>
          </cell>
          <cell r="VE159">
            <v>657</v>
          </cell>
          <cell r="VF159">
            <v>19864</v>
          </cell>
        </row>
        <row r="160">
          <cell r="A160">
            <v>157</v>
          </cell>
          <cell r="VD160">
            <v>4991</v>
          </cell>
          <cell r="VE160">
            <v>680</v>
          </cell>
          <cell r="VF160">
            <v>20262</v>
          </cell>
        </row>
        <row r="161">
          <cell r="A161">
            <v>158</v>
          </cell>
          <cell r="VD161">
            <v>5033</v>
          </cell>
          <cell r="VE161">
            <v>695</v>
          </cell>
          <cell r="VF161">
            <v>20538</v>
          </cell>
        </row>
        <row r="162">
          <cell r="A162">
            <v>159</v>
          </cell>
          <cell r="VD162">
            <v>5095</v>
          </cell>
          <cell r="VE162">
            <v>707</v>
          </cell>
          <cell r="VF162">
            <v>20803</v>
          </cell>
        </row>
        <row r="163">
          <cell r="A163">
            <v>160</v>
          </cell>
          <cell r="VD163">
            <v>5139</v>
          </cell>
          <cell r="VE163">
            <v>727</v>
          </cell>
          <cell r="VF163">
            <v>21253</v>
          </cell>
        </row>
        <row r="164">
          <cell r="A164">
            <v>161</v>
          </cell>
          <cell r="VD164">
            <v>5165</v>
          </cell>
          <cell r="VE164">
            <v>740</v>
          </cell>
          <cell r="VF164">
            <v>21645</v>
          </cell>
        </row>
        <row r="165">
          <cell r="A165">
            <v>162</v>
          </cell>
          <cell r="VD165">
            <v>5179</v>
          </cell>
          <cell r="VE165">
            <v>748</v>
          </cell>
          <cell r="VF165">
            <v>21853</v>
          </cell>
        </row>
        <row r="166">
          <cell r="A166">
            <v>163</v>
          </cell>
          <cell r="VD166">
            <v>5242</v>
          </cell>
          <cell r="VE166">
            <v>756</v>
          </cell>
          <cell r="VF166">
            <v>22084</v>
          </cell>
        </row>
        <row r="167">
          <cell r="A167">
            <v>164</v>
          </cell>
          <cell r="VD167">
            <v>5301</v>
          </cell>
          <cell r="VE167">
            <v>763</v>
          </cell>
          <cell r="VF167">
            <v>22285</v>
          </cell>
        </row>
        <row r="168">
          <cell r="A168">
            <v>165</v>
          </cell>
          <cell r="VD168">
            <v>5332</v>
          </cell>
          <cell r="VE168">
            <v>768</v>
          </cell>
          <cell r="VF168">
            <v>22398</v>
          </cell>
        </row>
        <row r="169">
          <cell r="A169">
            <v>166</v>
          </cell>
          <cell r="VD169">
            <v>5353</v>
          </cell>
          <cell r="VE169">
            <v>781</v>
          </cell>
          <cell r="VF169">
            <v>22583</v>
          </cell>
        </row>
        <row r="170">
          <cell r="A170">
            <v>167</v>
          </cell>
          <cell r="VD170">
            <v>5404</v>
          </cell>
          <cell r="VE170">
            <v>790</v>
          </cell>
          <cell r="VF170">
            <v>22763</v>
          </cell>
        </row>
        <row r="171">
          <cell r="A171">
            <v>168</v>
          </cell>
          <cell r="VD171">
            <v>5433</v>
          </cell>
          <cell r="VE171">
            <v>798</v>
          </cell>
          <cell r="VF171">
            <v>22932</v>
          </cell>
        </row>
        <row r="172">
          <cell r="A172">
            <v>169</v>
          </cell>
          <cell r="VD172">
            <v>5465</v>
          </cell>
          <cell r="VE172">
            <v>805</v>
          </cell>
          <cell r="VF172">
            <v>23094</v>
          </cell>
        </row>
        <row r="173">
          <cell r="A173">
            <v>170</v>
          </cell>
          <cell r="VD173">
            <v>5512</v>
          </cell>
          <cell r="VE173">
            <v>817</v>
          </cell>
          <cell r="VF173">
            <v>23374</v>
          </cell>
        </row>
        <row r="174">
          <cell r="A174">
            <v>171</v>
          </cell>
          <cell r="VD174">
            <v>5578</v>
          </cell>
          <cell r="VE174">
            <v>828</v>
          </cell>
          <cell r="VF174">
            <v>23769</v>
          </cell>
        </row>
        <row r="175">
          <cell r="A175">
            <v>172</v>
          </cell>
          <cell r="VD175">
            <v>5612</v>
          </cell>
          <cell r="VE175">
            <v>839</v>
          </cell>
          <cell r="VF175">
            <v>23979</v>
          </cell>
        </row>
        <row r="176">
          <cell r="A176">
            <v>173</v>
          </cell>
          <cell r="VD176">
            <v>5633</v>
          </cell>
          <cell r="VE176">
            <v>848</v>
          </cell>
          <cell r="VF176">
            <v>24163</v>
          </cell>
        </row>
        <row r="177">
          <cell r="A177">
            <v>174</v>
          </cell>
          <cell r="VD177">
            <v>5647</v>
          </cell>
          <cell r="VE177">
            <v>856</v>
          </cell>
          <cell r="VF177">
            <v>24334</v>
          </cell>
        </row>
        <row r="178">
          <cell r="A178">
            <v>175</v>
          </cell>
          <cell r="VD178">
            <v>5713</v>
          </cell>
          <cell r="VE178">
            <v>869</v>
          </cell>
          <cell r="VF178">
            <v>24542</v>
          </cell>
        </row>
        <row r="179">
          <cell r="A179">
            <v>176</v>
          </cell>
          <cell r="VD179">
            <v>5891</v>
          </cell>
          <cell r="VE179">
            <v>881</v>
          </cell>
          <cell r="VF179">
            <v>24776</v>
          </cell>
        </row>
        <row r="180">
          <cell r="A180">
            <v>177</v>
          </cell>
          <cell r="VD180">
            <v>5981</v>
          </cell>
          <cell r="VE180">
            <v>888</v>
          </cell>
          <cell r="VF180">
            <v>24910</v>
          </cell>
        </row>
        <row r="181">
          <cell r="A181">
            <v>178</v>
          </cell>
          <cell r="VD181">
            <v>6029</v>
          </cell>
          <cell r="VE181">
            <v>900</v>
          </cell>
          <cell r="VF181">
            <v>25056</v>
          </cell>
        </row>
        <row r="182">
          <cell r="A182">
            <v>179</v>
          </cell>
          <cell r="VD182">
            <v>6146</v>
          </cell>
          <cell r="VE182">
            <v>911</v>
          </cell>
          <cell r="VF182">
            <v>25288</v>
          </cell>
        </row>
        <row r="183">
          <cell r="A183">
            <v>180</v>
          </cell>
          <cell r="VD183">
            <v>6265</v>
          </cell>
          <cell r="VE183">
            <v>926</v>
          </cell>
          <cell r="VF183">
            <v>25651</v>
          </cell>
        </row>
        <row r="184">
          <cell r="A184">
            <v>181</v>
          </cell>
          <cell r="VD184">
            <v>6344</v>
          </cell>
          <cell r="VE184">
            <v>938</v>
          </cell>
          <cell r="VF184">
            <v>26047</v>
          </cell>
        </row>
        <row r="185">
          <cell r="A185">
            <v>182</v>
          </cell>
          <cell r="VD185">
            <v>6414</v>
          </cell>
          <cell r="VE185">
            <v>946</v>
          </cell>
          <cell r="VF185">
            <v>26282</v>
          </cell>
        </row>
        <row r="186">
          <cell r="A186">
            <v>183</v>
          </cell>
          <cell r="VD186">
            <v>6500</v>
          </cell>
          <cell r="VE186">
            <v>958</v>
          </cell>
          <cell r="VF186">
            <v>26625</v>
          </cell>
        </row>
        <row r="187">
          <cell r="A187">
            <v>184</v>
          </cell>
          <cell r="VD187">
            <v>6547</v>
          </cell>
          <cell r="VE187">
            <v>973</v>
          </cell>
          <cell r="VF187">
            <v>26903</v>
          </cell>
        </row>
        <row r="188">
          <cell r="A188">
            <v>185</v>
          </cell>
          <cell r="VD188">
            <v>6573</v>
          </cell>
          <cell r="VE188">
            <v>985</v>
          </cell>
          <cell r="VF188">
            <v>27103</v>
          </cell>
        </row>
        <row r="189">
          <cell r="A189">
            <v>186</v>
          </cell>
          <cell r="VD189">
            <v>6597</v>
          </cell>
          <cell r="VE189">
            <v>1019</v>
          </cell>
          <cell r="VF189">
            <v>27753</v>
          </cell>
        </row>
        <row r="190">
          <cell r="A190">
            <v>187</v>
          </cell>
          <cell r="VD190">
            <v>6669</v>
          </cell>
          <cell r="VE190">
            <v>1038</v>
          </cell>
          <cell r="VF190">
            <v>28166</v>
          </cell>
        </row>
        <row r="191">
          <cell r="A191">
            <v>188</v>
          </cell>
          <cell r="VD191">
            <v>6737</v>
          </cell>
          <cell r="VE191">
            <v>1051</v>
          </cell>
          <cell r="VF191">
            <v>28453</v>
          </cell>
        </row>
        <row r="192">
          <cell r="A192">
            <v>189</v>
          </cell>
          <cell r="VD192">
            <v>6777</v>
          </cell>
          <cell r="VE192">
            <v>1063</v>
          </cell>
          <cell r="VF192">
            <v>28731</v>
          </cell>
        </row>
        <row r="193">
          <cell r="A193">
            <v>190</v>
          </cell>
          <cell r="VD193">
            <v>6819</v>
          </cell>
          <cell r="VE193">
            <v>1096</v>
          </cell>
          <cell r="VF193">
            <v>29057</v>
          </cell>
        </row>
        <row r="194">
          <cell r="A194">
            <v>191</v>
          </cell>
          <cell r="VD194">
            <v>6889</v>
          </cell>
          <cell r="VE194">
            <v>1118</v>
          </cell>
          <cell r="VF194">
            <v>29501</v>
          </cell>
        </row>
        <row r="195">
          <cell r="A195">
            <v>192</v>
          </cell>
          <cell r="VD195">
            <v>6930</v>
          </cell>
          <cell r="VE195">
            <v>1135</v>
          </cell>
          <cell r="VF195">
            <v>29860</v>
          </cell>
        </row>
        <row r="196">
          <cell r="A196">
            <v>193</v>
          </cell>
          <cell r="VD196">
            <v>6975</v>
          </cell>
          <cell r="VE196">
            <v>1152</v>
          </cell>
          <cell r="VF196">
            <v>30247</v>
          </cell>
        </row>
        <row r="197">
          <cell r="A197">
            <v>194</v>
          </cell>
          <cell r="VD197">
            <v>7031</v>
          </cell>
          <cell r="VE197">
            <v>1164</v>
          </cell>
          <cell r="VF197">
            <v>30523</v>
          </cell>
        </row>
        <row r="198">
          <cell r="A198">
            <v>195</v>
          </cell>
          <cell r="VD198">
            <v>7105</v>
          </cell>
          <cell r="VE198">
            <v>1173</v>
          </cell>
          <cell r="VF198">
            <v>30779</v>
          </cell>
        </row>
        <row r="199">
          <cell r="A199">
            <v>196</v>
          </cell>
          <cell r="VD199">
            <v>7153</v>
          </cell>
          <cell r="VE199">
            <v>1187</v>
          </cell>
          <cell r="VF199">
            <v>31026</v>
          </cell>
        </row>
        <row r="200">
          <cell r="A200">
            <v>197</v>
          </cell>
          <cell r="VD200">
            <v>7178</v>
          </cell>
          <cell r="VE200">
            <v>1196</v>
          </cell>
          <cell r="VF200">
            <v>31162</v>
          </cell>
        </row>
        <row r="201">
          <cell r="A201">
            <v>198</v>
          </cell>
          <cell r="VD201">
            <v>7196</v>
          </cell>
          <cell r="VE201">
            <v>1205</v>
          </cell>
          <cell r="VF201">
            <v>31363</v>
          </cell>
        </row>
        <row r="202">
          <cell r="A202">
            <v>199</v>
          </cell>
          <cell r="VD202">
            <v>7269</v>
          </cell>
          <cell r="VE202">
            <v>1215</v>
          </cell>
          <cell r="VF202">
            <v>31622</v>
          </cell>
        </row>
        <row r="203">
          <cell r="A203">
            <v>200</v>
          </cell>
          <cell r="VD203">
            <v>7428</v>
          </cell>
          <cell r="VE203">
            <v>1307</v>
          </cell>
          <cell r="VF203">
            <v>34316</v>
          </cell>
        </row>
        <row r="204">
          <cell r="A204">
            <v>201</v>
          </cell>
          <cell r="VD204">
            <v>7512</v>
          </cell>
          <cell r="VE204">
            <v>1365</v>
          </cell>
          <cell r="VF204">
            <v>36021</v>
          </cell>
        </row>
        <row r="205">
          <cell r="A205">
            <v>202</v>
          </cell>
          <cell r="VD205">
            <v>7563</v>
          </cell>
          <cell r="VE205">
            <v>1403</v>
          </cell>
          <cell r="VF205">
            <v>37116</v>
          </cell>
        </row>
        <row r="206">
          <cell r="A206">
            <v>203</v>
          </cell>
          <cell r="VD206">
            <v>7604</v>
          </cell>
          <cell r="VE206">
            <v>1431</v>
          </cell>
          <cell r="VF206">
            <v>37906</v>
          </cell>
        </row>
        <row r="207">
          <cell r="A207">
            <v>204</v>
          </cell>
          <cell r="VD207">
            <v>7668</v>
          </cell>
          <cell r="VE207">
            <v>1456</v>
          </cell>
          <cell r="VF207">
            <v>38458</v>
          </cell>
        </row>
        <row r="208">
          <cell r="A208">
            <v>205</v>
          </cell>
          <cell r="VD208">
            <v>7774</v>
          </cell>
          <cell r="VE208">
            <v>1475</v>
          </cell>
          <cell r="VF208">
            <v>38902</v>
          </cell>
        </row>
        <row r="209">
          <cell r="A209">
            <v>206</v>
          </cell>
          <cell r="VD209">
            <v>7861</v>
          </cell>
          <cell r="VE209">
            <v>1489</v>
          </cell>
          <cell r="VF209">
            <v>39217</v>
          </cell>
        </row>
        <row r="210">
          <cell r="A210">
            <v>207</v>
          </cell>
          <cell r="VD210">
            <v>7917</v>
          </cell>
          <cell r="VE210">
            <v>1501</v>
          </cell>
          <cell r="VF210">
            <v>39558</v>
          </cell>
        </row>
        <row r="211">
          <cell r="A211">
            <v>208</v>
          </cell>
          <cell r="VD211">
            <v>7999</v>
          </cell>
          <cell r="VE211">
            <v>1516</v>
          </cell>
          <cell r="VF211">
            <v>39822</v>
          </cell>
        </row>
        <row r="212">
          <cell r="A212">
            <v>209</v>
          </cell>
          <cell r="VD212">
            <v>8044</v>
          </cell>
          <cell r="VE212">
            <v>1528</v>
          </cell>
          <cell r="VF212">
            <v>40048</v>
          </cell>
        </row>
        <row r="213">
          <cell r="A213">
            <v>210</v>
          </cell>
          <cell r="VD213">
            <v>8077</v>
          </cell>
          <cell r="VE213">
            <v>1546</v>
          </cell>
          <cell r="VF213">
            <v>40571</v>
          </cell>
        </row>
        <row r="214">
          <cell r="A214">
            <v>211</v>
          </cell>
          <cell r="VD214">
            <v>8127</v>
          </cell>
          <cell r="VE214">
            <v>1565</v>
          </cell>
          <cell r="VF214">
            <v>41119</v>
          </cell>
        </row>
        <row r="215">
          <cell r="A215">
            <v>212</v>
          </cell>
          <cell r="VD215">
            <v>8186</v>
          </cell>
          <cell r="VE215">
            <v>1588</v>
          </cell>
          <cell r="VF215">
            <v>41787</v>
          </cell>
        </row>
        <row r="216">
          <cell r="A216">
            <v>213</v>
          </cell>
          <cell r="VD216">
            <v>8256</v>
          </cell>
          <cell r="VE216">
            <v>1603</v>
          </cell>
          <cell r="VF216">
            <v>42216</v>
          </cell>
        </row>
        <row r="217">
          <cell r="A217">
            <v>214</v>
          </cell>
          <cell r="VD217">
            <v>8306</v>
          </cell>
          <cell r="VE217">
            <v>1630</v>
          </cell>
          <cell r="VF217">
            <v>42651</v>
          </cell>
        </row>
        <row r="218">
          <cell r="A218">
            <v>215</v>
          </cell>
          <cell r="VD218">
            <v>8350</v>
          </cell>
          <cell r="VE218">
            <v>1656</v>
          </cell>
          <cell r="VF218">
            <v>43181</v>
          </cell>
        </row>
        <row r="219">
          <cell r="A219">
            <v>216</v>
          </cell>
          <cell r="VD219">
            <v>8376</v>
          </cell>
          <cell r="VE219">
            <v>1672</v>
          </cell>
          <cell r="VF219">
            <v>43541</v>
          </cell>
        </row>
        <row r="220">
          <cell r="A220">
            <v>217</v>
          </cell>
          <cell r="VD220">
            <v>8409</v>
          </cell>
          <cell r="VE220">
            <v>1684</v>
          </cell>
          <cell r="VF220">
            <v>43817</v>
          </cell>
        </row>
        <row r="221">
          <cell r="A221">
            <v>218</v>
          </cell>
          <cell r="VD221">
            <v>8505</v>
          </cell>
          <cell r="VE221">
            <v>1694</v>
          </cell>
          <cell r="VF221">
            <v>44051</v>
          </cell>
        </row>
        <row r="222">
          <cell r="A222">
            <v>219</v>
          </cell>
          <cell r="VD222">
            <v>8565</v>
          </cell>
          <cell r="VE222">
            <v>1704</v>
          </cell>
          <cell r="VF222">
            <v>44474</v>
          </cell>
        </row>
        <row r="223">
          <cell r="A223">
            <v>220</v>
          </cell>
          <cell r="VD223">
            <v>8621</v>
          </cell>
          <cell r="VE223">
            <v>1735</v>
          </cell>
          <cell r="VF223">
            <v>45173</v>
          </cell>
        </row>
        <row r="224">
          <cell r="A224">
            <v>221</v>
          </cell>
          <cell r="VD224">
            <v>8658</v>
          </cell>
          <cell r="VE224">
            <v>1767</v>
          </cell>
          <cell r="VF224">
            <v>45872</v>
          </cell>
        </row>
        <row r="225">
          <cell r="A225">
            <v>222</v>
          </cell>
          <cell r="VD225">
            <v>8681</v>
          </cell>
          <cell r="VE225">
            <v>1787</v>
          </cell>
          <cell r="VF225">
            <v>46469</v>
          </cell>
        </row>
        <row r="226">
          <cell r="A226">
            <v>223</v>
          </cell>
          <cell r="VD226">
            <v>8760</v>
          </cell>
          <cell r="VE226">
            <v>1802</v>
          </cell>
          <cell r="VF226">
            <v>46940</v>
          </cell>
        </row>
        <row r="227">
          <cell r="A227">
            <v>224</v>
          </cell>
          <cell r="VD227">
            <v>8834</v>
          </cell>
          <cell r="VE227">
            <v>1820</v>
          </cell>
          <cell r="VF227">
            <v>47273</v>
          </cell>
        </row>
        <row r="228">
          <cell r="A228">
            <v>225</v>
          </cell>
          <cell r="VD228">
            <v>8872</v>
          </cell>
          <cell r="VE228">
            <v>1832</v>
          </cell>
          <cell r="VF228">
            <v>47455</v>
          </cell>
        </row>
        <row r="229">
          <cell r="A229">
            <v>226</v>
          </cell>
          <cell r="VD229">
            <v>8900</v>
          </cell>
          <cell r="VE229">
            <v>1847</v>
          </cell>
          <cell r="VF229">
            <v>47644</v>
          </cell>
        </row>
        <row r="230">
          <cell r="A230">
            <v>227</v>
          </cell>
          <cell r="VD230">
            <v>8966</v>
          </cell>
          <cell r="VE230">
            <v>1860</v>
          </cell>
          <cell r="VF230">
            <v>47915</v>
          </cell>
        </row>
        <row r="231">
          <cell r="A231">
            <v>228</v>
          </cell>
          <cell r="VD231">
            <v>9010</v>
          </cell>
          <cell r="VE231">
            <v>1871</v>
          </cell>
          <cell r="VF231">
            <v>48318</v>
          </cell>
        </row>
        <row r="232">
          <cell r="A232">
            <v>229</v>
          </cell>
          <cell r="VD232">
            <v>9056</v>
          </cell>
          <cell r="VE232">
            <v>1892</v>
          </cell>
          <cell r="VF232">
            <v>48802</v>
          </cell>
        </row>
        <row r="233">
          <cell r="A233">
            <v>230</v>
          </cell>
          <cell r="VD233">
            <v>9188</v>
          </cell>
          <cell r="VE233">
            <v>1915</v>
          </cell>
          <cell r="VF233">
            <v>49298</v>
          </cell>
        </row>
        <row r="234">
          <cell r="A234">
            <v>231</v>
          </cell>
          <cell r="VD234">
            <v>9273</v>
          </cell>
          <cell r="VE234">
            <v>1938</v>
          </cell>
          <cell r="VF234">
            <v>49844</v>
          </cell>
        </row>
        <row r="235">
          <cell r="A235">
            <v>232</v>
          </cell>
          <cell r="VD235">
            <v>9363</v>
          </cell>
          <cell r="VE235">
            <v>1958</v>
          </cell>
          <cell r="VF235">
            <v>50366</v>
          </cell>
        </row>
        <row r="236">
          <cell r="A236">
            <v>233</v>
          </cell>
          <cell r="VD236">
            <v>9415</v>
          </cell>
          <cell r="VE236">
            <v>1975</v>
          </cell>
          <cell r="VF236">
            <v>50755</v>
          </cell>
        </row>
        <row r="237">
          <cell r="A237">
            <v>234</v>
          </cell>
          <cell r="VD237">
            <v>9445</v>
          </cell>
          <cell r="VE237">
            <v>1993</v>
          </cell>
          <cell r="VF237">
            <v>51049</v>
          </cell>
        </row>
        <row r="238">
          <cell r="A238">
            <v>235</v>
          </cell>
          <cell r="VD238">
            <v>9495</v>
          </cell>
          <cell r="VE238">
            <v>2008</v>
          </cell>
          <cell r="VF238">
            <v>51405</v>
          </cell>
        </row>
        <row r="239">
          <cell r="A239">
            <v>236</v>
          </cell>
          <cell r="VD239">
            <v>9556</v>
          </cell>
          <cell r="VE239">
            <v>2020</v>
          </cell>
          <cell r="VF239">
            <v>51683</v>
          </cell>
        </row>
        <row r="240">
          <cell r="A240">
            <v>237</v>
          </cell>
          <cell r="VD240">
            <v>9631</v>
          </cell>
          <cell r="VE240">
            <v>2032</v>
          </cell>
          <cell r="VF240">
            <v>52090</v>
          </cell>
        </row>
        <row r="241">
          <cell r="A241">
            <v>238</v>
          </cell>
          <cell r="VD241">
            <v>9684</v>
          </cell>
          <cell r="VE241">
            <v>2047</v>
          </cell>
          <cell r="VF241">
            <v>52394</v>
          </cell>
        </row>
        <row r="242">
          <cell r="A242">
            <v>239</v>
          </cell>
          <cell r="VD242">
            <v>9840</v>
          </cell>
          <cell r="VE242">
            <v>2063</v>
          </cell>
          <cell r="VF242">
            <v>52784</v>
          </cell>
        </row>
        <row r="243">
          <cell r="A243">
            <v>240</v>
          </cell>
          <cell r="VD243">
            <v>9945</v>
          </cell>
          <cell r="VE243">
            <v>2098</v>
          </cell>
          <cell r="VF243">
            <v>53345</v>
          </cell>
        </row>
        <row r="244">
          <cell r="A244">
            <v>241</v>
          </cell>
          <cell r="VD244">
            <v>10028</v>
          </cell>
          <cell r="VE244">
            <v>2136</v>
          </cell>
          <cell r="VF244">
            <v>54021</v>
          </cell>
        </row>
        <row r="245">
          <cell r="A245">
            <v>242</v>
          </cell>
          <cell r="VD245">
            <v>10144</v>
          </cell>
          <cell r="VE245">
            <v>2159</v>
          </cell>
          <cell r="VF245">
            <v>54611</v>
          </cell>
        </row>
        <row r="246">
          <cell r="A246">
            <v>243</v>
          </cell>
          <cell r="VD246">
            <v>10225</v>
          </cell>
          <cell r="VE246">
            <v>2181</v>
          </cell>
          <cell r="VF246">
            <v>55210</v>
          </cell>
        </row>
        <row r="247">
          <cell r="A247">
            <v>244</v>
          </cell>
          <cell r="VD247">
            <v>10276</v>
          </cell>
          <cell r="VE247">
            <v>2211</v>
          </cell>
          <cell r="VF247">
            <v>55649</v>
          </cell>
        </row>
        <row r="248">
          <cell r="A248">
            <v>245</v>
          </cell>
          <cell r="VD248">
            <v>10306</v>
          </cell>
          <cell r="VE248">
            <v>2234</v>
          </cell>
          <cell r="VF248">
            <v>56093</v>
          </cell>
        </row>
        <row r="249">
          <cell r="A249">
            <v>246</v>
          </cell>
          <cell r="VD249">
            <v>10366</v>
          </cell>
          <cell r="VE249">
            <v>2251</v>
          </cell>
          <cell r="VF249">
            <v>56489</v>
          </cell>
        </row>
        <row r="250">
          <cell r="A250">
            <v>247</v>
          </cell>
          <cell r="VD250">
            <v>10437</v>
          </cell>
          <cell r="VE250">
            <v>2272</v>
          </cell>
          <cell r="VF250">
            <v>56999</v>
          </cell>
        </row>
        <row r="251">
          <cell r="A251">
            <v>248</v>
          </cell>
          <cell r="VD251">
            <v>10516</v>
          </cell>
          <cell r="VE251">
            <v>2288</v>
          </cell>
          <cell r="VF251">
            <v>57407</v>
          </cell>
        </row>
        <row r="252">
          <cell r="A252">
            <v>249</v>
          </cell>
          <cell r="VD252">
            <v>10567</v>
          </cell>
          <cell r="VE252">
            <v>2308</v>
          </cell>
          <cell r="VF252">
            <v>57866</v>
          </cell>
        </row>
        <row r="253">
          <cell r="A253">
            <v>250</v>
          </cell>
          <cell r="VD253">
            <v>10619</v>
          </cell>
          <cell r="VE253">
            <v>2349</v>
          </cell>
          <cell r="VF253">
            <v>58697</v>
          </cell>
        </row>
        <row r="254">
          <cell r="A254">
            <v>251</v>
          </cell>
          <cell r="VD254">
            <v>10709</v>
          </cell>
          <cell r="VE254">
            <v>2378</v>
          </cell>
          <cell r="VF254">
            <v>59391</v>
          </cell>
        </row>
        <row r="255">
          <cell r="A255">
            <v>252</v>
          </cell>
          <cell r="VD255">
            <v>10762</v>
          </cell>
          <cell r="VE255">
            <v>2407</v>
          </cell>
          <cell r="VF255">
            <v>60173</v>
          </cell>
        </row>
        <row r="256">
          <cell r="A256">
            <v>253</v>
          </cell>
          <cell r="VD256">
            <v>10795</v>
          </cell>
          <cell r="VE256">
            <v>2429</v>
          </cell>
          <cell r="VF256">
            <v>60878</v>
          </cell>
        </row>
        <row r="257">
          <cell r="A257">
            <v>254</v>
          </cell>
          <cell r="VD257">
            <v>10847</v>
          </cell>
          <cell r="VE257">
            <v>2450</v>
          </cell>
          <cell r="VF257">
            <v>61336</v>
          </cell>
        </row>
        <row r="258">
          <cell r="A258">
            <v>255</v>
          </cell>
          <cell r="VD258">
            <v>10960</v>
          </cell>
          <cell r="VE258">
            <v>2464</v>
          </cell>
          <cell r="VF258">
            <v>61753</v>
          </cell>
        </row>
        <row r="259">
          <cell r="A259">
            <v>256</v>
          </cell>
          <cell r="VD259">
            <v>11080</v>
          </cell>
          <cell r="VE259">
            <v>2492</v>
          </cell>
          <cell r="VF259">
            <v>62332</v>
          </cell>
        </row>
        <row r="260">
          <cell r="A260">
            <v>257</v>
          </cell>
          <cell r="VD260">
            <v>11145</v>
          </cell>
          <cell r="VE260">
            <v>2511</v>
          </cell>
          <cell r="VF260">
            <v>62756</v>
          </cell>
        </row>
        <row r="261">
          <cell r="A261">
            <v>258</v>
          </cell>
          <cell r="VD261">
            <v>11188</v>
          </cell>
          <cell r="VE261">
            <v>2525</v>
          </cell>
          <cell r="VF261">
            <v>63075</v>
          </cell>
        </row>
        <row r="262">
          <cell r="A262">
            <v>259</v>
          </cell>
          <cell r="VD262">
            <v>11230</v>
          </cell>
          <cell r="VE262">
            <v>2541</v>
          </cell>
          <cell r="VF262">
            <v>63470</v>
          </cell>
        </row>
        <row r="263">
          <cell r="A263">
            <v>260</v>
          </cell>
          <cell r="VD263">
            <v>11297</v>
          </cell>
          <cell r="VE263">
            <v>2563</v>
          </cell>
          <cell r="VF263">
            <v>64133</v>
          </cell>
        </row>
        <row r="264">
          <cell r="A264">
            <v>261</v>
          </cell>
          <cell r="VD264">
            <v>11379</v>
          </cell>
          <cell r="VE264">
            <v>2588</v>
          </cell>
          <cell r="VF264">
            <v>64879</v>
          </cell>
        </row>
        <row r="265">
          <cell r="A265">
            <v>262</v>
          </cell>
          <cell r="VD265">
            <v>11429</v>
          </cell>
          <cell r="VE265">
            <v>2609</v>
          </cell>
          <cell r="VF265">
            <v>65509</v>
          </cell>
        </row>
        <row r="266">
          <cell r="A266">
            <v>263</v>
          </cell>
          <cell r="VD266">
            <v>11477</v>
          </cell>
          <cell r="VE266">
            <v>2631</v>
          </cell>
          <cell r="VF266">
            <v>66067</v>
          </cell>
        </row>
        <row r="267">
          <cell r="A267">
            <v>264</v>
          </cell>
          <cell r="VD267">
            <v>11505</v>
          </cell>
          <cell r="VE267">
            <v>2652</v>
          </cell>
          <cell r="VF267">
            <v>66454</v>
          </cell>
        </row>
        <row r="268">
          <cell r="A268">
            <v>265</v>
          </cell>
          <cell r="VD268">
            <v>11525</v>
          </cell>
          <cell r="VE268">
            <v>2671</v>
          </cell>
          <cell r="VF268">
            <v>66690</v>
          </cell>
        </row>
        <row r="269">
          <cell r="A269">
            <v>266</v>
          </cell>
          <cell r="VD269">
            <v>11607</v>
          </cell>
          <cell r="VE269">
            <v>2696</v>
          </cell>
          <cell r="VF269">
            <v>67186</v>
          </cell>
        </row>
        <row r="270">
          <cell r="A270">
            <v>267</v>
          </cell>
          <cell r="VD270">
            <v>11670</v>
          </cell>
          <cell r="VE270">
            <v>2718</v>
          </cell>
          <cell r="VF270">
            <v>67643</v>
          </cell>
        </row>
        <row r="271">
          <cell r="A271">
            <v>268</v>
          </cell>
          <cell r="VD271">
            <v>11718</v>
          </cell>
          <cell r="VE271">
            <v>2738</v>
          </cell>
          <cell r="VF271">
            <v>67981</v>
          </cell>
        </row>
        <row r="272">
          <cell r="A272">
            <v>269</v>
          </cell>
          <cell r="VD272">
            <v>11750</v>
          </cell>
          <cell r="VE272">
            <v>2764</v>
          </cell>
          <cell r="VF272">
            <v>68730</v>
          </cell>
        </row>
        <row r="273">
          <cell r="A273">
            <v>270</v>
          </cell>
          <cell r="VD273">
            <v>11821</v>
          </cell>
          <cell r="VE273">
            <v>2797</v>
          </cell>
          <cell r="VF273">
            <v>69445</v>
          </cell>
        </row>
        <row r="274">
          <cell r="A274">
            <v>271</v>
          </cell>
          <cell r="VD274">
            <v>11876</v>
          </cell>
          <cell r="VE274">
            <v>2820</v>
          </cell>
          <cell r="VF274">
            <v>70013</v>
          </cell>
        </row>
        <row r="275">
          <cell r="A275">
            <v>272</v>
          </cell>
          <cell r="VD275">
            <v>11924</v>
          </cell>
          <cell r="VE275">
            <v>2835</v>
          </cell>
          <cell r="VF275">
            <v>70557</v>
          </cell>
        </row>
        <row r="276">
          <cell r="A276">
            <v>273</v>
          </cell>
          <cell r="VD276">
            <v>11957</v>
          </cell>
          <cell r="VE276">
            <v>2847</v>
          </cell>
          <cell r="VF276">
            <v>70940</v>
          </cell>
        </row>
        <row r="277">
          <cell r="A277">
            <v>274</v>
          </cell>
          <cell r="VD277">
            <v>11986</v>
          </cell>
          <cell r="VE277">
            <v>2872</v>
          </cell>
          <cell r="VF277">
            <v>71243</v>
          </cell>
        </row>
        <row r="278">
          <cell r="A278">
            <v>275</v>
          </cell>
          <cell r="VD278">
            <v>12059</v>
          </cell>
          <cell r="VE278">
            <v>2890</v>
          </cell>
          <cell r="VF278">
            <v>71664</v>
          </cell>
        </row>
        <row r="279">
          <cell r="A279">
            <v>276</v>
          </cell>
          <cell r="VD279">
            <v>12113</v>
          </cell>
          <cell r="VE279">
            <v>2924</v>
          </cell>
          <cell r="VF279">
            <v>72370</v>
          </cell>
        </row>
        <row r="280">
          <cell r="A280">
            <v>277</v>
          </cell>
          <cell r="VD280">
            <v>12148</v>
          </cell>
          <cell r="VE280">
            <v>2948</v>
          </cell>
          <cell r="VF280">
            <v>73003</v>
          </cell>
        </row>
        <row r="281">
          <cell r="A281">
            <v>278</v>
          </cell>
          <cell r="VD281">
            <v>12192</v>
          </cell>
          <cell r="VE281">
            <v>2964</v>
          </cell>
          <cell r="VF281">
            <v>73470</v>
          </cell>
        </row>
        <row r="282">
          <cell r="A282">
            <v>279</v>
          </cell>
          <cell r="VD282">
            <v>12234</v>
          </cell>
          <cell r="VE282">
            <v>2979</v>
          </cell>
          <cell r="VF282">
            <v>73920</v>
          </cell>
        </row>
        <row r="283">
          <cell r="A283">
            <v>280</v>
          </cell>
          <cell r="VD283">
            <v>12425</v>
          </cell>
          <cell r="VE283">
            <v>3036</v>
          </cell>
          <cell r="VF283">
            <v>75126</v>
          </cell>
        </row>
        <row r="284">
          <cell r="A284">
            <v>281</v>
          </cell>
          <cell r="VD284">
            <v>12537</v>
          </cell>
          <cell r="VE284">
            <v>3082</v>
          </cell>
          <cell r="VF284">
            <v>76064</v>
          </cell>
        </row>
        <row r="285">
          <cell r="A285">
            <v>282</v>
          </cell>
          <cell r="VD285">
            <v>12598</v>
          </cell>
          <cell r="VE285">
            <v>3110</v>
          </cell>
          <cell r="VF285">
            <v>76796</v>
          </cell>
        </row>
        <row r="286">
          <cell r="A286">
            <v>283</v>
          </cell>
          <cell r="VD286">
            <v>12656</v>
          </cell>
          <cell r="VE286">
            <v>3133</v>
          </cell>
          <cell r="VF286">
            <v>77445</v>
          </cell>
        </row>
        <row r="287">
          <cell r="A287">
            <v>284</v>
          </cell>
          <cell r="VD287">
            <v>12709</v>
          </cell>
          <cell r="VE287">
            <v>3158</v>
          </cell>
          <cell r="VF287">
            <v>77884</v>
          </cell>
        </row>
        <row r="288">
          <cell r="A288">
            <v>285</v>
          </cell>
          <cell r="VD288">
            <v>12780</v>
          </cell>
          <cell r="VE288">
            <v>3180</v>
          </cell>
          <cell r="VF288">
            <v>78313</v>
          </cell>
        </row>
        <row r="289">
          <cell r="A289">
            <v>286</v>
          </cell>
          <cell r="VD289">
            <v>12835</v>
          </cell>
          <cell r="VE289">
            <v>3212</v>
          </cell>
          <cell r="VF289">
            <v>78893</v>
          </cell>
        </row>
        <row r="290">
          <cell r="A290">
            <v>287</v>
          </cell>
          <cell r="VD290">
            <v>12886</v>
          </cell>
          <cell r="VE290">
            <v>3243</v>
          </cell>
          <cell r="VF290">
            <v>79548</v>
          </cell>
        </row>
        <row r="291">
          <cell r="A291">
            <v>288</v>
          </cell>
          <cell r="VD291">
            <v>12926</v>
          </cell>
          <cell r="VE291">
            <v>3267</v>
          </cell>
          <cell r="VF291">
            <v>79991</v>
          </cell>
        </row>
        <row r="292">
          <cell r="A292">
            <v>289</v>
          </cell>
          <cell r="VD292">
            <v>12993</v>
          </cell>
          <cell r="VE292">
            <v>3284</v>
          </cell>
          <cell r="VF292">
            <v>80357</v>
          </cell>
        </row>
        <row r="293">
          <cell r="A293">
            <v>290</v>
          </cell>
          <cell r="VD293">
            <v>13059</v>
          </cell>
          <cell r="VE293">
            <v>3314</v>
          </cell>
          <cell r="VF293">
            <v>80990</v>
          </cell>
        </row>
        <row r="294">
          <cell r="A294">
            <v>291</v>
          </cell>
          <cell r="VD294">
            <v>13113</v>
          </cell>
          <cell r="VE294">
            <v>3337</v>
          </cell>
          <cell r="VF294">
            <v>81552</v>
          </cell>
        </row>
        <row r="295">
          <cell r="A295">
            <v>292</v>
          </cell>
          <cell r="VD295">
            <v>13153</v>
          </cell>
          <cell r="VE295">
            <v>3361</v>
          </cell>
          <cell r="VF295">
            <v>82100</v>
          </cell>
        </row>
        <row r="296">
          <cell r="A296">
            <v>293</v>
          </cell>
          <cell r="VD296">
            <v>13193</v>
          </cell>
          <cell r="VE296">
            <v>3385</v>
          </cell>
          <cell r="VF296">
            <v>82810</v>
          </cell>
        </row>
        <row r="297">
          <cell r="A297">
            <v>294</v>
          </cell>
          <cell r="VD297">
            <v>13260</v>
          </cell>
          <cell r="VE297">
            <v>3408</v>
          </cell>
          <cell r="VF297">
            <v>83282</v>
          </cell>
        </row>
        <row r="298">
          <cell r="A298">
            <v>295</v>
          </cell>
          <cell r="VD298">
            <v>13313</v>
          </cell>
          <cell r="VE298">
            <v>3426</v>
          </cell>
          <cell r="VF298">
            <v>83795</v>
          </cell>
        </row>
        <row r="299">
          <cell r="A299">
            <v>296</v>
          </cell>
          <cell r="VD299">
            <v>13359</v>
          </cell>
          <cell r="VE299">
            <v>3457</v>
          </cell>
          <cell r="VF299">
            <v>84524</v>
          </cell>
        </row>
        <row r="300">
          <cell r="A300">
            <v>297</v>
          </cell>
          <cell r="VD300">
            <v>13387</v>
          </cell>
          <cell r="VE300">
            <v>3477</v>
          </cell>
          <cell r="VF300">
            <v>85006</v>
          </cell>
        </row>
        <row r="301">
          <cell r="A301">
            <v>298</v>
          </cell>
          <cell r="VD301">
            <v>13416</v>
          </cell>
          <cell r="VE301">
            <v>3496</v>
          </cell>
          <cell r="VF301">
            <v>85365</v>
          </cell>
        </row>
        <row r="302">
          <cell r="A302">
            <v>299</v>
          </cell>
          <cell r="VD302">
            <v>13500</v>
          </cell>
          <cell r="VE302">
            <v>3517</v>
          </cell>
          <cell r="VF302">
            <v>85763</v>
          </cell>
        </row>
        <row r="303">
          <cell r="A303">
            <v>300</v>
          </cell>
          <cell r="VD303">
            <v>13571</v>
          </cell>
          <cell r="VE303">
            <v>3557</v>
          </cell>
          <cell r="VF303">
            <v>86715</v>
          </cell>
        </row>
        <row r="304">
          <cell r="A304">
            <v>301</v>
          </cell>
          <cell r="VD304">
            <v>13612</v>
          </cell>
          <cell r="VE304">
            <v>3582</v>
          </cell>
          <cell r="VF304">
            <v>87529</v>
          </cell>
        </row>
        <row r="305">
          <cell r="A305">
            <v>302</v>
          </cell>
          <cell r="VD305">
            <v>13647</v>
          </cell>
          <cell r="VE305">
            <v>3606</v>
          </cell>
          <cell r="VF305">
            <v>88268</v>
          </cell>
        </row>
        <row r="306">
          <cell r="A306">
            <v>303</v>
          </cell>
          <cell r="VD306">
            <v>13687</v>
          </cell>
          <cell r="VE306">
            <v>3627</v>
          </cell>
          <cell r="VF306">
            <v>88941</v>
          </cell>
        </row>
        <row r="307">
          <cell r="A307">
            <v>304</v>
          </cell>
          <cell r="VD307">
            <v>13760</v>
          </cell>
          <cell r="VE307">
            <v>3653</v>
          </cell>
          <cell r="VF307">
            <v>89398</v>
          </cell>
        </row>
        <row r="308">
          <cell r="A308">
            <v>305</v>
          </cell>
          <cell r="VD308">
            <v>13903</v>
          </cell>
          <cell r="VE308">
            <v>3688</v>
          </cell>
          <cell r="VF308">
            <v>89819</v>
          </cell>
        </row>
        <row r="309">
          <cell r="A309">
            <v>306</v>
          </cell>
          <cell r="VD309">
            <v>13993</v>
          </cell>
          <cell r="VE309">
            <v>3721</v>
          </cell>
          <cell r="VF309">
            <v>90371</v>
          </cell>
        </row>
        <row r="310">
          <cell r="A310">
            <v>307</v>
          </cell>
          <cell r="VD310">
            <v>14063</v>
          </cell>
          <cell r="VE310">
            <v>3749</v>
          </cell>
          <cell r="VF310">
            <v>90989</v>
          </cell>
        </row>
        <row r="311">
          <cell r="A311">
            <v>308</v>
          </cell>
          <cell r="VD311">
            <v>14115</v>
          </cell>
          <cell r="VE311">
            <v>3769</v>
          </cell>
          <cell r="VF311">
            <v>91634</v>
          </cell>
        </row>
        <row r="312">
          <cell r="A312">
            <v>309</v>
          </cell>
          <cell r="VD312">
            <v>14150</v>
          </cell>
          <cell r="VE312">
            <v>3788</v>
          </cell>
          <cell r="VF312">
            <v>92115</v>
          </cell>
        </row>
        <row r="313">
          <cell r="A313">
            <v>310</v>
          </cell>
          <cell r="VD313">
            <v>14233</v>
          </cell>
          <cell r="VE313">
            <v>3829</v>
          </cell>
          <cell r="VF313">
            <v>92877</v>
          </cell>
        </row>
        <row r="314">
          <cell r="A314">
            <v>311</v>
          </cell>
          <cell r="VD314">
            <v>14297</v>
          </cell>
          <cell r="VE314">
            <v>3859</v>
          </cell>
          <cell r="VF314">
            <v>93555</v>
          </cell>
        </row>
        <row r="315">
          <cell r="A315">
            <v>312</v>
          </cell>
          <cell r="VD315">
            <v>14336</v>
          </cell>
          <cell r="VE315">
            <v>3880</v>
          </cell>
          <cell r="VF315">
            <v>94217</v>
          </cell>
        </row>
        <row r="316">
          <cell r="A316">
            <v>313</v>
          </cell>
          <cell r="VD316">
            <v>14374</v>
          </cell>
          <cell r="VE316">
            <v>3915</v>
          </cell>
          <cell r="VF316">
            <v>95075</v>
          </cell>
        </row>
        <row r="317">
          <cell r="A317">
            <v>314</v>
          </cell>
          <cell r="VD317">
            <v>14398</v>
          </cell>
          <cell r="VE317">
            <v>3944</v>
          </cell>
          <cell r="VF317">
            <v>95627</v>
          </cell>
        </row>
        <row r="318">
          <cell r="A318">
            <v>315</v>
          </cell>
          <cell r="VD318">
            <v>14488</v>
          </cell>
          <cell r="VE318">
            <v>3974</v>
          </cell>
          <cell r="VF318">
            <v>96832</v>
          </cell>
        </row>
        <row r="319">
          <cell r="A319">
            <v>316</v>
          </cell>
          <cell r="VD319">
            <v>14558</v>
          </cell>
          <cell r="VE319">
            <v>4013</v>
          </cell>
          <cell r="VF319">
            <v>97921</v>
          </cell>
        </row>
        <row r="320">
          <cell r="A320">
            <v>317</v>
          </cell>
          <cell r="VD320">
            <v>14606</v>
          </cell>
          <cell r="VE320">
            <v>4041</v>
          </cell>
          <cell r="VF320">
            <v>98589</v>
          </cell>
        </row>
        <row r="321">
          <cell r="A321">
            <v>318</v>
          </cell>
          <cell r="VD321">
            <v>14644</v>
          </cell>
          <cell r="VE321">
            <v>4065</v>
          </cell>
          <cell r="VF321">
            <v>99185</v>
          </cell>
        </row>
        <row r="322">
          <cell r="A322">
            <v>319</v>
          </cell>
          <cell r="VD322">
            <v>14668</v>
          </cell>
          <cell r="VE322">
            <v>4084</v>
          </cell>
          <cell r="VF322">
            <v>99733</v>
          </cell>
        </row>
        <row r="323">
          <cell r="A323">
            <v>320</v>
          </cell>
          <cell r="VD323">
            <v>14729</v>
          </cell>
          <cell r="VE323">
            <v>4137</v>
          </cell>
          <cell r="VF323">
            <v>101140</v>
          </cell>
        </row>
        <row r="324">
          <cell r="A324">
            <v>321</v>
          </cell>
          <cell r="VD324">
            <v>14807</v>
          </cell>
          <cell r="VE324">
            <v>4168</v>
          </cell>
          <cell r="VF324">
            <v>101969</v>
          </cell>
        </row>
        <row r="325">
          <cell r="A325">
            <v>322</v>
          </cell>
          <cell r="VD325">
            <v>14861</v>
          </cell>
          <cell r="VE325">
            <v>4203</v>
          </cell>
          <cell r="VF325">
            <v>103054</v>
          </cell>
        </row>
        <row r="326">
          <cell r="A326">
            <v>323</v>
          </cell>
          <cell r="VD326">
            <v>14893</v>
          </cell>
          <cell r="VE326">
            <v>4227</v>
          </cell>
          <cell r="VF326">
            <v>103848</v>
          </cell>
        </row>
        <row r="327">
          <cell r="A327">
            <v>324</v>
          </cell>
          <cell r="VD327">
            <v>14924</v>
          </cell>
          <cell r="VE327">
            <v>4255</v>
          </cell>
          <cell r="VF327">
            <v>104401</v>
          </cell>
        </row>
        <row r="328">
          <cell r="A328">
            <v>325</v>
          </cell>
          <cell r="VD328">
            <v>14956</v>
          </cell>
          <cell r="VE328">
            <v>4311</v>
          </cell>
          <cell r="VF328">
            <v>104831</v>
          </cell>
        </row>
        <row r="329">
          <cell r="A329">
            <v>326</v>
          </cell>
          <cell r="VD329">
            <v>14988</v>
          </cell>
          <cell r="VE329">
            <v>4350</v>
          </cell>
          <cell r="VF329">
            <v>105348</v>
          </cell>
        </row>
        <row r="330">
          <cell r="A330">
            <v>327</v>
          </cell>
          <cell r="VD330">
            <v>15057</v>
          </cell>
          <cell r="VE330">
            <v>4381</v>
          </cell>
          <cell r="VF330">
            <v>105862</v>
          </cell>
        </row>
        <row r="331">
          <cell r="A331">
            <v>328</v>
          </cell>
          <cell r="VD331">
            <v>15117</v>
          </cell>
          <cell r="VE331">
            <v>4407</v>
          </cell>
          <cell r="VF331">
            <v>106309</v>
          </cell>
        </row>
        <row r="332">
          <cell r="A332">
            <v>329</v>
          </cell>
          <cell r="VD332">
            <v>15156</v>
          </cell>
          <cell r="VE332">
            <v>4431</v>
          </cell>
          <cell r="VF332">
            <v>106941</v>
          </cell>
        </row>
        <row r="333">
          <cell r="A333">
            <v>330</v>
          </cell>
          <cell r="VD333">
            <v>15313</v>
          </cell>
          <cell r="VE333">
            <v>4496</v>
          </cell>
          <cell r="VF333">
            <v>108012</v>
          </cell>
        </row>
        <row r="334">
          <cell r="A334">
            <v>331</v>
          </cell>
          <cell r="VD334">
            <v>15401</v>
          </cell>
          <cell r="VE334">
            <v>4540</v>
          </cell>
          <cell r="VF334">
            <v>108864</v>
          </cell>
        </row>
        <row r="335">
          <cell r="A335">
            <v>332</v>
          </cell>
          <cell r="VD335">
            <v>15503</v>
          </cell>
          <cell r="VE335">
            <v>4570</v>
          </cell>
          <cell r="VF335">
            <v>109660</v>
          </cell>
        </row>
        <row r="336">
          <cell r="A336">
            <v>333</v>
          </cell>
          <cell r="VD336">
            <v>15560</v>
          </cell>
          <cell r="VE336">
            <v>4593</v>
          </cell>
          <cell r="VF336">
            <v>110195</v>
          </cell>
        </row>
        <row r="337">
          <cell r="A337">
            <v>334</v>
          </cell>
          <cell r="VD337">
            <v>15609</v>
          </cell>
          <cell r="VE337">
            <v>4624</v>
          </cell>
          <cell r="VF337">
            <v>110654</v>
          </cell>
        </row>
        <row r="338">
          <cell r="A338">
            <v>335</v>
          </cell>
          <cell r="VD338">
            <v>15646</v>
          </cell>
          <cell r="VE338">
            <v>4655</v>
          </cell>
          <cell r="VF338">
            <v>111730</v>
          </cell>
        </row>
        <row r="339">
          <cell r="A339">
            <v>336</v>
          </cell>
          <cell r="VD339">
            <v>15675</v>
          </cell>
          <cell r="VE339">
            <v>4676</v>
          </cell>
          <cell r="VF339">
            <v>112587</v>
          </cell>
        </row>
        <row r="340">
          <cell r="A340">
            <v>337</v>
          </cell>
          <cell r="VD340">
            <v>15695</v>
          </cell>
          <cell r="VE340">
            <v>4691</v>
          </cell>
          <cell r="VF340">
            <v>113208</v>
          </cell>
        </row>
        <row r="341">
          <cell r="A341">
            <v>338</v>
          </cell>
          <cell r="VD341">
            <v>15771</v>
          </cell>
          <cell r="VE341">
            <v>4710</v>
          </cell>
          <cell r="VF341">
            <v>113680</v>
          </cell>
        </row>
        <row r="342">
          <cell r="A342">
            <v>339</v>
          </cell>
          <cell r="VD342">
            <v>15817</v>
          </cell>
          <cell r="VE342">
            <v>4730</v>
          </cell>
          <cell r="VF342">
            <v>114230</v>
          </cell>
        </row>
        <row r="343">
          <cell r="A343">
            <v>340</v>
          </cell>
          <cell r="VD343">
            <v>15899</v>
          </cell>
          <cell r="VE343">
            <v>4814</v>
          </cell>
          <cell r="VF343">
            <v>116289</v>
          </cell>
        </row>
        <row r="344">
          <cell r="A344">
            <v>341</v>
          </cell>
          <cell r="VD344">
            <v>15947</v>
          </cell>
          <cell r="VE344">
            <v>4862</v>
          </cell>
          <cell r="VF344">
            <v>117480</v>
          </cell>
        </row>
        <row r="345">
          <cell r="A345">
            <v>342</v>
          </cell>
          <cell r="VD345">
            <v>15986</v>
          </cell>
          <cell r="VE345">
            <v>4895</v>
          </cell>
          <cell r="VF345">
            <v>118482</v>
          </cell>
        </row>
        <row r="346">
          <cell r="A346">
            <v>343</v>
          </cell>
          <cell r="VD346">
            <v>16067</v>
          </cell>
          <cell r="VE346">
            <v>4923</v>
          </cell>
          <cell r="VF346">
            <v>119594</v>
          </cell>
        </row>
        <row r="347">
          <cell r="A347">
            <v>344</v>
          </cell>
          <cell r="VD347">
            <v>16113</v>
          </cell>
          <cell r="VE347">
            <v>4948</v>
          </cell>
          <cell r="VF347">
            <v>120283</v>
          </cell>
        </row>
        <row r="348">
          <cell r="A348">
            <v>345</v>
          </cell>
          <cell r="VD348">
            <v>16165</v>
          </cell>
          <cell r="VE348">
            <v>5007</v>
          </cell>
          <cell r="VF348">
            <v>121097</v>
          </cell>
        </row>
        <row r="349">
          <cell r="A349">
            <v>346</v>
          </cell>
          <cell r="VD349">
            <v>16201</v>
          </cell>
          <cell r="VE349">
            <v>5048</v>
          </cell>
          <cell r="VF349">
            <v>121700</v>
          </cell>
        </row>
        <row r="350">
          <cell r="A350">
            <v>347</v>
          </cell>
          <cell r="VD350">
            <v>16230</v>
          </cell>
          <cell r="VE350">
            <v>5086</v>
          </cell>
          <cell r="VF350">
            <v>122410</v>
          </cell>
        </row>
        <row r="351">
          <cell r="A351">
            <v>348</v>
          </cell>
          <cell r="VD351">
            <v>16278</v>
          </cell>
          <cell r="VE351">
            <v>5126</v>
          </cell>
          <cell r="VF351">
            <v>123365</v>
          </cell>
        </row>
        <row r="352">
          <cell r="A352">
            <v>349</v>
          </cell>
          <cell r="VD352">
            <v>16359</v>
          </cell>
          <cell r="VE352">
            <v>5156</v>
          </cell>
          <cell r="VF352">
            <v>123977</v>
          </cell>
        </row>
        <row r="353">
          <cell r="A353">
            <v>350</v>
          </cell>
          <cell r="VD353">
            <v>16429</v>
          </cell>
          <cell r="VE353">
            <v>5225</v>
          </cell>
          <cell r="VF353">
            <v>125589</v>
          </cell>
        </row>
        <row r="354">
          <cell r="A354">
            <v>351</v>
          </cell>
          <cell r="VD354">
            <v>16469</v>
          </cell>
          <cell r="VE354">
            <v>5267</v>
          </cell>
          <cell r="VF354">
            <v>126655</v>
          </cell>
        </row>
        <row r="355">
          <cell r="A355">
            <v>352</v>
          </cell>
          <cell r="VD355">
            <v>16515</v>
          </cell>
          <cell r="VE355">
            <v>5305</v>
          </cell>
          <cell r="VF355">
            <v>127536</v>
          </cell>
        </row>
        <row r="356">
          <cell r="A356">
            <v>353</v>
          </cell>
          <cell r="VD356">
            <v>16558</v>
          </cell>
          <cell r="VE356">
            <v>5331</v>
          </cell>
          <cell r="VF356">
            <v>128171</v>
          </cell>
        </row>
        <row r="357">
          <cell r="A357">
            <v>354</v>
          </cell>
          <cell r="VD357">
            <v>16629</v>
          </cell>
          <cell r="VE357">
            <v>5355</v>
          </cell>
          <cell r="VF357">
            <v>128625</v>
          </cell>
        </row>
        <row r="358">
          <cell r="A358">
            <v>355</v>
          </cell>
          <cell r="VD358">
            <v>16795</v>
          </cell>
          <cell r="VE358">
            <v>5380</v>
          </cell>
          <cell r="VF358">
            <v>129677</v>
          </cell>
        </row>
        <row r="359">
          <cell r="A359">
            <v>356</v>
          </cell>
          <cell r="VD359">
            <v>16899</v>
          </cell>
          <cell r="VE359">
            <v>5407</v>
          </cell>
          <cell r="VF359">
            <v>130428</v>
          </cell>
        </row>
        <row r="360">
          <cell r="A360">
            <v>357</v>
          </cell>
          <cell r="VD360">
            <v>16965</v>
          </cell>
          <cell r="VE360">
            <v>5437</v>
          </cell>
          <cell r="VF360">
            <v>131356</v>
          </cell>
        </row>
        <row r="361">
          <cell r="A361">
            <v>358</v>
          </cell>
          <cell r="VD361">
            <v>17022</v>
          </cell>
          <cell r="VE361">
            <v>5465</v>
          </cell>
          <cell r="VF361">
            <v>131958</v>
          </cell>
        </row>
        <row r="362">
          <cell r="A362">
            <v>359</v>
          </cell>
          <cell r="VD362">
            <v>17067</v>
          </cell>
          <cell r="VE362">
            <v>5491</v>
          </cell>
          <cell r="VF362">
            <v>132522</v>
          </cell>
        </row>
        <row r="363">
          <cell r="A363">
            <v>360</v>
          </cell>
          <cell r="VD363">
            <v>17170</v>
          </cell>
          <cell r="VE363">
            <v>5539</v>
          </cell>
          <cell r="VF363">
            <v>134861</v>
          </cell>
        </row>
        <row r="364">
          <cell r="A364">
            <v>361</v>
          </cell>
          <cell r="VD364">
            <v>17235</v>
          </cell>
          <cell r="VE364">
            <v>5569</v>
          </cell>
          <cell r="VF364">
            <v>136169</v>
          </cell>
        </row>
        <row r="365">
          <cell r="A365">
            <v>362</v>
          </cell>
          <cell r="VD365">
            <v>17281</v>
          </cell>
          <cell r="VE365">
            <v>5590</v>
          </cell>
          <cell r="VF365">
            <v>137142</v>
          </cell>
        </row>
        <row r="366">
          <cell r="A366">
            <v>363</v>
          </cell>
          <cell r="VD366">
            <v>17320</v>
          </cell>
          <cell r="VE366">
            <v>5622</v>
          </cell>
          <cell r="VF366">
            <v>138168</v>
          </cell>
        </row>
        <row r="367">
          <cell r="A367">
            <v>364</v>
          </cell>
          <cell r="VD367">
            <v>17353</v>
          </cell>
          <cell r="VE367">
            <v>5654</v>
          </cell>
          <cell r="VF367">
            <v>139019</v>
          </cell>
        </row>
        <row r="368">
          <cell r="A368">
            <v>365</v>
          </cell>
          <cell r="VD368">
            <v>17429</v>
          </cell>
          <cell r="VE368">
            <v>5704</v>
          </cell>
          <cell r="VF368">
            <v>139490</v>
          </cell>
        </row>
        <row r="369">
          <cell r="A369">
            <v>366</v>
          </cell>
          <cell r="VD369">
            <v>17479</v>
          </cell>
          <cell r="VE369">
            <v>5735</v>
          </cell>
          <cell r="VF369">
            <v>139896</v>
          </cell>
        </row>
        <row r="370">
          <cell r="A370">
            <v>367</v>
          </cell>
          <cell r="VD370">
            <v>17523</v>
          </cell>
          <cell r="VE370">
            <v>5764</v>
          </cell>
          <cell r="VF370">
            <v>140365</v>
          </cell>
        </row>
        <row r="371">
          <cell r="A371">
            <v>368</v>
          </cell>
          <cell r="VD371">
            <v>17568</v>
          </cell>
          <cell r="VE371">
            <v>5790</v>
          </cell>
          <cell r="VF371">
            <v>140853</v>
          </cell>
        </row>
        <row r="372">
          <cell r="A372">
            <v>369</v>
          </cell>
          <cell r="VD372">
            <v>17599</v>
          </cell>
          <cell r="VE372">
            <v>5812</v>
          </cell>
          <cell r="VF372">
            <v>141326</v>
          </cell>
        </row>
        <row r="373">
          <cell r="A373">
            <v>370</v>
          </cell>
          <cell r="VD373">
            <v>17650</v>
          </cell>
          <cell r="VE373">
            <v>5888</v>
          </cell>
          <cell r="VF373">
            <v>142791</v>
          </cell>
        </row>
        <row r="374">
          <cell r="A374">
            <v>371</v>
          </cell>
          <cell r="VD374">
            <v>17734</v>
          </cell>
          <cell r="VE374">
            <v>5946</v>
          </cell>
          <cell r="VF374">
            <v>144217</v>
          </cell>
        </row>
        <row r="375">
          <cell r="A375">
            <v>372</v>
          </cell>
          <cell r="VD375">
            <v>17797</v>
          </cell>
          <cell r="VE375">
            <v>5984</v>
          </cell>
          <cell r="VF375">
            <v>145327</v>
          </cell>
        </row>
        <row r="376">
          <cell r="A376">
            <v>373</v>
          </cell>
          <cell r="VD376">
            <v>17845</v>
          </cell>
          <cell r="VE376">
            <v>6008</v>
          </cell>
          <cell r="VF376">
            <v>146026</v>
          </cell>
        </row>
        <row r="377">
          <cell r="A377">
            <v>374</v>
          </cell>
          <cell r="VD377">
            <v>17880</v>
          </cell>
          <cell r="VE377">
            <v>6037</v>
          </cell>
          <cell r="VF377">
            <v>146518</v>
          </cell>
        </row>
        <row r="378">
          <cell r="A378">
            <v>375</v>
          </cell>
          <cell r="VD378">
            <v>17907</v>
          </cell>
          <cell r="VE378">
            <v>6056</v>
          </cell>
          <cell r="VF378">
            <v>147666</v>
          </cell>
        </row>
        <row r="379">
          <cell r="A379">
            <v>376</v>
          </cell>
          <cell r="VD379">
            <v>17947</v>
          </cell>
          <cell r="VE379">
            <v>6086</v>
          </cell>
          <cell r="VF379">
            <v>148632</v>
          </cell>
        </row>
        <row r="380">
          <cell r="A380">
            <v>377</v>
          </cell>
          <cell r="VD380">
            <v>18030</v>
          </cell>
          <cell r="VE380">
            <v>6113</v>
          </cell>
          <cell r="VF380">
            <v>149293</v>
          </cell>
        </row>
        <row r="381">
          <cell r="A381">
            <v>378</v>
          </cell>
          <cell r="VD381">
            <v>18089</v>
          </cell>
          <cell r="VE381">
            <v>6140</v>
          </cell>
          <cell r="VF381">
            <v>150182</v>
          </cell>
        </row>
        <row r="382">
          <cell r="A382">
            <v>379</v>
          </cell>
          <cell r="VD382">
            <v>18131</v>
          </cell>
          <cell r="VE382">
            <v>6162</v>
          </cell>
          <cell r="VF382">
            <v>150922</v>
          </cell>
        </row>
        <row r="383">
          <cell r="A383">
            <v>380</v>
          </cell>
          <cell r="VD383">
            <v>18357</v>
          </cell>
          <cell r="VE383">
            <v>6210</v>
          </cell>
          <cell r="VF383">
            <v>154057</v>
          </cell>
        </row>
        <row r="384">
          <cell r="A384">
            <v>381</v>
          </cell>
          <cell r="VD384">
            <v>18493</v>
          </cell>
          <cell r="VE384">
            <v>6246</v>
          </cell>
          <cell r="VF384">
            <v>155829</v>
          </cell>
        </row>
        <row r="385">
          <cell r="A385">
            <v>382</v>
          </cell>
          <cell r="VD385">
            <v>18623</v>
          </cell>
          <cell r="VE385">
            <v>6275</v>
          </cell>
          <cell r="VF385">
            <v>157011</v>
          </cell>
        </row>
        <row r="386">
          <cell r="A386">
            <v>383</v>
          </cell>
          <cell r="VD386">
            <v>18696</v>
          </cell>
          <cell r="VE386">
            <v>6297</v>
          </cell>
          <cell r="VF386">
            <v>157899</v>
          </cell>
        </row>
        <row r="387">
          <cell r="A387">
            <v>384</v>
          </cell>
          <cell r="VD387">
            <v>18753</v>
          </cell>
          <cell r="VE387">
            <v>6329</v>
          </cell>
          <cell r="VF387">
            <v>158520</v>
          </cell>
        </row>
        <row r="388">
          <cell r="A388">
            <v>385</v>
          </cell>
          <cell r="VD388">
            <v>18790</v>
          </cell>
          <cell r="VE388">
            <v>6396</v>
          </cell>
          <cell r="VF388">
            <v>159274</v>
          </cell>
        </row>
        <row r="389">
          <cell r="A389">
            <v>386</v>
          </cell>
          <cell r="VD389">
            <v>18821</v>
          </cell>
          <cell r="VE389">
            <v>6434</v>
          </cell>
          <cell r="VF389">
            <v>159861</v>
          </cell>
        </row>
        <row r="390">
          <cell r="A390">
            <v>387</v>
          </cell>
          <cell r="VD390">
            <v>18851</v>
          </cell>
          <cell r="VE390">
            <v>6463</v>
          </cell>
          <cell r="VF390">
            <v>160486</v>
          </cell>
        </row>
        <row r="391">
          <cell r="A391">
            <v>388</v>
          </cell>
          <cell r="VD391">
            <v>18945</v>
          </cell>
          <cell r="VE391">
            <v>6493</v>
          </cell>
          <cell r="VF391">
            <v>160947</v>
          </cell>
        </row>
        <row r="392">
          <cell r="A392">
            <v>389</v>
          </cell>
          <cell r="VD392">
            <v>19011</v>
          </cell>
          <cell r="VE392">
            <v>6517</v>
          </cell>
          <cell r="VF392">
            <v>161415</v>
          </cell>
        </row>
        <row r="393">
          <cell r="A393">
            <v>390</v>
          </cell>
          <cell r="VD393">
            <v>19065</v>
          </cell>
          <cell r="VE393">
            <v>6596</v>
          </cell>
          <cell r="VF393">
            <v>162931</v>
          </cell>
        </row>
        <row r="394">
          <cell r="A394">
            <v>391</v>
          </cell>
          <cell r="VD394">
            <v>19107</v>
          </cell>
          <cell r="VE394">
            <v>6644</v>
          </cell>
          <cell r="VF394">
            <v>164064</v>
          </cell>
        </row>
        <row r="395">
          <cell r="A395">
            <v>392</v>
          </cell>
          <cell r="VD395">
            <v>19147</v>
          </cell>
          <cell r="VE395">
            <v>6682</v>
          </cell>
          <cell r="VF395">
            <v>165168</v>
          </cell>
        </row>
        <row r="396">
          <cell r="A396">
            <v>393</v>
          </cell>
          <cell r="VD396">
            <v>19226</v>
          </cell>
          <cell r="VE396">
            <v>6716</v>
          </cell>
          <cell r="VF396">
            <v>166020</v>
          </cell>
        </row>
        <row r="397">
          <cell r="A397">
            <v>394</v>
          </cell>
          <cell r="VD397">
            <v>19284</v>
          </cell>
          <cell r="VE397">
            <v>6749</v>
          </cell>
          <cell r="VF397">
            <v>166663</v>
          </cell>
        </row>
        <row r="398">
          <cell r="A398">
            <v>395</v>
          </cell>
          <cell r="VD398">
            <v>19326</v>
          </cell>
          <cell r="VE398">
            <v>6775</v>
          </cell>
          <cell r="VF398">
            <v>168267</v>
          </cell>
        </row>
        <row r="399">
          <cell r="A399">
            <v>396</v>
          </cell>
          <cell r="VD399">
            <v>19383</v>
          </cell>
          <cell r="VE399">
            <v>6814</v>
          </cell>
          <cell r="VF399">
            <v>169725</v>
          </cell>
        </row>
        <row r="400">
          <cell r="A400">
            <v>397</v>
          </cell>
          <cell r="VD400">
            <v>19425</v>
          </cell>
          <cell r="VE400">
            <v>6839</v>
          </cell>
          <cell r="VF400">
            <v>170606</v>
          </cell>
        </row>
        <row r="401">
          <cell r="A401">
            <v>398</v>
          </cell>
          <cell r="VD401">
            <v>19466</v>
          </cell>
          <cell r="VE401">
            <v>6858</v>
          </cell>
          <cell r="VF401">
            <v>171232</v>
          </cell>
        </row>
        <row r="402">
          <cell r="A402">
            <v>399</v>
          </cell>
          <cell r="VD402">
            <v>19558</v>
          </cell>
          <cell r="VE402">
            <v>6889</v>
          </cell>
          <cell r="VF402">
            <v>172156</v>
          </cell>
        </row>
        <row r="403">
          <cell r="A403">
            <v>400</v>
          </cell>
          <cell r="VD403">
            <v>19653</v>
          </cell>
          <cell r="VE403">
            <v>6954</v>
          </cell>
          <cell r="VF403">
            <v>176292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01"/>
  <sheetViews>
    <sheetView tabSelected="1" topLeftCell="F1" workbookViewId="0">
      <pane ySplit="2" topLeftCell="A3" activePane="bottomLeft" state="frozen"/>
      <selection pane="bottomLeft" activeCell="X2" sqref="X2:X1001"/>
    </sheetView>
  </sheetViews>
  <sheetFormatPr defaultColWidth="9" defaultRowHeight="13.5" x14ac:dyDescent="0.15"/>
  <cols>
    <col min="1" max="1" width="4.5" style="22" bestFit="1" customWidth="1"/>
    <col min="2" max="2" width="15.5" style="22" bestFit="1" customWidth="1"/>
    <col min="3" max="3" width="7.5" style="22" customWidth="1"/>
    <col min="4" max="4" width="4.5" style="24" bestFit="1" customWidth="1"/>
    <col min="5" max="5" width="3.75" style="22" bestFit="1" customWidth="1"/>
    <col min="6" max="6" width="9.75" style="22" bestFit="1" customWidth="1"/>
    <col min="7" max="7" width="9.75" style="22" customWidth="1"/>
    <col min="8" max="8" width="11.375" style="22" bestFit="1" customWidth="1"/>
    <col min="9" max="9" width="16.375" style="22" bestFit="1" customWidth="1"/>
    <col min="10" max="10" width="13.875" style="22" bestFit="1" customWidth="1"/>
    <col min="11" max="11" width="13" style="22" bestFit="1" customWidth="1"/>
    <col min="12" max="12" width="9.75" style="22" bestFit="1" customWidth="1"/>
    <col min="13" max="13" width="10.5" style="22" bestFit="1" customWidth="1"/>
    <col min="14" max="15" width="6.75" style="22" bestFit="1" customWidth="1"/>
    <col min="16" max="16" width="6" style="22" bestFit="1" customWidth="1"/>
    <col min="17" max="17" width="4.5" style="22" bestFit="1" customWidth="1"/>
    <col min="18" max="19" width="6.75" style="22" bestFit="1" customWidth="1"/>
    <col min="20" max="23" width="3.75" style="22" bestFit="1" customWidth="1"/>
    <col min="24" max="24" width="5.25" style="22" bestFit="1" customWidth="1"/>
    <col min="25" max="25" width="10.5" style="22" bestFit="1" customWidth="1"/>
    <col min="26" max="26" width="3.75" style="22" bestFit="1" customWidth="1"/>
    <col min="27" max="27" width="6" style="22" bestFit="1" customWidth="1"/>
    <col min="28" max="28" width="6.5" style="22" bestFit="1" customWidth="1"/>
    <col min="29" max="30" width="3.75" style="22" bestFit="1" customWidth="1"/>
    <col min="31" max="31" width="6.75" style="22" bestFit="1" customWidth="1"/>
    <col min="32" max="32" width="9.75" style="22" bestFit="1" customWidth="1"/>
    <col min="33" max="33" width="8.25" style="22" bestFit="1" customWidth="1"/>
    <col min="34" max="34" width="13.875" style="22" bestFit="1" customWidth="1"/>
    <col min="35" max="35" width="6.75" style="22" bestFit="1" customWidth="1"/>
    <col min="36" max="36" width="6" style="22" bestFit="1" customWidth="1"/>
    <col min="37" max="37" width="12.25" style="22" bestFit="1" customWidth="1"/>
    <col min="38" max="38" width="6.75" style="22" bestFit="1" customWidth="1"/>
    <col min="39" max="40" width="8.25" style="22" bestFit="1" customWidth="1"/>
    <col min="41" max="41" width="13.875" style="22" bestFit="1" customWidth="1"/>
    <col min="42" max="42" width="7.5" style="22" bestFit="1" customWidth="1"/>
    <col min="43" max="43" width="9.75" style="22" bestFit="1" customWidth="1"/>
    <col min="44" max="44" width="9" style="22"/>
    <col min="46" max="16384" width="9" style="22"/>
  </cols>
  <sheetData>
    <row r="1" spans="1:45" ht="64.5" customHeight="1" x14ac:dyDescent="0.15">
      <c r="A1" s="4" t="s">
        <v>0</v>
      </c>
      <c r="B1" s="5" t="s">
        <v>1</v>
      </c>
      <c r="C1" s="5" t="s">
        <v>160</v>
      </c>
      <c r="D1" s="6" t="s">
        <v>152</v>
      </c>
      <c r="E1" s="5" t="s">
        <v>153</v>
      </c>
      <c r="F1" s="5" t="s">
        <v>156</v>
      </c>
      <c r="G1" s="5" t="s">
        <v>157</v>
      </c>
      <c r="H1" s="5" t="s">
        <v>158</v>
      </c>
      <c r="I1" s="5" t="s">
        <v>159</v>
      </c>
      <c r="J1" s="5" t="s">
        <v>39</v>
      </c>
      <c r="K1" s="5" t="s">
        <v>154</v>
      </c>
      <c r="L1" s="5" t="s">
        <v>162</v>
      </c>
      <c r="M1" s="5" t="s">
        <v>57</v>
      </c>
      <c r="N1" s="5" t="s">
        <v>27</v>
      </c>
      <c r="O1" s="2" t="s">
        <v>155</v>
      </c>
      <c r="P1" s="10" t="s">
        <v>112</v>
      </c>
      <c r="Q1" s="10" t="s">
        <v>114</v>
      </c>
      <c r="R1" s="10" t="s">
        <v>116</v>
      </c>
      <c r="S1" s="10" t="s">
        <v>118</v>
      </c>
      <c r="T1" s="12" t="s">
        <v>129</v>
      </c>
      <c r="U1" s="12" t="s">
        <v>130</v>
      </c>
      <c r="V1" s="12" t="s">
        <v>131</v>
      </c>
      <c r="W1" s="12" t="s">
        <v>148</v>
      </c>
      <c r="X1" s="12" t="s">
        <v>132</v>
      </c>
      <c r="Y1" s="20" t="s">
        <v>133</v>
      </c>
      <c r="Z1" s="12" t="s">
        <v>134</v>
      </c>
      <c r="AA1" s="12" t="s">
        <v>135</v>
      </c>
      <c r="AB1" s="21" t="s">
        <v>136</v>
      </c>
      <c r="AC1" s="12" t="s">
        <v>137</v>
      </c>
      <c r="AD1" s="12" t="s">
        <v>138</v>
      </c>
      <c r="AE1" s="12" t="s">
        <v>139</v>
      </c>
      <c r="AF1" s="12" t="s">
        <v>140</v>
      </c>
      <c r="AG1" s="12" t="s">
        <v>141</v>
      </c>
      <c r="AH1" s="12" t="s">
        <v>142</v>
      </c>
      <c r="AI1" s="12" t="s">
        <v>143</v>
      </c>
      <c r="AJ1" s="12" t="s">
        <v>144</v>
      </c>
      <c r="AK1" s="12" t="s">
        <v>145</v>
      </c>
      <c r="AL1" s="12" t="s">
        <v>149</v>
      </c>
      <c r="AM1" s="22" t="s">
        <v>146</v>
      </c>
      <c r="AN1" s="22" t="s">
        <v>147</v>
      </c>
      <c r="AO1" s="22" t="s">
        <v>150</v>
      </c>
      <c r="AP1" s="22" t="s">
        <v>151</v>
      </c>
      <c r="AQ1" s="22" t="s">
        <v>2223</v>
      </c>
      <c r="AR1" s="5"/>
    </row>
    <row r="2" spans="1:45" x14ac:dyDescent="0.15">
      <c r="A2" s="18">
        <v>1</v>
      </c>
      <c r="B2" s="18" t="s">
        <v>1301</v>
      </c>
      <c r="C2" s="18">
        <f>INT(250-(150-2)/1000*A2)</f>
        <v>249</v>
      </c>
      <c r="D2" s="19">
        <f>MOD(A2,2)+2</f>
        <v>3</v>
      </c>
      <c r="E2" s="19">
        <f>VLOOKUP(MOD(A2,4),各职业基础配置!C$32:D$35,2,FALSE)</f>
        <v>3</v>
      </c>
      <c r="F2" s="19">
        <f>IF(A2&lt;900,INDEX(各职业基础配置!C$23:C$28,MOD(ROW(A2),4)+1),0)</f>
        <v>14</v>
      </c>
      <c r="G2" s="19">
        <f>INT(C2*POWER(C2/250,5))</f>
        <v>244</v>
      </c>
      <c r="H2" s="27">
        <f>CEILING(C2/75,1)-1</f>
        <v>3</v>
      </c>
      <c r="I2" s="6" t="s">
        <v>161</v>
      </c>
      <c r="J2" s="23" t="str">
        <f>VLOOKUP(E2,各职业基础配置!$B$9:$C$12,2,FALSE)</f>
        <v>106|107|108|4201|110</v>
      </c>
      <c r="K2" s="18" t="str">
        <f>VLOOKUP(E2,各职业基础配置!$B$15:$C$18,2,FALSE)</f>
        <v>20|21|22|23</v>
      </c>
      <c r="L2" s="18" t="str">
        <f>VLOOKUP(E2,各职业基础配置!B:C,2,FALSE)</f>
        <v>[{20,1,1},{21,1,1},{22,1,1},{23,1,1},{4,1,1},{5,1,1},{6,1,1}]</v>
      </c>
      <c r="M2" s="18">
        <v>0</v>
      </c>
      <c r="N2" s="18">
        <f>IF(OR(E2=3,E2=6),7,3)</f>
        <v>7</v>
      </c>
      <c r="O2" s="18">
        <f>SUMPRODUCT(P2:AI2,Sheet2!$B$3:$U$3)</f>
        <v>839974</v>
      </c>
      <c r="P2" s="18">
        <f>CEILING(INDEX([1]系统模型!$VD:$VD,MATCH(C2,[1]系统模型!$A:$A,0))*POWER(C2/220,3.8)-50+(1000-A2),1)</f>
        <v>17866</v>
      </c>
      <c r="Q2" s="18">
        <f>CEILING(INDEX([1]系统模型!$VE:$VE,MATCH(C2,[1]系统模型!$A:$A,0))*POWER(C2/220,4),1)</f>
        <v>3788</v>
      </c>
      <c r="R2" s="18">
        <f>INT(INDEX([1]系统模型!$VF:$VF,MATCH(C2,[1]系统模型!$A:$A,0))*MAX(POWER(C2/180,4),0.5))</f>
        <v>211899</v>
      </c>
      <c r="S2" s="5">
        <v>1000</v>
      </c>
      <c r="T2" s="25">
        <v>0</v>
      </c>
      <c r="U2" s="25">
        <v>0</v>
      </c>
      <c r="V2" s="25">
        <v>0</v>
      </c>
      <c r="W2" s="25">
        <v>0</v>
      </c>
      <c r="X2" s="25">
        <f>INT(R2/20)</f>
        <v>10594</v>
      </c>
      <c r="Y2" s="12">
        <v>0</v>
      </c>
      <c r="Z2" s="25">
        <v>100</v>
      </c>
      <c r="AA2" s="25">
        <v>150</v>
      </c>
      <c r="AB2" s="25">
        <v>0</v>
      </c>
      <c r="AC2" s="25">
        <v>0</v>
      </c>
      <c r="AD2" s="25">
        <v>0</v>
      </c>
      <c r="AE2" s="25">
        <f>C2*2</f>
        <v>498</v>
      </c>
      <c r="AF2" s="25">
        <f>C2*2</f>
        <v>498</v>
      </c>
      <c r="AG2" s="25">
        <v>0</v>
      </c>
      <c r="AH2" s="25">
        <f>MAX(10000-(250-C2)*75,0)</f>
        <v>9925</v>
      </c>
      <c r="AI2" s="25">
        <f>INT(P2/75)</f>
        <v>238</v>
      </c>
      <c r="AJ2" s="25">
        <v>1</v>
      </c>
      <c r="AK2" s="25">
        <v>1000</v>
      </c>
      <c r="AL2" s="25">
        <v>100</v>
      </c>
      <c r="AM2" s="26">
        <v>10</v>
      </c>
      <c r="AN2" s="26">
        <v>10</v>
      </c>
      <c r="AO2" s="22" t="s">
        <v>2212</v>
      </c>
      <c r="AP2" s="26">
        <v>0</v>
      </c>
      <c r="AQ2" s="26">
        <f>MAX(CEILING(1000-A2*1.02,10),0)</f>
        <v>1000</v>
      </c>
      <c r="AR2" s="18" t="str">
        <f ca="1">CONCATENATE(OFFSET(Sheet1!$A$2,RANDBETWEEN(2,500),0,1,1),OFFSET(Sheet1!$A$2,RANDBETWEEN(2,500),RANDBETWEEN(1,5),1,1))</f>
        <v>休士</v>
      </c>
      <c r="AS2">
        <f>SUMPRODUCT(P2:AI2,Sheet2!$B$3:$U$3)</f>
        <v>839974</v>
      </c>
    </row>
    <row r="3" spans="1:45" x14ac:dyDescent="0.15">
      <c r="A3" s="18">
        <v>2</v>
      </c>
      <c r="B3" s="18" t="s">
        <v>1082</v>
      </c>
      <c r="C3" s="18">
        <f t="shared" ref="C3:C66" si="0">INT(250-(150-2)/1000*A3)</f>
        <v>249</v>
      </c>
      <c r="D3" s="19">
        <f t="shared" ref="D3:D66" si="1">MOD(A3,2)+2</f>
        <v>2</v>
      </c>
      <c r="E3" s="19">
        <f>VLOOKUP(MOD(A3,4),各职业基础配置!C$32:D$35,2,FALSE)</f>
        <v>6</v>
      </c>
      <c r="F3" s="19">
        <f>IF(A3&lt;900,INDEX(各职业基础配置!C$23:C$28,MOD(ROW(A3),4)+1),0)</f>
        <v>16</v>
      </c>
      <c r="G3" s="19">
        <f t="shared" ref="G3:G66" si="2">INT(C3*POWER(C3/250,5))</f>
        <v>244</v>
      </c>
      <c r="H3" s="27">
        <f t="shared" ref="H3:H66" si="3">CEILING(C3/75,1)-1</f>
        <v>3</v>
      </c>
      <c r="I3" s="6" t="s">
        <v>161</v>
      </c>
      <c r="J3" s="23" t="str">
        <f>VLOOKUP(E3,各职业基础配置!$B$9:$C$12,2,FALSE)</f>
        <v>111|112|113|4201|115</v>
      </c>
      <c r="K3" s="18" t="str">
        <f>VLOOKUP(E3,各职业基础配置!$B$15:$C$18,2,FALSE)</f>
        <v>32|33|34</v>
      </c>
      <c r="L3" s="18" t="str">
        <f>VLOOKUP(E3,各职业基础配置!B:C,2,FALSE)</f>
        <v>[{32,1,1},{33,1,1},{34,1,1},{35,1,1},{7,1,1},{8,1,1},{9,1,1}]</v>
      </c>
      <c r="M3" s="18">
        <v>0</v>
      </c>
      <c r="N3" s="18">
        <f t="shared" ref="N3:N66" si="4">IF(OR(E3=3,E3=6),7,3)</f>
        <v>7</v>
      </c>
      <c r="O3" s="18">
        <f>SUMPRODUCT(P3:AI3,Sheet2!$B$3:$U$3)</f>
        <v>839949</v>
      </c>
      <c r="P3" s="18">
        <f>CEILING(INDEX([1]系统模型!$VD:$VD,MATCH(C3,[1]系统模型!$A:$A,0))*POWER(C3/220,3.8)-50+(1000-A3),1)</f>
        <v>17865</v>
      </c>
      <c r="Q3" s="18">
        <f>CEILING(INDEX([1]系统模型!$VE:$VE,MATCH(C3,[1]系统模型!$A:$A,0))*POWER(C3/220,4),1)</f>
        <v>3788</v>
      </c>
      <c r="R3" s="18">
        <f>INT(INDEX([1]系统模型!$VF:$VF,MATCH(C3,[1]系统模型!$A:$A,0))*MAX(POWER(C3/180,4),0.5))</f>
        <v>211899</v>
      </c>
      <c r="S3" s="5">
        <v>1000</v>
      </c>
      <c r="T3" s="25">
        <v>0</v>
      </c>
      <c r="U3" s="25">
        <v>0</v>
      </c>
      <c r="V3" s="25">
        <v>0</v>
      </c>
      <c r="W3" s="25">
        <v>0</v>
      </c>
      <c r="X3" s="25">
        <f t="shared" ref="X3:X66" si="5">INT(R3/20)</f>
        <v>10594</v>
      </c>
      <c r="Y3" s="12">
        <v>0</v>
      </c>
      <c r="Z3" s="25">
        <v>100</v>
      </c>
      <c r="AA3" s="25">
        <v>150</v>
      </c>
      <c r="AB3" s="25">
        <v>0</v>
      </c>
      <c r="AC3" s="25">
        <v>0</v>
      </c>
      <c r="AD3" s="25">
        <v>0</v>
      </c>
      <c r="AE3" s="25">
        <f t="shared" ref="AE3:AE66" si="6">C3*2</f>
        <v>498</v>
      </c>
      <c r="AF3" s="25">
        <f t="shared" ref="AF3:AF66" si="7">C3*2</f>
        <v>498</v>
      </c>
      <c r="AG3" s="25">
        <v>0</v>
      </c>
      <c r="AH3" s="25">
        <f t="shared" ref="AH3:AH66" si="8">MAX(10000-(250-C3)*75,0)</f>
        <v>9925</v>
      </c>
      <c r="AI3" s="25">
        <f t="shared" ref="AI3:AI66" si="9">INT(P3/75)</f>
        <v>238</v>
      </c>
      <c r="AJ3" s="25">
        <v>1</v>
      </c>
      <c r="AK3" s="25">
        <v>1000</v>
      </c>
      <c r="AL3" s="25">
        <v>100</v>
      </c>
      <c r="AM3" s="26">
        <v>10</v>
      </c>
      <c r="AN3" s="26">
        <v>10</v>
      </c>
      <c r="AO3" s="22" t="s">
        <v>2213</v>
      </c>
      <c r="AP3" s="26">
        <v>0</v>
      </c>
      <c r="AQ3" s="26">
        <f t="shared" ref="AQ3:AQ66" si="10">MAX(CEILING(1000-A3*1.02,10),0)</f>
        <v>1000</v>
      </c>
      <c r="AR3" s="18" t="str">
        <f ca="1">CONCATENATE(OFFSET(Sheet1!$A$2,RANDBETWEEN(2,500),0,1,1),OFFSET(Sheet1!$A$2,RANDBETWEEN(2,500),RANDBETWEEN(1,5),1,1))</f>
        <v>伊莎贝尔</v>
      </c>
      <c r="AS3">
        <f>SUMPRODUCT(P3:AI3,Sheet2!$B$3:$U$3)</f>
        <v>839949</v>
      </c>
    </row>
    <row r="4" spans="1:45" x14ac:dyDescent="0.15">
      <c r="A4" s="23">
        <v>3</v>
      </c>
      <c r="B4" s="18" t="s">
        <v>1369</v>
      </c>
      <c r="C4" s="18">
        <f t="shared" si="0"/>
        <v>249</v>
      </c>
      <c r="D4" s="19">
        <f t="shared" si="1"/>
        <v>3</v>
      </c>
      <c r="E4" s="19">
        <f>VLOOKUP(MOD(A4,4),各职业基础配置!C$32:D$35,2,FALSE)</f>
        <v>9</v>
      </c>
      <c r="F4" s="19">
        <f>IF(A4&lt;900,INDEX(各职业基础配置!C$23:C$28,MOD(ROW(A4),4)+1),0)</f>
        <v>8</v>
      </c>
      <c r="G4" s="19">
        <f t="shared" si="2"/>
        <v>244</v>
      </c>
      <c r="H4" s="27">
        <f t="shared" si="3"/>
        <v>3</v>
      </c>
      <c r="I4" s="6" t="s">
        <v>164</v>
      </c>
      <c r="J4" s="23" t="str">
        <f>VLOOKUP(E4,各职业基础配置!$B$9:$C$12,2,FALSE)</f>
        <v>116|117|118|4201|120</v>
      </c>
      <c r="K4" s="18" t="str">
        <f>VLOOKUP(E4,各职业基础配置!$B$15:$C$18,2,FALSE)</f>
        <v>28|29|30|31</v>
      </c>
      <c r="L4" s="18" t="str">
        <f>VLOOKUP(E4,各职业基础配置!B:C,2,FALSE)</f>
        <v>[{28,1,1},{29,1,1},{30,1,1},{31,1,1},{10,1,1},{11,1,1},{12,1,1}]</v>
      </c>
      <c r="M4" s="18">
        <v>0</v>
      </c>
      <c r="N4" s="18">
        <f t="shared" si="4"/>
        <v>3</v>
      </c>
      <c r="O4" s="18">
        <f>SUMPRODUCT(P4:AI4,Sheet2!$B$3:$U$3)</f>
        <v>839924</v>
      </c>
      <c r="P4" s="18">
        <f>CEILING(INDEX([1]系统模型!$VD:$VD,MATCH(C4,[1]系统模型!$A:$A,0))*POWER(C4/220,3.8)-50+(1000-A4),1)</f>
        <v>17864</v>
      </c>
      <c r="Q4" s="18">
        <f>CEILING(INDEX([1]系统模型!$VE:$VE,MATCH(C4,[1]系统模型!$A:$A,0))*POWER(C4/220,4),1)</f>
        <v>3788</v>
      </c>
      <c r="R4" s="18">
        <f>INT(INDEX([1]系统模型!$VF:$VF,MATCH(C4,[1]系统模型!$A:$A,0))*MAX(POWER(C4/180,4),0.5))</f>
        <v>211899</v>
      </c>
      <c r="S4" s="5">
        <v>1000</v>
      </c>
      <c r="T4" s="25">
        <v>0</v>
      </c>
      <c r="U4" s="25">
        <v>0</v>
      </c>
      <c r="V4" s="25">
        <v>0</v>
      </c>
      <c r="W4" s="25">
        <v>0</v>
      </c>
      <c r="X4" s="25">
        <f t="shared" si="5"/>
        <v>10594</v>
      </c>
      <c r="Y4" s="12">
        <v>0</v>
      </c>
      <c r="Z4" s="25">
        <v>100</v>
      </c>
      <c r="AA4" s="25">
        <v>150</v>
      </c>
      <c r="AB4" s="25">
        <v>0</v>
      </c>
      <c r="AC4" s="25">
        <v>0</v>
      </c>
      <c r="AD4" s="25">
        <v>0</v>
      </c>
      <c r="AE4" s="25">
        <f t="shared" si="6"/>
        <v>498</v>
      </c>
      <c r="AF4" s="25">
        <f t="shared" si="7"/>
        <v>498</v>
      </c>
      <c r="AG4" s="25">
        <v>0</v>
      </c>
      <c r="AH4" s="25">
        <f t="shared" si="8"/>
        <v>9925</v>
      </c>
      <c r="AI4" s="25">
        <f t="shared" si="9"/>
        <v>238</v>
      </c>
      <c r="AJ4" s="25">
        <v>1</v>
      </c>
      <c r="AK4" s="25">
        <v>1000</v>
      </c>
      <c r="AL4" s="25">
        <v>100</v>
      </c>
      <c r="AM4" s="26">
        <v>10</v>
      </c>
      <c r="AN4" s="26">
        <v>10</v>
      </c>
      <c r="AO4" s="22" t="s">
        <v>2211</v>
      </c>
      <c r="AP4" s="26">
        <v>0</v>
      </c>
      <c r="AQ4" s="26">
        <f t="shared" si="10"/>
        <v>1000</v>
      </c>
      <c r="AR4" s="18" t="str">
        <f ca="1">CONCATENATE(OFFSET(Sheet1!$A$2,RANDBETWEEN(2,500),0,1,1),OFFSET(Sheet1!$A$2,RANDBETWEEN(2,500),RANDBETWEEN(1,5),1,1))</f>
        <v>柯姆</v>
      </c>
      <c r="AS4">
        <f>SUMPRODUCT(P4:AI4,Sheet2!$B$3:$U$3)</f>
        <v>839924</v>
      </c>
    </row>
    <row r="5" spans="1:45" x14ac:dyDescent="0.15">
      <c r="A5" s="18">
        <v>4</v>
      </c>
      <c r="B5" s="18" t="s">
        <v>229</v>
      </c>
      <c r="C5" s="18">
        <f t="shared" si="0"/>
        <v>249</v>
      </c>
      <c r="D5" s="19">
        <f t="shared" si="1"/>
        <v>2</v>
      </c>
      <c r="E5" s="19">
        <f>VLOOKUP(MOD(A5,4),各职业基础配置!C$32:D$35,2,FALSE)</f>
        <v>1</v>
      </c>
      <c r="F5" s="19">
        <f>IF(A5&lt;900,INDEX(各职业基础配置!C$23:C$28,MOD(ROW(A5),4)+1),0)</f>
        <v>13</v>
      </c>
      <c r="G5" s="19">
        <f t="shared" si="2"/>
        <v>244</v>
      </c>
      <c r="H5" s="27">
        <f t="shared" si="3"/>
        <v>3</v>
      </c>
      <c r="I5" s="6" t="s">
        <v>164</v>
      </c>
      <c r="J5" s="23" t="str">
        <f>VLOOKUP(E5,各职业基础配置!$B$9:$C$12,2,FALSE)</f>
        <v>101|102|103|4201|105</v>
      </c>
      <c r="K5" s="18" t="str">
        <f>VLOOKUP(E5,各职业基础配置!$B$15:$C$18,2,FALSE)</f>
        <v>24|25|26|27</v>
      </c>
      <c r="L5" s="18" t="str">
        <f>VLOOKUP(E5,各职业基础配置!B:C,2,FALSE)</f>
        <v>[{24,1,1},{25,1,1},{26,1,1},{27,1,1},{1,1,1},{2,1,1},{3,1,1}]</v>
      </c>
      <c r="M5" s="18">
        <v>0</v>
      </c>
      <c r="N5" s="18">
        <f t="shared" si="4"/>
        <v>3</v>
      </c>
      <c r="O5" s="18">
        <f>SUMPRODUCT(P5:AI5,Sheet2!$B$3:$U$3)</f>
        <v>839899</v>
      </c>
      <c r="P5" s="18">
        <f>CEILING(INDEX([1]系统模型!$VD:$VD,MATCH(C5,[1]系统模型!$A:$A,0))*POWER(C5/220,3.8)-50+(1000-A5),1)</f>
        <v>17863</v>
      </c>
      <c r="Q5" s="18">
        <f>CEILING(INDEX([1]系统模型!$VE:$VE,MATCH(C5,[1]系统模型!$A:$A,0))*POWER(C5/220,4),1)</f>
        <v>3788</v>
      </c>
      <c r="R5" s="18">
        <f>INT(INDEX([1]系统模型!$VF:$VF,MATCH(C5,[1]系统模型!$A:$A,0))*MAX(POWER(C5/180,4),0.5))</f>
        <v>211899</v>
      </c>
      <c r="S5" s="5">
        <v>1000</v>
      </c>
      <c r="T5" s="25">
        <v>0</v>
      </c>
      <c r="U5" s="25">
        <v>0</v>
      </c>
      <c r="V5" s="25">
        <v>0</v>
      </c>
      <c r="W5" s="25">
        <v>0</v>
      </c>
      <c r="X5" s="25">
        <f t="shared" si="5"/>
        <v>10594</v>
      </c>
      <c r="Y5" s="12">
        <v>0</v>
      </c>
      <c r="Z5" s="25">
        <v>100</v>
      </c>
      <c r="AA5" s="25">
        <v>150</v>
      </c>
      <c r="AB5" s="25">
        <v>0</v>
      </c>
      <c r="AC5" s="25">
        <v>0</v>
      </c>
      <c r="AD5" s="25">
        <v>0</v>
      </c>
      <c r="AE5" s="25">
        <f t="shared" si="6"/>
        <v>498</v>
      </c>
      <c r="AF5" s="25">
        <f t="shared" si="7"/>
        <v>498</v>
      </c>
      <c r="AG5" s="25">
        <v>0</v>
      </c>
      <c r="AH5" s="25">
        <f t="shared" si="8"/>
        <v>9925</v>
      </c>
      <c r="AI5" s="25">
        <f t="shared" si="9"/>
        <v>238</v>
      </c>
      <c r="AJ5" s="25">
        <v>1</v>
      </c>
      <c r="AK5" s="25">
        <v>1000</v>
      </c>
      <c r="AL5" s="25">
        <v>100</v>
      </c>
      <c r="AM5" s="26">
        <v>10</v>
      </c>
      <c r="AN5" s="26">
        <v>10</v>
      </c>
      <c r="AO5" s="22" t="s">
        <v>2211</v>
      </c>
      <c r="AP5" s="26">
        <v>0</v>
      </c>
      <c r="AQ5" s="26">
        <f t="shared" si="10"/>
        <v>1000</v>
      </c>
      <c r="AR5" s="18" t="str">
        <f ca="1">CONCATENATE(OFFSET(Sheet1!$A$2,RANDBETWEEN(2,500),0,1,1),OFFSET(Sheet1!$A$2,RANDBETWEEN(2,500),RANDBETWEEN(1,5),1,1))</f>
        <v>詹斯漫漫</v>
      </c>
      <c r="AS5">
        <f>SUMPRODUCT(P5:AI5,Sheet2!$B$3:$U$3)</f>
        <v>839899</v>
      </c>
    </row>
    <row r="6" spans="1:45" x14ac:dyDescent="0.15">
      <c r="A6" s="18">
        <v>5</v>
      </c>
      <c r="B6" s="18" t="s">
        <v>1048</v>
      </c>
      <c r="C6" s="18">
        <f t="shared" si="0"/>
        <v>249</v>
      </c>
      <c r="D6" s="19">
        <f t="shared" si="1"/>
        <v>3</v>
      </c>
      <c r="E6" s="19">
        <f>VLOOKUP(MOD(A6,4),各职业基础配置!C$32:D$35,2,FALSE)</f>
        <v>3</v>
      </c>
      <c r="F6" s="19">
        <f>IF(A6&lt;900,INDEX(各职业基础配置!C$23:C$28,MOD(ROW(A6),4)+1),0)</f>
        <v>14</v>
      </c>
      <c r="G6" s="19">
        <f t="shared" si="2"/>
        <v>244</v>
      </c>
      <c r="H6" s="27">
        <f t="shared" si="3"/>
        <v>3</v>
      </c>
      <c r="I6" s="6" t="s">
        <v>164</v>
      </c>
      <c r="J6" s="23" t="str">
        <f>VLOOKUP(E6,各职业基础配置!$B$9:$C$12,2,FALSE)</f>
        <v>106|107|108|4201|110</v>
      </c>
      <c r="K6" s="18" t="str">
        <f>VLOOKUP(E6,各职业基础配置!$B$15:$C$18,2,FALSE)</f>
        <v>20|21|22|23</v>
      </c>
      <c r="L6" s="18" t="str">
        <f>VLOOKUP(E6,各职业基础配置!B:C,2,FALSE)</f>
        <v>[{20,1,1},{21,1,1},{22,1,1},{23,1,1},{4,1,1},{5,1,1},{6,1,1}]</v>
      </c>
      <c r="M6" s="18">
        <v>0</v>
      </c>
      <c r="N6" s="18">
        <f t="shared" si="4"/>
        <v>7</v>
      </c>
      <c r="O6" s="18">
        <f>SUMPRODUCT(P6:AI6,Sheet2!$B$3:$U$3)</f>
        <v>839874</v>
      </c>
      <c r="P6" s="18">
        <f>CEILING(INDEX([1]系统模型!$VD:$VD,MATCH(C6,[1]系统模型!$A:$A,0))*POWER(C6/220,3.8)-50+(1000-A6),1)</f>
        <v>17862</v>
      </c>
      <c r="Q6" s="18">
        <f>CEILING(INDEX([1]系统模型!$VE:$VE,MATCH(C6,[1]系统模型!$A:$A,0))*POWER(C6/220,4),1)</f>
        <v>3788</v>
      </c>
      <c r="R6" s="18">
        <f>INT(INDEX([1]系统模型!$VF:$VF,MATCH(C6,[1]系统模型!$A:$A,0))*MAX(POWER(C6/180,4),0.5))</f>
        <v>211899</v>
      </c>
      <c r="S6" s="5">
        <v>1000</v>
      </c>
      <c r="T6" s="25">
        <v>0</v>
      </c>
      <c r="U6" s="25">
        <v>0</v>
      </c>
      <c r="V6" s="25">
        <v>0</v>
      </c>
      <c r="W6" s="25">
        <v>0</v>
      </c>
      <c r="X6" s="25">
        <f t="shared" si="5"/>
        <v>10594</v>
      </c>
      <c r="Y6" s="12">
        <v>0</v>
      </c>
      <c r="Z6" s="25">
        <v>100</v>
      </c>
      <c r="AA6" s="25">
        <v>150</v>
      </c>
      <c r="AB6" s="25">
        <v>0</v>
      </c>
      <c r="AC6" s="25">
        <v>0</v>
      </c>
      <c r="AD6" s="25">
        <v>0</v>
      </c>
      <c r="AE6" s="25">
        <f t="shared" si="6"/>
        <v>498</v>
      </c>
      <c r="AF6" s="25">
        <f t="shared" si="7"/>
        <v>498</v>
      </c>
      <c r="AG6" s="25">
        <v>0</v>
      </c>
      <c r="AH6" s="25">
        <f t="shared" si="8"/>
        <v>9925</v>
      </c>
      <c r="AI6" s="25">
        <f t="shared" si="9"/>
        <v>238</v>
      </c>
      <c r="AJ6" s="25">
        <v>1</v>
      </c>
      <c r="AK6" s="25">
        <v>1000</v>
      </c>
      <c r="AL6" s="25">
        <v>100</v>
      </c>
      <c r="AM6" s="26">
        <v>10</v>
      </c>
      <c r="AN6" s="26">
        <v>10</v>
      </c>
      <c r="AO6" s="22" t="s">
        <v>2211</v>
      </c>
      <c r="AP6" s="26">
        <v>0</v>
      </c>
      <c r="AQ6" s="26">
        <f t="shared" si="10"/>
        <v>1000</v>
      </c>
      <c r="AR6" s="18" t="str">
        <f ca="1">CONCATENATE(OFFSET(Sheet1!$A$2,RANDBETWEEN(2,500),0,1,1),OFFSET(Sheet1!$A$2,RANDBETWEEN(2,500),RANDBETWEEN(1,5),1,1))</f>
        <v>杰弗逊倾城</v>
      </c>
      <c r="AS6">
        <f>SUMPRODUCT(P6:AI6,Sheet2!$B$3:$U$3)</f>
        <v>839874</v>
      </c>
    </row>
    <row r="7" spans="1:45" x14ac:dyDescent="0.15">
      <c r="A7" s="23">
        <v>6</v>
      </c>
      <c r="B7" s="18" t="s">
        <v>569</v>
      </c>
      <c r="C7" s="18">
        <f t="shared" si="0"/>
        <v>249</v>
      </c>
      <c r="D7" s="19">
        <f t="shared" si="1"/>
        <v>2</v>
      </c>
      <c r="E7" s="19">
        <f>VLOOKUP(MOD(A7,4),各职业基础配置!C$32:D$35,2,FALSE)</f>
        <v>6</v>
      </c>
      <c r="F7" s="19">
        <f>IF(A7&lt;900,INDEX(各职业基础配置!C$23:C$28,MOD(ROW(A7),4)+1),0)</f>
        <v>16</v>
      </c>
      <c r="G7" s="19">
        <f t="shared" si="2"/>
        <v>244</v>
      </c>
      <c r="H7" s="27">
        <f t="shared" si="3"/>
        <v>3</v>
      </c>
      <c r="I7" s="6" t="s">
        <v>164</v>
      </c>
      <c r="J7" s="23" t="str">
        <f>VLOOKUP(E7,各职业基础配置!$B$9:$C$12,2,FALSE)</f>
        <v>111|112|113|4201|115</v>
      </c>
      <c r="K7" s="18" t="str">
        <f>VLOOKUP(E7,各职业基础配置!$B$15:$C$18,2,FALSE)</f>
        <v>32|33|34</v>
      </c>
      <c r="L7" s="18" t="str">
        <f>VLOOKUP(E7,各职业基础配置!B:C,2,FALSE)</f>
        <v>[{32,1,1},{33,1,1},{34,1,1},{35,1,1},{7,1,1},{8,1,1},{9,1,1}]</v>
      </c>
      <c r="M7" s="18">
        <v>0</v>
      </c>
      <c r="N7" s="18">
        <f t="shared" si="4"/>
        <v>7</v>
      </c>
      <c r="O7" s="18">
        <f>SUMPRODUCT(P7:AI7,Sheet2!$B$3:$U$3)</f>
        <v>839849</v>
      </c>
      <c r="P7" s="18">
        <f>CEILING(INDEX([1]系统模型!$VD:$VD,MATCH(C7,[1]系统模型!$A:$A,0))*POWER(C7/220,3.8)-50+(1000-A7),1)</f>
        <v>17861</v>
      </c>
      <c r="Q7" s="18">
        <f>CEILING(INDEX([1]系统模型!$VE:$VE,MATCH(C7,[1]系统模型!$A:$A,0))*POWER(C7/220,4),1)</f>
        <v>3788</v>
      </c>
      <c r="R7" s="18">
        <f>INT(INDEX([1]系统模型!$VF:$VF,MATCH(C7,[1]系统模型!$A:$A,0))*MAX(POWER(C7/180,4),0.5))</f>
        <v>211899</v>
      </c>
      <c r="S7" s="5">
        <v>1000</v>
      </c>
      <c r="T7" s="25">
        <v>0</v>
      </c>
      <c r="U7" s="25">
        <v>0</v>
      </c>
      <c r="V7" s="25">
        <v>0</v>
      </c>
      <c r="W7" s="25">
        <v>0</v>
      </c>
      <c r="X7" s="25">
        <f t="shared" si="5"/>
        <v>10594</v>
      </c>
      <c r="Y7" s="12">
        <v>0</v>
      </c>
      <c r="Z7" s="25">
        <v>100</v>
      </c>
      <c r="AA7" s="25">
        <v>150</v>
      </c>
      <c r="AB7" s="25">
        <v>0</v>
      </c>
      <c r="AC7" s="25">
        <v>0</v>
      </c>
      <c r="AD7" s="25">
        <v>0</v>
      </c>
      <c r="AE7" s="25">
        <f t="shared" si="6"/>
        <v>498</v>
      </c>
      <c r="AF7" s="25">
        <f t="shared" si="7"/>
        <v>498</v>
      </c>
      <c r="AG7" s="25">
        <v>0</v>
      </c>
      <c r="AH7" s="25">
        <f t="shared" si="8"/>
        <v>9925</v>
      </c>
      <c r="AI7" s="25">
        <f t="shared" si="9"/>
        <v>238</v>
      </c>
      <c r="AJ7" s="25">
        <v>1</v>
      </c>
      <c r="AK7" s="25">
        <v>1000</v>
      </c>
      <c r="AL7" s="25">
        <v>100</v>
      </c>
      <c r="AM7" s="26">
        <v>10</v>
      </c>
      <c r="AN7" s="26">
        <v>10</v>
      </c>
      <c r="AO7" s="22" t="s">
        <v>2211</v>
      </c>
      <c r="AP7" s="26">
        <v>0</v>
      </c>
      <c r="AQ7" s="26">
        <f t="shared" si="10"/>
        <v>1000</v>
      </c>
      <c r="AR7" s="18" t="str">
        <f ca="1">CONCATENATE(OFFSET(Sheet1!$A$2,RANDBETWEEN(2,500),0,1,1),OFFSET(Sheet1!$A$2,RANDBETWEEN(2,500),RANDBETWEEN(1,5),1,1))</f>
        <v>冈瑟奥克塔薇尔</v>
      </c>
      <c r="AS7">
        <f>SUMPRODUCT(P7:AI7,Sheet2!$B$3:$U$3)</f>
        <v>839849</v>
      </c>
    </row>
    <row r="8" spans="1:45" x14ac:dyDescent="0.15">
      <c r="A8" s="18">
        <v>7</v>
      </c>
      <c r="B8" s="18" t="s">
        <v>1107</v>
      </c>
      <c r="C8" s="18">
        <f t="shared" si="0"/>
        <v>248</v>
      </c>
      <c r="D8" s="19">
        <f t="shared" si="1"/>
        <v>3</v>
      </c>
      <c r="E8" s="19">
        <f>VLOOKUP(MOD(A8,4),各职业基础配置!C$32:D$35,2,FALSE)</f>
        <v>9</v>
      </c>
      <c r="F8" s="19">
        <f>IF(A8&lt;900,INDEX(各职业基础配置!C$23:C$28,MOD(ROW(A8),4)+1),0)</f>
        <v>8</v>
      </c>
      <c r="G8" s="19">
        <f t="shared" si="2"/>
        <v>238</v>
      </c>
      <c r="H8" s="27">
        <f t="shared" si="3"/>
        <v>3</v>
      </c>
      <c r="I8" s="6" t="s">
        <v>164</v>
      </c>
      <c r="J8" s="23" t="str">
        <f>VLOOKUP(E8,各职业基础配置!$B$9:$C$12,2,FALSE)</f>
        <v>116|117|118|4201|120</v>
      </c>
      <c r="K8" s="18" t="str">
        <f>VLOOKUP(E8,各职业基础配置!$B$15:$C$18,2,FALSE)</f>
        <v>28|29|30|31</v>
      </c>
      <c r="L8" s="18" t="str">
        <f>VLOOKUP(E8,各职业基础配置!B:C,2,FALSE)</f>
        <v>[{28,1,1},{29,1,1},{30,1,1},{31,1,1},{10,1,1},{11,1,1},{12,1,1}]</v>
      </c>
      <c r="M8" s="18">
        <v>0</v>
      </c>
      <c r="N8" s="18">
        <f t="shared" si="4"/>
        <v>3</v>
      </c>
      <c r="O8" s="18">
        <f>SUMPRODUCT(P8:AI8,Sheet2!$B$3:$U$3)</f>
        <v>823437</v>
      </c>
      <c r="P8" s="18">
        <f>CEILING(INDEX([1]系统模型!$VD:$VD,MATCH(C8,[1]系统模型!$A:$A,0))*POWER(C8/220,3.8)-50+(1000-A8),1)</f>
        <v>17523</v>
      </c>
      <c r="Q8" s="18">
        <f>CEILING(INDEX([1]系统模型!$VE:$VE,MATCH(C8,[1]系统模型!$A:$A,0))*POWER(C8/220,4),1)</f>
        <v>3695</v>
      </c>
      <c r="R8" s="18">
        <f>INT(INDEX([1]系统模型!$VF:$VF,MATCH(C8,[1]系统模型!$A:$A,0))*MAX(POWER(C8/180,4),0.5))</f>
        <v>206862</v>
      </c>
      <c r="S8" s="5">
        <v>1000</v>
      </c>
      <c r="T8" s="25">
        <v>0</v>
      </c>
      <c r="U8" s="25">
        <v>0</v>
      </c>
      <c r="V8" s="25">
        <v>0</v>
      </c>
      <c r="W8" s="25">
        <v>0</v>
      </c>
      <c r="X8" s="25">
        <f t="shared" si="5"/>
        <v>10343</v>
      </c>
      <c r="Y8" s="12">
        <v>0</v>
      </c>
      <c r="Z8" s="25">
        <v>100</v>
      </c>
      <c r="AA8" s="25">
        <v>150</v>
      </c>
      <c r="AB8" s="25">
        <v>0</v>
      </c>
      <c r="AC8" s="25">
        <v>0</v>
      </c>
      <c r="AD8" s="25">
        <v>0</v>
      </c>
      <c r="AE8" s="25">
        <f t="shared" si="6"/>
        <v>496</v>
      </c>
      <c r="AF8" s="25">
        <f t="shared" si="7"/>
        <v>496</v>
      </c>
      <c r="AG8" s="25">
        <v>0</v>
      </c>
      <c r="AH8" s="25">
        <f t="shared" si="8"/>
        <v>9850</v>
      </c>
      <c r="AI8" s="25">
        <f t="shared" si="9"/>
        <v>233</v>
      </c>
      <c r="AJ8" s="25">
        <v>1</v>
      </c>
      <c r="AK8" s="25">
        <v>1000</v>
      </c>
      <c r="AL8" s="25">
        <v>100</v>
      </c>
      <c r="AM8" s="26">
        <v>10</v>
      </c>
      <c r="AN8" s="26">
        <v>10</v>
      </c>
      <c r="AO8" s="22" t="s">
        <v>2211</v>
      </c>
      <c r="AP8" s="26">
        <v>0</v>
      </c>
      <c r="AQ8" s="26">
        <f t="shared" si="10"/>
        <v>1000</v>
      </c>
      <c r="AR8" s="18" t="str">
        <f ca="1">CONCATENATE(OFFSET(Sheet1!$A$2,RANDBETWEEN(2,500),0,1,1),OFFSET(Sheet1!$A$2,RANDBETWEEN(2,500),RANDBETWEEN(1,5),1,1))</f>
        <v>希尔玛西亚</v>
      </c>
      <c r="AS8">
        <f>SUMPRODUCT(P8:AI8,Sheet2!$B$3:$U$3)</f>
        <v>823437</v>
      </c>
    </row>
    <row r="9" spans="1:45" x14ac:dyDescent="0.15">
      <c r="A9" s="18">
        <v>8</v>
      </c>
      <c r="B9" s="18" t="s">
        <v>1834</v>
      </c>
      <c r="C9" s="18">
        <f t="shared" si="0"/>
        <v>248</v>
      </c>
      <c r="D9" s="19">
        <f t="shared" si="1"/>
        <v>2</v>
      </c>
      <c r="E9" s="19">
        <f>VLOOKUP(MOD(A9,4),各职业基础配置!C$32:D$35,2,FALSE)</f>
        <v>1</v>
      </c>
      <c r="F9" s="19">
        <f>IF(A9&lt;900,INDEX(各职业基础配置!C$23:C$28,MOD(ROW(A9),4)+1),0)</f>
        <v>13</v>
      </c>
      <c r="G9" s="19">
        <f t="shared" si="2"/>
        <v>238</v>
      </c>
      <c r="H9" s="27">
        <f t="shared" si="3"/>
        <v>3</v>
      </c>
      <c r="I9" s="6" t="s">
        <v>164</v>
      </c>
      <c r="J9" s="23" t="str">
        <f>VLOOKUP(E9,各职业基础配置!$B$9:$C$12,2,FALSE)</f>
        <v>101|102|103|4201|105</v>
      </c>
      <c r="K9" s="18" t="str">
        <f>VLOOKUP(E9,各职业基础配置!$B$15:$C$18,2,FALSE)</f>
        <v>24|25|26|27</v>
      </c>
      <c r="L9" s="18" t="str">
        <f>VLOOKUP(E9,各职业基础配置!B:C,2,FALSE)</f>
        <v>[{24,1,1},{25,1,1},{26,1,1},{27,1,1},{1,1,1},{2,1,1},{3,1,1}]</v>
      </c>
      <c r="M9" s="18">
        <v>0</v>
      </c>
      <c r="N9" s="18">
        <f t="shared" si="4"/>
        <v>3</v>
      </c>
      <c r="O9" s="18">
        <f>SUMPRODUCT(P9:AI9,Sheet2!$B$3:$U$3)</f>
        <v>823412</v>
      </c>
      <c r="P9" s="18">
        <f>CEILING(INDEX([1]系统模型!$VD:$VD,MATCH(C9,[1]系统模型!$A:$A,0))*POWER(C9/220,3.8)-50+(1000-A9),1)</f>
        <v>17522</v>
      </c>
      <c r="Q9" s="18">
        <f>CEILING(INDEX([1]系统模型!$VE:$VE,MATCH(C9,[1]系统模型!$A:$A,0))*POWER(C9/220,4),1)</f>
        <v>3695</v>
      </c>
      <c r="R9" s="18">
        <f>INT(INDEX([1]系统模型!$VF:$VF,MATCH(C9,[1]系统模型!$A:$A,0))*MAX(POWER(C9/180,4),0.5))</f>
        <v>206862</v>
      </c>
      <c r="S9" s="5">
        <v>1000</v>
      </c>
      <c r="T9" s="25">
        <v>0</v>
      </c>
      <c r="U9" s="25">
        <v>0</v>
      </c>
      <c r="V9" s="25">
        <v>0</v>
      </c>
      <c r="W9" s="25">
        <v>0</v>
      </c>
      <c r="X9" s="25">
        <f t="shared" si="5"/>
        <v>10343</v>
      </c>
      <c r="Y9" s="12">
        <v>0</v>
      </c>
      <c r="Z9" s="25">
        <v>100</v>
      </c>
      <c r="AA9" s="25">
        <v>150</v>
      </c>
      <c r="AB9" s="25">
        <v>0</v>
      </c>
      <c r="AC9" s="25">
        <v>0</v>
      </c>
      <c r="AD9" s="25">
        <v>0</v>
      </c>
      <c r="AE9" s="25">
        <f t="shared" si="6"/>
        <v>496</v>
      </c>
      <c r="AF9" s="25">
        <f t="shared" si="7"/>
        <v>496</v>
      </c>
      <c r="AG9" s="25">
        <v>0</v>
      </c>
      <c r="AH9" s="25">
        <f t="shared" si="8"/>
        <v>9850</v>
      </c>
      <c r="AI9" s="25">
        <f t="shared" si="9"/>
        <v>233</v>
      </c>
      <c r="AJ9" s="25">
        <v>1</v>
      </c>
      <c r="AK9" s="25">
        <v>1000</v>
      </c>
      <c r="AL9" s="25">
        <v>100</v>
      </c>
      <c r="AM9" s="26">
        <v>10</v>
      </c>
      <c r="AN9" s="26">
        <v>10</v>
      </c>
      <c r="AO9" s="22" t="s">
        <v>2211</v>
      </c>
      <c r="AP9" s="26">
        <v>0</v>
      </c>
      <c r="AQ9" s="26">
        <f t="shared" si="10"/>
        <v>1000</v>
      </c>
      <c r="AR9" s="18" t="str">
        <f ca="1">CONCATENATE(OFFSET(Sheet1!$A$2,RANDBETWEEN(2,500),0,1,1),OFFSET(Sheet1!$A$2,RANDBETWEEN(2,500),RANDBETWEEN(1,5),1,1))</f>
        <v>艾登纳兰</v>
      </c>
      <c r="AS9">
        <f>SUMPRODUCT(P9:AI9,Sheet2!$B$3:$U$3)</f>
        <v>823412</v>
      </c>
    </row>
    <row r="10" spans="1:45" x14ac:dyDescent="0.15">
      <c r="A10" s="23">
        <v>9</v>
      </c>
      <c r="B10" s="18" t="s">
        <v>893</v>
      </c>
      <c r="C10" s="18">
        <f t="shared" si="0"/>
        <v>248</v>
      </c>
      <c r="D10" s="19">
        <f t="shared" si="1"/>
        <v>3</v>
      </c>
      <c r="E10" s="19">
        <f>VLOOKUP(MOD(A10,4),各职业基础配置!C$32:D$35,2,FALSE)</f>
        <v>3</v>
      </c>
      <c r="F10" s="19">
        <f>IF(A10&lt;900,INDEX(各职业基础配置!C$23:C$28,MOD(ROW(A10),4)+1),0)</f>
        <v>14</v>
      </c>
      <c r="G10" s="19">
        <f t="shared" si="2"/>
        <v>238</v>
      </c>
      <c r="H10" s="27">
        <f t="shared" si="3"/>
        <v>3</v>
      </c>
      <c r="I10" s="6" t="s">
        <v>164</v>
      </c>
      <c r="J10" s="23" t="str">
        <f>VLOOKUP(E10,各职业基础配置!$B$9:$C$12,2,FALSE)</f>
        <v>106|107|108|4201|110</v>
      </c>
      <c r="K10" s="18" t="str">
        <f>VLOOKUP(E10,各职业基础配置!$B$15:$C$18,2,FALSE)</f>
        <v>20|21|22|23</v>
      </c>
      <c r="L10" s="18" t="str">
        <f>VLOOKUP(E10,各职业基础配置!B:C,2,FALSE)</f>
        <v>[{20,1,1},{21,1,1},{22,1,1},{23,1,1},{4,1,1},{5,1,1},{6,1,1}]</v>
      </c>
      <c r="M10" s="18">
        <v>0</v>
      </c>
      <c r="N10" s="18">
        <f t="shared" si="4"/>
        <v>7</v>
      </c>
      <c r="O10" s="18">
        <f>SUMPRODUCT(P10:AI10,Sheet2!$B$3:$U$3)</f>
        <v>823387</v>
      </c>
      <c r="P10" s="18">
        <f>CEILING(INDEX([1]系统模型!$VD:$VD,MATCH(C10,[1]系统模型!$A:$A,0))*POWER(C10/220,3.8)-50+(1000-A10),1)</f>
        <v>17521</v>
      </c>
      <c r="Q10" s="18">
        <f>CEILING(INDEX([1]系统模型!$VE:$VE,MATCH(C10,[1]系统模型!$A:$A,0))*POWER(C10/220,4),1)</f>
        <v>3695</v>
      </c>
      <c r="R10" s="18">
        <f>INT(INDEX([1]系统模型!$VF:$VF,MATCH(C10,[1]系统模型!$A:$A,0))*MAX(POWER(C10/180,4),0.5))</f>
        <v>206862</v>
      </c>
      <c r="S10" s="5">
        <v>1000</v>
      </c>
      <c r="T10" s="25">
        <v>0</v>
      </c>
      <c r="U10" s="25">
        <v>0</v>
      </c>
      <c r="V10" s="25">
        <v>0</v>
      </c>
      <c r="W10" s="25">
        <v>0</v>
      </c>
      <c r="X10" s="25">
        <f t="shared" si="5"/>
        <v>10343</v>
      </c>
      <c r="Y10" s="12">
        <v>0</v>
      </c>
      <c r="Z10" s="25">
        <v>100</v>
      </c>
      <c r="AA10" s="25">
        <v>150</v>
      </c>
      <c r="AB10" s="25">
        <v>0</v>
      </c>
      <c r="AC10" s="25">
        <v>0</v>
      </c>
      <c r="AD10" s="25">
        <v>0</v>
      </c>
      <c r="AE10" s="25">
        <f t="shared" si="6"/>
        <v>496</v>
      </c>
      <c r="AF10" s="25">
        <f t="shared" si="7"/>
        <v>496</v>
      </c>
      <c r="AG10" s="25">
        <v>0</v>
      </c>
      <c r="AH10" s="25">
        <f t="shared" si="8"/>
        <v>9850</v>
      </c>
      <c r="AI10" s="25">
        <f t="shared" si="9"/>
        <v>233</v>
      </c>
      <c r="AJ10" s="25">
        <v>1</v>
      </c>
      <c r="AK10" s="25">
        <v>1000</v>
      </c>
      <c r="AL10" s="25">
        <v>100</v>
      </c>
      <c r="AM10" s="26">
        <v>10</v>
      </c>
      <c r="AN10" s="26">
        <v>10</v>
      </c>
      <c r="AO10" s="22" t="s">
        <v>2211</v>
      </c>
      <c r="AP10" s="26">
        <v>0</v>
      </c>
      <c r="AQ10" s="26">
        <f t="shared" si="10"/>
        <v>1000</v>
      </c>
      <c r="AR10" s="18" t="str">
        <f ca="1">CONCATENATE(OFFSET(Sheet1!$A$2,RANDBETWEEN(2,500),0,1,1),OFFSET(Sheet1!$A$2,RANDBETWEEN(2,500),RANDBETWEEN(1,5),1,1))</f>
        <v>康拉德</v>
      </c>
      <c r="AS10">
        <f>SUMPRODUCT(P10:AI10,Sheet2!$B$3:$U$3)</f>
        <v>823387</v>
      </c>
    </row>
    <row r="11" spans="1:45" x14ac:dyDescent="0.15">
      <c r="A11" s="18">
        <v>10</v>
      </c>
      <c r="B11" s="18" t="s">
        <v>1835</v>
      </c>
      <c r="C11" s="18">
        <f t="shared" si="0"/>
        <v>248</v>
      </c>
      <c r="D11" s="19">
        <f t="shared" si="1"/>
        <v>2</v>
      </c>
      <c r="E11" s="19">
        <f>VLOOKUP(MOD(A11,4),各职业基础配置!C$32:D$35,2,FALSE)</f>
        <v>6</v>
      </c>
      <c r="F11" s="19">
        <f>IF(A11&lt;900,INDEX(各职业基础配置!C$23:C$28,MOD(ROW(A11),4)+1),0)</f>
        <v>16</v>
      </c>
      <c r="G11" s="19">
        <f t="shared" si="2"/>
        <v>238</v>
      </c>
      <c r="H11" s="27">
        <f t="shared" si="3"/>
        <v>3</v>
      </c>
      <c r="I11" s="6" t="s">
        <v>164</v>
      </c>
      <c r="J11" s="23" t="str">
        <f>VLOOKUP(E11,各职业基础配置!$B$9:$C$12,2,FALSE)</f>
        <v>111|112|113|4201|115</v>
      </c>
      <c r="K11" s="18" t="str">
        <f>VLOOKUP(E11,各职业基础配置!$B$15:$C$18,2,FALSE)</f>
        <v>32|33|34</v>
      </c>
      <c r="L11" s="18" t="str">
        <f>VLOOKUP(E11,各职业基础配置!B:C,2,FALSE)</f>
        <v>[{32,1,1},{33,1,1},{34,1,1},{35,1,1},{7,1,1},{8,1,1},{9,1,1}]</v>
      </c>
      <c r="M11" s="18">
        <v>0</v>
      </c>
      <c r="N11" s="18">
        <f t="shared" si="4"/>
        <v>7</v>
      </c>
      <c r="O11" s="18">
        <f>SUMPRODUCT(P11:AI11,Sheet2!$B$3:$U$3)</f>
        <v>823362</v>
      </c>
      <c r="P11" s="18">
        <f>CEILING(INDEX([1]系统模型!$VD:$VD,MATCH(C11,[1]系统模型!$A:$A,0))*POWER(C11/220,3.8)-50+(1000-A11),1)</f>
        <v>17520</v>
      </c>
      <c r="Q11" s="18">
        <f>CEILING(INDEX([1]系统模型!$VE:$VE,MATCH(C11,[1]系统模型!$A:$A,0))*POWER(C11/220,4),1)</f>
        <v>3695</v>
      </c>
      <c r="R11" s="18">
        <f>INT(INDEX([1]系统模型!$VF:$VF,MATCH(C11,[1]系统模型!$A:$A,0))*MAX(POWER(C11/180,4),0.5))</f>
        <v>206862</v>
      </c>
      <c r="S11" s="5">
        <v>1000</v>
      </c>
      <c r="T11" s="25">
        <v>0</v>
      </c>
      <c r="U11" s="25">
        <v>0</v>
      </c>
      <c r="V11" s="25">
        <v>0</v>
      </c>
      <c r="W11" s="25">
        <v>0</v>
      </c>
      <c r="X11" s="25">
        <f t="shared" si="5"/>
        <v>10343</v>
      </c>
      <c r="Y11" s="12">
        <v>0</v>
      </c>
      <c r="Z11" s="25">
        <v>100</v>
      </c>
      <c r="AA11" s="25">
        <v>150</v>
      </c>
      <c r="AB11" s="25">
        <v>0</v>
      </c>
      <c r="AC11" s="25">
        <v>0</v>
      </c>
      <c r="AD11" s="25">
        <v>0</v>
      </c>
      <c r="AE11" s="25">
        <f t="shared" si="6"/>
        <v>496</v>
      </c>
      <c r="AF11" s="25">
        <f t="shared" si="7"/>
        <v>496</v>
      </c>
      <c r="AG11" s="25">
        <v>0</v>
      </c>
      <c r="AH11" s="25">
        <f t="shared" si="8"/>
        <v>9850</v>
      </c>
      <c r="AI11" s="25">
        <f t="shared" si="9"/>
        <v>233</v>
      </c>
      <c r="AJ11" s="25">
        <v>1</v>
      </c>
      <c r="AK11" s="25">
        <v>1000</v>
      </c>
      <c r="AL11" s="25">
        <v>100</v>
      </c>
      <c r="AM11" s="26">
        <v>10</v>
      </c>
      <c r="AN11" s="26">
        <v>10</v>
      </c>
      <c r="AO11" s="22" t="s">
        <v>2211</v>
      </c>
      <c r="AP11" s="26">
        <v>0</v>
      </c>
      <c r="AQ11" s="26">
        <f t="shared" si="10"/>
        <v>990</v>
      </c>
      <c r="AR11" s="18" t="str">
        <f ca="1">CONCATENATE(OFFSET(Sheet1!$A$2,RANDBETWEEN(2,500),0,1,1),OFFSET(Sheet1!$A$2,RANDBETWEEN(2,500),RANDBETWEEN(1,5),1,1))</f>
        <v>格雷西杜威</v>
      </c>
      <c r="AS11">
        <f>SUMPRODUCT(P11:AI11,Sheet2!$B$3:$U$3)</f>
        <v>823362</v>
      </c>
    </row>
    <row r="12" spans="1:45" x14ac:dyDescent="0.15">
      <c r="A12" s="18">
        <v>11</v>
      </c>
      <c r="B12" s="18" t="s">
        <v>1836</v>
      </c>
      <c r="C12" s="18">
        <f t="shared" si="0"/>
        <v>248</v>
      </c>
      <c r="D12" s="19">
        <f t="shared" si="1"/>
        <v>3</v>
      </c>
      <c r="E12" s="19">
        <f>VLOOKUP(MOD(A12,4),各职业基础配置!C$32:D$35,2,FALSE)</f>
        <v>9</v>
      </c>
      <c r="F12" s="19">
        <f>IF(A12&lt;900,INDEX(各职业基础配置!C$23:C$28,MOD(ROW(A12),4)+1),0)</f>
        <v>8</v>
      </c>
      <c r="G12" s="19">
        <f t="shared" si="2"/>
        <v>238</v>
      </c>
      <c r="H12" s="27">
        <f t="shared" si="3"/>
        <v>3</v>
      </c>
      <c r="I12" s="6" t="s">
        <v>164</v>
      </c>
      <c r="J12" s="23" t="str">
        <f>VLOOKUP(E12,各职业基础配置!$B$9:$C$12,2,FALSE)</f>
        <v>116|117|118|4201|120</v>
      </c>
      <c r="K12" s="18" t="str">
        <f>VLOOKUP(E12,各职业基础配置!$B$15:$C$18,2,FALSE)</f>
        <v>28|29|30|31</v>
      </c>
      <c r="L12" s="18" t="str">
        <f>VLOOKUP(E12,各职业基础配置!B:C,2,FALSE)</f>
        <v>[{28,1,1},{29,1,1},{30,1,1},{31,1,1},{10,1,1},{11,1,1},{12,1,1}]</v>
      </c>
      <c r="M12" s="18">
        <v>0</v>
      </c>
      <c r="N12" s="18">
        <f t="shared" si="4"/>
        <v>3</v>
      </c>
      <c r="O12" s="18">
        <f>SUMPRODUCT(P12:AI12,Sheet2!$B$3:$U$3)</f>
        <v>823337</v>
      </c>
      <c r="P12" s="18">
        <f>CEILING(INDEX([1]系统模型!$VD:$VD,MATCH(C12,[1]系统模型!$A:$A,0))*POWER(C12/220,3.8)-50+(1000-A12),1)</f>
        <v>17519</v>
      </c>
      <c r="Q12" s="18">
        <f>CEILING(INDEX([1]系统模型!$VE:$VE,MATCH(C12,[1]系统模型!$A:$A,0))*POWER(C12/220,4),1)</f>
        <v>3695</v>
      </c>
      <c r="R12" s="18">
        <f>INT(INDEX([1]系统模型!$VF:$VF,MATCH(C12,[1]系统模型!$A:$A,0))*MAX(POWER(C12/180,4),0.5))</f>
        <v>206862</v>
      </c>
      <c r="S12" s="5">
        <v>1000</v>
      </c>
      <c r="T12" s="25">
        <v>0</v>
      </c>
      <c r="U12" s="25">
        <v>0</v>
      </c>
      <c r="V12" s="25">
        <v>0</v>
      </c>
      <c r="W12" s="25">
        <v>0</v>
      </c>
      <c r="X12" s="25">
        <f t="shared" si="5"/>
        <v>10343</v>
      </c>
      <c r="Y12" s="12">
        <v>0</v>
      </c>
      <c r="Z12" s="25">
        <v>100</v>
      </c>
      <c r="AA12" s="25">
        <v>150</v>
      </c>
      <c r="AB12" s="25">
        <v>0</v>
      </c>
      <c r="AC12" s="25">
        <v>0</v>
      </c>
      <c r="AD12" s="25">
        <v>0</v>
      </c>
      <c r="AE12" s="25">
        <f t="shared" si="6"/>
        <v>496</v>
      </c>
      <c r="AF12" s="25">
        <f t="shared" si="7"/>
        <v>496</v>
      </c>
      <c r="AG12" s="25">
        <v>0</v>
      </c>
      <c r="AH12" s="25">
        <f t="shared" si="8"/>
        <v>9850</v>
      </c>
      <c r="AI12" s="25">
        <f t="shared" si="9"/>
        <v>233</v>
      </c>
      <c r="AJ12" s="25">
        <v>1</v>
      </c>
      <c r="AK12" s="25">
        <v>1000</v>
      </c>
      <c r="AL12" s="25">
        <v>100</v>
      </c>
      <c r="AM12" s="26">
        <v>10</v>
      </c>
      <c r="AN12" s="26">
        <v>10</v>
      </c>
      <c r="AO12" s="22" t="s">
        <v>2211</v>
      </c>
      <c r="AP12" s="26">
        <v>0</v>
      </c>
      <c r="AQ12" s="26">
        <f t="shared" si="10"/>
        <v>990</v>
      </c>
      <c r="AR12" s="18" t="str">
        <f ca="1">CONCATENATE(OFFSET(Sheet1!$A$2,RANDBETWEEN(2,500),0,1,1),OFFSET(Sheet1!$A$2,RANDBETWEEN(2,500),RANDBETWEEN(1,5),1,1))</f>
        <v>贝西墨</v>
      </c>
      <c r="AS12">
        <f>SUMPRODUCT(P12:AI12,Sheet2!$B$3:$U$3)</f>
        <v>823337</v>
      </c>
    </row>
    <row r="13" spans="1:45" x14ac:dyDescent="0.15">
      <c r="A13" s="23">
        <v>12</v>
      </c>
      <c r="B13" s="18" t="s">
        <v>1837</v>
      </c>
      <c r="C13" s="18">
        <f t="shared" si="0"/>
        <v>248</v>
      </c>
      <c r="D13" s="19">
        <f t="shared" si="1"/>
        <v>2</v>
      </c>
      <c r="E13" s="19">
        <f>VLOOKUP(MOD(A13,4),各职业基础配置!C$32:D$35,2,FALSE)</f>
        <v>1</v>
      </c>
      <c r="F13" s="19">
        <f>IF(A13&lt;900,INDEX(各职业基础配置!C$23:C$28,MOD(ROW(A13),4)+1),0)</f>
        <v>13</v>
      </c>
      <c r="G13" s="19">
        <f t="shared" si="2"/>
        <v>238</v>
      </c>
      <c r="H13" s="27">
        <f t="shared" si="3"/>
        <v>3</v>
      </c>
      <c r="I13" s="6" t="s">
        <v>164</v>
      </c>
      <c r="J13" s="23" t="str">
        <f>VLOOKUP(E13,各职业基础配置!$B$9:$C$12,2,FALSE)</f>
        <v>101|102|103|4201|105</v>
      </c>
      <c r="K13" s="18" t="str">
        <f>VLOOKUP(E13,各职业基础配置!$B$15:$C$18,2,FALSE)</f>
        <v>24|25|26|27</v>
      </c>
      <c r="L13" s="18" t="str">
        <f>VLOOKUP(E13,各职业基础配置!B:C,2,FALSE)</f>
        <v>[{24,1,1},{25,1,1},{26,1,1},{27,1,1},{1,1,1},{2,1,1},{3,1,1}]</v>
      </c>
      <c r="M13" s="18">
        <v>0</v>
      </c>
      <c r="N13" s="18">
        <f t="shared" si="4"/>
        <v>3</v>
      </c>
      <c r="O13" s="18">
        <f>SUMPRODUCT(P13:AI13,Sheet2!$B$3:$U$3)</f>
        <v>823312</v>
      </c>
      <c r="P13" s="18">
        <f>CEILING(INDEX([1]系统模型!$VD:$VD,MATCH(C13,[1]系统模型!$A:$A,0))*POWER(C13/220,3.8)-50+(1000-A13),1)</f>
        <v>17518</v>
      </c>
      <c r="Q13" s="18">
        <f>CEILING(INDEX([1]系统模型!$VE:$VE,MATCH(C13,[1]系统模型!$A:$A,0))*POWER(C13/220,4),1)</f>
        <v>3695</v>
      </c>
      <c r="R13" s="18">
        <f>INT(INDEX([1]系统模型!$VF:$VF,MATCH(C13,[1]系统模型!$A:$A,0))*MAX(POWER(C13/180,4),0.5))</f>
        <v>206862</v>
      </c>
      <c r="S13" s="5">
        <v>1000</v>
      </c>
      <c r="T13" s="25">
        <v>0</v>
      </c>
      <c r="U13" s="25">
        <v>0</v>
      </c>
      <c r="V13" s="25">
        <v>0</v>
      </c>
      <c r="W13" s="25">
        <v>0</v>
      </c>
      <c r="X13" s="25">
        <f t="shared" si="5"/>
        <v>10343</v>
      </c>
      <c r="Y13" s="12">
        <v>0</v>
      </c>
      <c r="Z13" s="25">
        <v>100</v>
      </c>
      <c r="AA13" s="25">
        <v>150</v>
      </c>
      <c r="AB13" s="25">
        <v>0</v>
      </c>
      <c r="AC13" s="25">
        <v>0</v>
      </c>
      <c r="AD13" s="25">
        <v>0</v>
      </c>
      <c r="AE13" s="25">
        <f t="shared" si="6"/>
        <v>496</v>
      </c>
      <c r="AF13" s="25">
        <f t="shared" si="7"/>
        <v>496</v>
      </c>
      <c r="AG13" s="25">
        <v>0</v>
      </c>
      <c r="AH13" s="25">
        <f t="shared" si="8"/>
        <v>9850</v>
      </c>
      <c r="AI13" s="25">
        <f t="shared" si="9"/>
        <v>233</v>
      </c>
      <c r="AJ13" s="25">
        <v>1</v>
      </c>
      <c r="AK13" s="25">
        <v>1000</v>
      </c>
      <c r="AL13" s="25">
        <v>100</v>
      </c>
      <c r="AM13" s="26">
        <v>10</v>
      </c>
      <c r="AN13" s="26">
        <v>10</v>
      </c>
      <c r="AO13" s="22" t="s">
        <v>2211</v>
      </c>
      <c r="AP13" s="26">
        <v>0</v>
      </c>
      <c r="AQ13" s="26">
        <f t="shared" si="10"/>
        <v>990</v>
      </c>
      <c r="AR13" s="18" t="str">
        <f ca="1">CONCATENATE(OFFSET(Sheet1!$A$2,RANDBETWEEN(2,500),0,1,1),OFFSET(Sheet1!$A$2,RANDBETWEEN(2,500),RANDBETWEEN(1,5),1,1))</f>
        <v>布赖斯</v>
      </c>
      <c r="AS13">
        <f>SUMPRODUCT(P13:AI13,Sheet2!$B$3:$U$3)</f>
        <v>823312</v>
      </c>
    </row>
    <row r="14" spans="1:45" x14ac:dyDescent="0.15">
      <c r="A14" s="18">
        <v>13</v>
      </c>
      <c r="B14" s="18" t="s">
        <v>1045</v>
      </c>
      <c r="C14" s="18">
        <f t="shared" si="0"/>
        <v>248</v>
      </c>
      <c r="D14" s="19">
        <f t="shared" si="1"/>
        <v>3</v>
      </c>
      <c r="E14" s="19">
        <f>VLOOKUP(MOD(A14,4),各职业基础配置!C$32:D$35,2,FALSE)</f>
        <v>3</v>
      </c>
      <c r="F14" s="19">
        <f>IF(A14&lt;900,INDEX(各职业基础配置!C$23:C$28,MOD(ROW(A14),4)+1),0)</f>
        <v>14</v>
      </c>
      <c r="G14" s="19">
        <f t="shared" si="2"/>
        <v>238</v>
      </c>
      <c r="H14" s="27">
        <f t="shared" si="3"/>
        <v>3</v>
      </c>
      <c r="I14" s="6" t="s">
        <v>164</v>
      </c>
      <c r="J14" s="23" t="str">
        <f>VLOOKUP(E14,各职业基础配置!$B$9:$C$12,2,FALSE)</f>
        <v>106|107|108|4201|110</v>
      </c>
      <c r="K14" s="18" t="str">
        <f>VLOOKUP(E14,各职业基础配置!$B$15:$C$18,2,FALSE)</f>
        <v>20|21|22|23</v>
      </c>
      <c r="L14" s="18" t="str">
        <f>VLOOKUP(E14,各职业基础配置!B:C,2,FALSE)</f>
        <v>[{20,1,1},{21,1,1},{22,1,1},{23,1,1},{4,1,1},{5,1,1},{6,1,1}]</v>
      </c>
      <c r="M14" s="18">
        <v>0</v>
      </c>
      <c r="N14" s="18">
        <f t="shared" si="4"/>
        <v>7</v>
      </c>
      <c r="O14" s="18">
        <f>SUMPRODUCT(P14:AI14,Sheet2!$B$3:$U$3)</f>
        <v>823287</v>
      </c>
      <c r="P14" s="18">
        <f>CEILING(INDEX([1]系统模型!$VD:$VD,MATCH(C14,[1]系统模型!$A:$A,0))*POWER(C14/220,3.8)-50+(1000-A14),1)</f>
        <v>17517</v>
      </c>
      <c r="Q14" s="18">
        <f>CEILING(INDEX([1]系统模型!$VE:$VE,MATCH(C14,[1]系统模型!$A:$A,0))*POWER(C14/220,4),1)</f>
        <v>3695</v>
      </c>
      <c r="R14" s="18">
        <f>INT(INDEX([1]系统模型!$VF:$VF,MATCH(C14,[1]系统模型!$A:$A,0))*MAX(POWER(C14/180,4),0.5))</f>
        <v>206862</v>
      </c>
      <c r="S14" s="5">
        <v>1000</v>
      </c>
      <c r="T14" s="25">
        <v>0</v>
      </c>
      <c r="U14" s="25">
        <v>0</v>
      </c>
      <c r="V14" s="25">
        <v>0</v>
      </c>
      <c r="W14" s="25">
        <v>0</v>
      </c>
      <c r="X14" s="25">
        <f t="shared" si="5"/>
        <v>10343</v>
      </c>
      <c r="Y14" s="12">
        <v>0</v>
      </c>
      <c r="Z14" s="25">
        <v>100</v>
      </c>
      <c r="AA14" s="25">
        <v>150</v>
      </c>
      <c r="AB14" s="25">
        <v>0</v>
      </c>
      <c r="AC14" s="25">
        <v>0</v>
      </c>
      <c r="AD14" s="25">
        <v>0</v>
      </c>
      <c r="AE14" s="25">
        <f t="shared" si="6"/>
        <v>496</v>
      </c>
      <c r="AF14" s="25">
        <f t="shared" si="7"/>
        <v>496</v>
      </c>
      <c r="AG14" s="25">
        <v>0</v>
      </c>
      <c r="AH14" s="25">
        <f t="shared" si="8"/>
        <v>9850</v>
      </c>
      <c r="AI14" s="25">
        <f t="shared" si="9"/>
        <v>233</v>
      </c>
      <c r="AJ14" s="25">
        <v>1</v>
      </c>
      <c r="AK14" s="25">
        <v>1000</v>
      </c>
      <c r="AL14" s="25">
        <v>100</v>
      </c>
      <c r="AM14" s="26">
        <v>10</v>
      </c>
      <c r="AN14" s="26">
        <v>10</v>
      </c>
      <c r="AO14" s="22" t="s">
        <v>2211</v>
      </c>
      <c r="AP14" s="26">
        <v>0</v>
      </c>
      <c r="AQ14" s="26">
        <f t="shared" si="10"/>
        <v>990</v>
      </c>
      <c r="AR14" s="18" t="str">
        <f ca="1">CONCATENATE(OFFSET(Sheet1!$A$2,RANDBETWEEN(2,500),0,1,1),OFFSET(Sheet1!$A$2,RANDBETWEEN(2,500),RANDBETWEEN(1,5),1,1))</f>
        <v>布罗德小八</v>
      </c>
      <c r="AS14">
        <f>SUMPRODUCT(P14:AI14,Sheet2!$B$3:$U$3)</f>
        <v>823287</v>
      </c>
    </row>
    <row r="15" spans="1:45" x14ac:dyDescent="0.15">
      <c r="A15" s="18">
        <v>14</v>
      </c>
      <c r="B15" s="18" t="s">
        <v>1033</v>
      </c>
      <c r="C15" s="18">
        <f t="shared" si="0"/>
        <v>247</v>
      </c>
      <c r="D15" s="19">
        <f t="shared" si="1"/>
        <v>2</v>
      </c>
      <c r="E15" s="19">
        <f>VLOOKUP(MOD(A15,4),各职业基础配置!C$32:D$35,2,FALSE)</f>
        <v>6</v>
      </c>
      <c r="F15" s="19">
        <f>IF(A15&lt;900,INDEX(各职业基础配置!C$23:C$28,MOD(ROW(A15),4)+1),0)</f>
        <v>16</v>
      </c>
      <c r="G15" s="19">
        <f t="shared" si="2"/>
        <v>232</v>
      </c>
      <c r="H15" s="27">
        <f t="shared" si="3"/>
        <v>3</v>
      </c>
      <c r="I15" s="6" t="s">
        <v>164</v>
      </c>
      <c r="J15" s="23" t="str">
        <f>VLOOKUP(E15,各职业基础配置!$B$9:$C$12,2,FALSE)</f>
        <v>111|112|113|4201|115</v>
      </c>
      <c r="K15" s="18" t="str">
        <f>VLOOKUP(E15,各职业基础配置!$B$15:$C$18,2,FALSE)</f>
        <v>32|33|34</v>
      </c>
      <c r="L15" s="18" t="str">
        <f>VLOOKUP(E15,各职业基础配置!B:C,2,FALSE)</f>
        <v>[{32,1,1},{33,1,1},{34,1,1},{35,1,1},{7,1,1},{8,1,1},{9,1,1}]</v>
      </c>
      <c r="M15" s="18">
        <v>0</v>
      </c>
      <c r="N15" s="18">
        <f t="shared" si="4"/>
        <v>7</v>
      </c>
      <c r="O15" s="18">
        <f>SUMPRODUCT(P15:AI15,Sheet2!$B$3:$U$3)</f>
        <v>806374</v>
      </c>
      <c r="P15" s="18">
        <f>CEILING(INDEX([1]系统模型!$VD:$VD,MATCH(C15,[1]系统模型!$A:$A,0))*POWER(C15/220,3.8)-50+(1000-A15),1)</f>
        <v>17140</v>
      </c>
      <c r="Q15" s="18">
        <f>CEILING(INDEX([1]系统模型!$VE:$VE,MATCH(C15,[1]系统模型!$A:$A,0))*POWER(C15/220,4),1)</f>
        <v>3610</v>
      </c>
      <c r="R15" s="18">
        <f>INT(INDEX([1]系统模型!$VF:$VF,MATCH(C15,[1]系统模型!$A:$A,0))*MAX(POWER(C15/180,4),0.5))</f>
        <v>202099</v>
      </c>
      <c r="S15" s="5">
        <v>1000</v>
      </c>
      <c r="T15" s="25">
        <v>0</v>
      </c>
      <c r="U15" s="25">
        <v>0</v>
      </c>
      <c r="V15" s="25">
        <v>0</v>
      </c>
      <c r="W15" s="25">
        <v>0</v>
      </c>
      <c r="X15" s="25">
        <f t="shared" si="5"/>
        <v>10104</v>
      </c>
      <c r="Y15" s="12">
        <v>0</v>
      </c>
      <c r="Z15" s="25">
        <v>100</v>
      </c>
      <c r="AA15" s="25">
        <v>150</v>
      </c>
      <c r="AB15" s="25">
        <v>0</v>
      </c>
      <c r="AC15" s="25">
        <v>0</v>
      </c>
      <c r="AD15" s="25">
        <v>0</v>
      </c>
      <c r="AE15" s="25">
        <f t="shared" si="6"/>
        <v>494</v>
      </c>
      <c r="AF15" s="25">
        <f t="shared" si="7"/>
        <v>494</v>
      </c>
      <c r="AG15" s="25">
        <v>0</v>
      </c>
      <c r="AH15" s="25">
        <f t="shared" si="8"/>
        <v>9775</v>
      </c>
      <c r="AI15" s="25">
        <f t="shared" si="9"/>
        <v>228</v>
      </c>
      <c r="AJ15" s="25">
        <v>1</v>
      </c>
      <c r="AK15" s="25">
        <v>1000</v>
      </c>
      <c r="AL15" s="25">
        <v>100</v>
      </c>
      <c r="AM15" s="26">
        <v>10</v>
      </c>
      <c r="AN15" s="26">
        <v>10</v>
      </c>
      <c r="AO15" s="22" t="s">
        <v>2211</v>
      </c>
      <c r="AP15" s="26">
        <v>0</v>
      </c>
      <c r="AQ15" s="26">
        <f t="shared" si="10"/>
        <v>990</v>
      </c>
      <c r="AR15" s="18" t="str">
        <f ca="1">CONCATENATE(OFFSET(Sheet1!$A$2,RANDBETWEEN(2,500),0,1,1),OFFSET(Sheet1!$A$2,RANDBETWEEN(2,500),RANDBETWEEN(1,5),1,1))</f>
        <v>哈林顿梅</v>
      </c>
      <c r="AS15">
        <f>SUMPRODUCT(P15:AI15,Sheet2!$B$3:$U$3)</f>
        <v>806374</v>
      </c>
    </row>
    <row r="16" spans="1:45" x14ac:dyDescent="0.15">
      <c r="A16" s="23">
        <v>15</v>
      </c>
      <c r="B16" s="18" t="s">
        <v>1369</v>
      </c>
      <c r="C16" s="18">
        <f t="shared" si="0"/>
        <v>247</v>
      </c>
      <c r="D16" s="19">
        <f t="shared" si="1"/>
        <v>3</v>
      </c>
      <c r="E16" s="19">
        <f>VLOOKUP(MOD(A16,4),各职业基础配置!C$32:D$35,2,FALSE)</f>
        <v>9</v>
      </c>
      <c r="F16" s="19">
        <f>IF(A16&lt;900,INDEX(各职业基础配置!C$23:C$28,MOD(ROW(A16),4)+1),0)</f>
        <v>8</v>
      </c>
      <c r="G16" s="19">
        <f t="shared" si="2"/>
        <v>232</v>
      </c>
      <c r="H16" s="27">
        <f t="shared" si="3"/>
        <v>3</v>
      </c>
      <c r="I16" s="6" t="s">
        <v>164</v>
      </c>
      <c r="J16" s="23" t="str">
        <f>VLOOKUP(E16,各职业基础配置!$B$9:$C$12,2,FALSE)</f>
        <v>116|117|118|4201|120</v>
      </c>
      <c r="K16" s="18" t="str">
        <f>VLOOKUP(E16,各职业基础配置!$B$15:$C$18,2,FALSE)</f>
        <v>28|29|30|31</v>
      </c>
      <c r="L16" s="18" t="str">
        <f>VLOOKUP(E16,各职业基础配置!B:C,2,FALSE)</f>
        <v>[{28,1,1},{29,1,1},{30,1,1},{31,1,1},{10,1,1},{11,1,1},{12,1,1}]</v>
      </c>
      <c r="M16" s="18">
        <v>0</v>
      </c>
      <c r="N16" s="18">
        <f t="shared" si="4"/>
        <v>3</v>
      </c>
      <c r="O16" s="18">
        <f>SUMPRODUCT(P16:AI16,Sheet2!$B$3:$U$3)</f>
        <v>806349</v>
      </c>
      <c r="P16" s="18">
        <f>CEILING(INDEX([1]系统模型!$VD:$VD,MATCH(C16,[1]系统模型!$A:$A,0))*POWER(C16/220,3.8)-50+(1000-A16),1)</f>
        <v>17139</v>
      </c>
      <c r="Q16" s="18">
        <f>CEILING(INDEX([1]系统模型!$VE:$VE,MATCH(C16,[1]系统模型!$A:$A,0))*POWER(C16/220,4),1)</f>
        <v>3610</v>
      </c>
      <c r="R16" s="18">
        <f>INT(INDEX([1]系统模型!$VF:$VF,MATCH(C16,[1]系统模型!$A:$A,0))*MAX(POWER(C16/180,4),0.5))</f>
        <v>202099</v>
      </c>
      <c r="S16" s="5">
        <v>1000</v>
      </c>
      <c r="T16" s="25">
        <v>0</v>
      </c>
      <c r="U16" s="25">
        <v>0</v>
      </c>
      <c r="V16" s="25">
        <v>0</v>
      </c>
      <c r="W16" s="25">
        <v>0</v>
      </c>
      <c r="X16" s="25">
        <f t="shared" si="5"/>
        <v>10104</v>
      </c>
      <c r="Y16" s="12">
        <v>0</v>
      </c>
      <c r="Z16" s="25">
        <v>100</v>
      </c>
      <c r="AA16" s="25">
        <v>150</v>
      </c>
      <c r="AB16" s="25">
        <v>0</v>
      </c>
      <c r="AC16" s="25">
        <v>0</v>
      </c>
      <c r="AD16" s="25">
        <v>0</v>
      </c>
      <c r="AE16" s="25">
        <f t="shared" si="6"/>
        <v>494</v>
      </c>
      <c r="AF16" s="25">
        <f t="shared" si="7"/>
        <v>494</v>
      </c>
      <c r="AG16" s="25">
        <v>0</v>
      </c>
      <c r="AH16" s="25">
        <f t="shared" si="8"/>
        <v>9775</v>
      </c>
      <c r="AI16" s="25">
        <f t="shared" si="9"/>
        <v>228</v>
      </c>
      <c r="AJ16" s="25">
        <v>1</v>
      </c>
      <c r="AK16" s="25">
        <v>1000</v>
      </c>
      <c r="AL16" s="25">
        <v>100</v>
      </c>
      <c r="AM16" s="26">
        <v>10</v>
      </c>
      <c r="AN16" s="26">
        <v>10</v>
      </c>
      <c r="AO16" s="22" t="s">
        <v>2211</v>
      </c>
      <c r="AP16" s="26">
        <v>0</v>
      </c>
      <c r="AQ16" s="26">
        <f t="shared" si="10"/>
        <v>990</v>
      </c>
      <c r="AR16" s="18" t="str">
        <f ca="1">CONCATENATE(OFFSET(Sheet1!$A$2,RANDBETWEEN(2,500),0,1,1),OFFSET(Sheet1!$A$2,RANDBETWEEN(2,500),RANDBETWEEN(1,5),1,1))</f>
        <v>康格里夫</v>
      </c>
      <c r="AS16">
        <f>SUMPRODUCT(P16:AI16,Sheet2!$B$3:$U$3)</f>
        <v>806349</v>
      </c>
    </row>
    <row r="17" spans="1:45" x14ac:dyDescent="0.15">
      <c r="A17" s="18">
        <v>16</v>
      </c>
      <c r="B17" s="18" t="s">
        <v>1084</v>
      </c>
      <c r="C17" s="18">
        <f t="shared" si="0"/>
        <v>247</v>
      </c>
      <c r="D17" s="19">
        <f t="shared" si="1"/>
        <v>2</v>
      </c>
      <c r="E17" s="19">
        <f>VLOOKUP(MOD(A17,4),各职业基础配置!C$32:D$35,2,FALSE)</f>
        <v>1</v>
      </c>
      <c r="F17" s="19">
        <f>IF(A17&lt;900,INDEX(各职业基础配置!C$23:C$28,MOD(ROW(A17),4)+1),0)</f>
        <v>13</v>
      </c>
      <c r="G17" s="19">
        <f t="shared" si="2"/>
        <v>232</v>
      </c>
      <c r="H17" s="27">
        <f t="shared" si="3"/>
        <v>3</v>
      </c>
      <c r="I17" s="6" t="s">
        <v>164</v>
      </c>
      <c r="J17" s="23" t="str">
        <f>VLOOKUP(E17,各职业基础配置!$B$9:$C$12,2,FALSE)</f>
        <v>101|102|103|4201|105</v>
      </c>
      <c r="K17" s="18" t="str">
        <f>VLOOKUP(E17,各职业基础配置!$B$15:$C$18,2,FALSE)</f>
        <v>24|25|26|27</v>
      </c>
      <c r="L17" s="18" t="str">
        <f>VLOOKUP(E17,各职业基础配置!B:C,2,FALSE)</f>
        <v>[{24,1,1},{25,1,1},{26,1,1},{27,1,1},{1,1,1},{2,1,1},{3,1,1}]</v>
      </c>
      <c r="M17" s="18">
        <v>0</v>
      </c>
      <c r="N17" s="18">
        <f t="shared" si="4"/>
        <v>3</v>
      </c>
      <c r="O17" s="18">
        <f>SUMPRODUCT(P17:AI17,Sheet2!$B$3:$U$3)</f>
        <v>806324</v>
      </c>
      <c r="P17" s="18">
        <f>CEILING(INDEX([1]系统模型!$VD:$VD,MATCH(C17,[1]系统模型!$A:$A,0))*POWER(C17/220,3.8)-50+(1000-A17),1)</f>
        <v>17138</v>
      </c>
      <c r="Q17" s="18">
        <f>CEILING(INDEX([1]系统模型!$VE:$VE,MATCH(C17,[1]系统模型!$A:$A,0))*POWER(C17/220,4),1)</f>
        <v>3610</v>
      </c>
      <c r="R17" s="18">
        <f>INT(INDEX([1]系统模型!$VF:$VF,MATCH(C17,[1]系统模型!$A:$A,0))*MAX(POWER(C17/180,4),0.5))</f>
        <v>202099</v>
      </c>
      <c r="S17" s="5">
        <v>1000</v>
      </c>
      <c r="T17" s="25">
        <v>0</v>
      </c>
      <c r="U17" s="25">
        <v>0</v>
      </c>
      <c r="V17" s="25">
        <v>0</v>
      </c>
      <c r="W17" s="25">
        <v>0</v>
      </c>
      <c r="X17" s="25">
        <f t="shared" si="5"/>
        <v>10104</v>
      </c>
      <c r="Y17" s="12">
        <v>0</v>
      </c>
      <c r="Z17" s="25">
        <v>100</v>
      </c>
      <c r="AA17" s="25">
        <v>150</v>
      </c>
      <c r="AB17" s="25">
        <v>0</v>
      </c>
      <c r="AC17" s="25">
        <v>0</v>
      </c>
      <c r="AD17" s="25">
        <v>0</v>
      </c>
      <c r="AE17" s="25">
        <f t="shared" si="6"/>
        <v>494</v>
      </c>
      <c r="AF17" s="25">
        <f t="shared" si="7"/>
        <v>494</v>
      </c>
      <c r="AG17" s="25">
        <v>0</v>
      </c>
      <c r="AH17" s="25">
        <f t="shared" si="8"/>
        <v>9775</v>
      </c>
      <c r="AI17" s="25">
        <f t="shared" si="9"/>
        <v>228</v>
      </c>
      <c r="AJ17" s="25">
        <v>1</v>
      </c>
      <c r="AK17" s="25">
        <v>1000</v>
      </c>
      <c r="AL17" s="25">
        <v>100</v>
      </c>
      <c r="AM17" s="26">
        <v>10</v>
      </c>
      <c r="AN17" s="26">
        <v>10</v>
      </c>
      <c r="AO17" s="22" t="s">
        <v>2211</v>
      </c>
      <c r="AP17" s="26">
        <v>0</v>
      </c>
      <c r="AQ17" s="26">
        <f t="shared" si="10"/>
        <v>990</v>
      </c>
      <c r="AR17" s="18" t="str">
        <f ca="1">CONCATENATE(OFFSET(Sheet1!$A$2,RANDBETWEEN(2,500),0,1,1),OFFSET(Sheet1!$A$2,RANDBETWEEN(2,500),RANDBETWEEN(1,5),1,1))</f>
        <v>艾狄生百丽儿</v>
      </c>
      <c r="AS17">
        <f>SUMPRODUCT(P17:AI17,Sheet2!$B$3:$U$3)</f>
        <v>806324</v>
      </c>
    </row>
    <row r="18" spans="1:45" x14ac:dyDescent="0.15">
      <c r="A18" s="18">
        <v>17</v>
      </c>
      <c r="B18" s="18" t="s">
        <v>1838</v>
      </c>
      <c r="C18" s="18">
        <f t="shared" si="0"/>
        <v>247</v>
      </c>
      <c r="D18" s="19">
        <f t="shared" si="1"/>
        <v>3</v>
      </c>
      <c r="E18" s="19">
        <f>VLOOKUP(MOD(A18,4),各职业基础配置!C$32:D$35,2,FALSE)</f>
        <v>3</v>
      </c>
      <c r="F18" s="19">
        <f>IF(A18&lt;900,INDEX(各职业基础配置!C$23:C$28,MOD(ROW(A18),4)+1),0)</f>
        <v>14</v>
      </c>
      <c r="G18" s="19">
        <f t="shared" si="2"/>
        <v>232</v>
      </c>
      <c r="H18" s="27">
        <f t="shared" si="3"/>
        <v>3</v>
      </c>
      <c r="I18" s="6" t="s">
        <v>164</v>
      </c>
      <c r="J18" s="23" t="str">
        <f>VLOOKUP(E18,各职业基础配置!$B$9:$C$12,2,FALSE)</f>
        <v>106|107|108|4201|110</v>
      </c>
      <c r="K18" s="18" t="str">
        <f>VLOOKUP(E18,各职业基础配置!$B$15:$C$18,2,FALSE)</f>
        <v>20|21|22|23</v>
      </c>
      <c r="L18" s="18" t="str">
        <f>VLOOKUP(E18,各职业基础配置!B:C,2,FALSE)</f>
        <v>[{20,1,1},{21,1,1},{22,1,1},{23,1,1},{4,1,1},{5,1,1},{6,1,1}]</v>
      </c>
      <c r="M18" s="18">
        <v>0</v>
      </c>
      <c r="N18" s="18">
        <f t="shared" si="4"/>
        <v>7</v>
      </c>
      <c r="O18" s="18">
        <f>SUMPRODUCT(P18:AI18,Sheet2!$B$3:$U$3)</f>
        <v>806299</v>
      </c>
      <c r="P18" s="18">
        <f>CEILING(INDEX([1]系统模型!$VD:$VD,MATCH(C18,[1]系统模型!$A:$A,0))*POWER(C18/220,3.8)-50+(1000-A18),1)</f>
        <v>17137</v>
      </c>
      <c r="Q18" s="18">
        <f>CEILING(INDEX([1]系统模型!$VE:$VE,MATCH(C18,[1]系统模型!$A:$A,0))*POWER(C18/220,4),1)</f>
        <v>3610</v>
      </c>
      <c r="R18" s="18">
        <f>INT(INDEX([1]系统模型!$VF:$VF,MATCH(C18,[1]系统模型!$A:$A,0))*MAX(POWER(C18/180,4),0.5))</f>
        <v>202099</v>
      </c>
      <c r="S18" s="5">
        <v>1000</v>
      </c>
      <c r="T18" s="25">
        <v>0</v>
      </c>
      <c r="U18" s="25">
        <v>0</v>
      </c>
      <c r="V18" s="25">
        <v>0</v>
      </c>
      <c r="W18" s="25">
        <v>0</v>
      </c>
      <c r="X18" s="25">
        <f t="shared" si="5"/>
        <v>10104</v>
      </c>
      <c r="Y18" s="12">
        <v>0</v>
      </c>
      <c r="Z18" s="25">
        <v>100</v>
      </c>
      <c r="AA18" s="25">
        <v>150</v>
      </c>
      <c r="AB18" s="25">
        <v>0</v>
      </c>
      <c r="AC18" s="25">
        <v>0</v>
      </c>
      <c r="AD18" s="25">
        <v>0</v>
      </c>
      <c r="AE18" s="25">
        <f t="shared" si="6"/>
        <v>494</v>
      </c>
      <c r="AF18" s="25">
        <f t="shared" si="7"/>
        <v>494</v>
      </c>
      <c r="AG18" s="25">
        <v>0</v>
      </c>
      <c r="AH18" s="25">
        <f t="shared" si="8"/>
        <v>9775</v>
      </c>
      <c r="AI18" s="25">
        <f t="shared" si="9"/>
        <v>228</v>
      </c>
      <c r="AJ18" s="25">
        <v>1</v>
      </c>
      <c r="AK18" s="25">
        <v>1000</v>
      </c>
      <c r="AL18" s="25">
        <v>100</v>
      </c>
      <c r="AM18" s="26">
        <v>10</v>
      </c>
      <c r="AN18" s="26">
        <v>10</v>
      </c>
      <c r="AO18" s="22" t="s">
        <v>2211</v>
      </c>
      <c r="AP18" s="26">
        <v>0</v>
      </c>
      <c r="AQ18" s="26">
        <f t="shared" si="10"/>
        <v>990</v>
      </c>
      <c r="AR18" s="18" t="str">
        <f ca="1">CONCATENATE(OFFSET(Sheet1!$A$2,RANDBETWEEN(2,500),0,1,1),OFFSET(Sheet1!$A$2,RANDBETWEEN(2,500),RANDBETWEEN(1,5),1,1))</f>
        <v>陶赫蒂</v>
      </c>
      <c r="AS18">
        <f>SUMPRODUCT(P18:AI18,Sheet2!$B$3:$U$3)</f>
        <v>806299</v>
      </c>
    </row>
    <row r="19" spans="1:45" x14ac:dyDescent="0.15">
      <c r="A19" s="23">
        <v>18</v>
      </c>
      <c r="B19" s="18" t="s">
        <v>1839</v>
      </c>
      <c r="C19" s="18">
        <f t="shared" si="0"/>
        <v>247</v>
      </c>
      <c r="D19" s="19">
        <f t="shared" si="1"/>
        <v>2</v>
      </c>
      <c r="E19" s="19">
        <f>VLOOKUP(MOD(A19,4),各职业基础配置!C$32:D$35,2,FALSE)</f>
        <v>6</v>
      </c>
      <c r="F19" s="19">
        <f>IF(A19&lt;900,INDEX(各职业基础配置!C$23:C$28,MOD(ROW(A19),4)+1),0)</f>
        <v>16</v>
      </c>
      <c r="G19" s="19">
        <f t="shared" si="2"/>
        <v>232</v>
      </c>
      <c r="H19" s="27">
        <f t="shared" si="3"/>
        <v>3</v>
      </c>
      <c r="I19" s="6" t="s">
        <v>164</v>
      </c>
      <c r="J19" s="23" t="str">
        <f>VLOOKUP(E19,各职业基础配置!$B$9:$C$12,2,FALSE)</f>
        <v>111|112|113|4201|115</v>
      </c>
      <c r="K19" s="18" t="str">
        <f>VLOOKUP(E19,各职业基础配置!$B$15:$C$18,2,FALSE)</f>
        <v>32|33|34</v>
      </c>
      <c r="L19" s="18" t="str">
        <f>VLOOKUP(E19,各职业基础配置!B:C,2,FALSE)</f>
        <v>[{32,1,1},{33,1,1},{34,1,1},{35,1,1},{7,1,1},{8,1,1},{9,1,1}]</v>
      </c>
      <c r="M19" s="18">
        <v>0</v>
      </c>
      <c r="N19" s="18">
        <f t="shared" si="4"/>
        <v>7</v>
      </c>
      <c r="O19" s="18">
        <f>SUMPRODUCT(P19:AI19,Sheet2!$B$3:$U$3)</f>
        <v>806274</v>
      </c>
      <c r="P19" s="18">
        <f>CEILING(INDEX([1]系统模型!$VD:$VD,MATCH(C19,[1]系统模型!$A:$A,0))*POWER(C19/220,3.8)-50+(1000-A19),1)</f>
        <v>17136</v>
      </c>
      <c r="Q19" s="18">
        <f>CEILING(INDEX([1]系统模型!$VE:$VE,MATCH(C19,[1]系统模型!$A:$A,0))*POWER(C19/220,4),1)</f>
        <v>3610</v>
      </c>
      <c r="R19" s="18">
        <f>INT(INDEX([1]系统模型!$VF:$VF,MATCH(C19,[1]系统模型!$A:$A,0))*MAX(POWER(C19/180,4),0.5))</f>
        <v>202099</v>
      </c>
      <c r="S19" s="5">
        <v>1000</v>
      </c>
      <c r="T19" s="25">
        <v>0</v>
      </c>
      <c r="U19" s="25">
        <v>0</v>
      </c>
      <c r="V19" s="25">
        <v>0</v>
      </c>
      <c r="W19" s="25">
        <v>0</v>
      </c>
      <c r="X19" s="25">
        <f t="shared" si="5"/>
        <v>10104</v>
      </c>
      <c r="Y19" s="12">
        <v>0</v>
      </c>
      <c r="Z19" s="25">
        <v>100</v>
      </c>
      <c r="AA19" s="25">
        <v>150</v>
      </c>
      <c r="AB19" s="25">
        <v>0</v>
      </c>
      <c r="AC19" s="25">
        <v>0</v>
      </c>
      <c r="AD19" s="25">
        <v>0</v>
      </c>
      <c r="AE19" s="25">
        <f t="shared" si="6"/>
        <v>494</v>
      </c>
      <c r="AF19" s="25">
        <f t="shared" si="7"/>
        <v>494</v>
      </c>
      <c r="AG19" s="25">
        <v>0</v>
      </c>
      <c r="AH19" s="25">
        <f t="shared" si="8"/>
        <v>9775</v>
      </c>
      <c r="AI19" s="25">
        <f t="shared" si="9"/>
        <v>228</v>
      </c>
      <c r="AJ19" s="25">
        <v>1</v>
      </c>
      <c r="AK19" s="25">
        <v>1000</v>
      </c>
      <c r="AL19" s="25">
        <v>100</v>
      </c>
      <c r="AM19" s="26">
        <v>10</v>
      </c>
      <c r="AN19" s="26">
        <v>10</v>
      </c>
      <c r="AO19" s="22" t="s">
        <v>2211</v>
      </c>
      <c r="AP19" s="26">
        <v>0</v>
      </c>
      <c r="AQ19" s="26">
        <f t="shared" si="10"/>
        <v>990</v>
      </c>
      <c r="AR19" s="18" t="str">
        <f ca="1">CONCATENATE(OFFSET(Sheet1!$A$2,RANDBETWEEN(2,500),0,1,1),OFFSET(Sheet1!$A$2,RANDBETWEEN(2,500),RANDBETWEEN(1,5),1,1))</f>
        <v>道尔顿</v>
      </c>
      <c r="AS19">
        <f>SUMPRODUCT(P19:AI19,Sheet2!$B$3:$U$3)</f>
        <v>806274</v>
      </c>
    </row>
    <row r="20" spans="1:45" x14ac:dyDescent="0.15">
      <c r="A20" s="18">
        <v>19</v>
      </c>
      <c r="B20" s="18" t="s">
        <v>987</v>
      </c>
      <c r="C20" s="18">
        <f t="shared" si="0"/>
        <v>247</v>
      </c>
      <c r="D20" s="19">
        <f t="shared" si="1"/>
        <v>3</v>
      </c>
      <c r="E20" s="19">
        <f>VLOOKUP(MOD(A20,4),各职业基础配置!C$32:D$35,2,FALSE)</f>
        <v>9</v>
      </c>
      <c r="F20" s="19">
        <f>IF(A20&lt;900,INDEX(各职业基础配置!C$23:C$28,MOD(ROW(A20),4)+1),0)</f>
        <v>8</v>
      </c>
      <c r="G20" s="19">
        <f t="shared" si="2"/>
        <v>232</v>
      </c>
      <c r="H20" s="27">
        <f t="shared" si="3"/>
        <v>3</v>
      </c>
      <c r="I20" s="6" t="s">
        <v>164</v>
      </c>
      <c r="J20" s="23" t="str">
        <f>VLOOKUP(E20,各职业基础配置!$B$9:$C$12,2,FALSE)</f>
        <v>116|117|118|4201|120</v>
      </c>
      <c r="K20" s="18" t="str">
        <f>VLOOKUP(E20,各职业基础配置!$B$15:$C$18,2,FALSE)</f>
        <v>28|29|30|31</v>
      </c>
      <c r="L20" s="18" t="str">
        <f>VLOOKUP(E20,各职业基础配置!B:C,2,FALSE)</f>
        <v>[{28,1,1},{29,1,1},{30,1,1},{31,1,1},{10,1,1},{11,1,1},{12,1,1}]</v>
      </c>
      <c r="M20" s="18">
        <v>0</v>
      </c>
      <c r="N20" s="18">
        <f t="shared" si="4"/>
        <v>3</v>
      </c>
      <c r="O20" s="18">
        <f>SUMPRODUCT(P20:AI20,Sheet2!$B$3:$U$3)</f>
        <v>806249</v>
      </c>
      <c r="P20" s="18">
        <f>CEILING(INDEX([1]系统模型!$VD:$VD,MATCH(C20,[1]系统模型!$A:$A,0))*POWER(C20/220,3.8)-50+(1000-A20),1)</f>
        <v>17135</v>
      </c>
      <c r="Q20" s="18">
        <f>CEILING(INDEX([1]系统模型!$VE:$VE,MATCH(C20,[1]系统模型!$A:$A,0))*POWER(C20/220,4),1)</f>
        <v>3610</v>
      </c>
      <c r="R20" s="18">
        <f>INT(INDEX([1]系统模型!$VF:$VF,MATCH(C20,[1]系统模型!$A:$A,0))*MAX(POWER(C20/180,4),0.5))</f>
        <v>202099</v>
      </c>
      <c r="S20" s="5">
        <v>1000</v>
      </c>
      <c r="T20" s="25">
        <v>0</v>
      </c>
      <c r="U20" s="25">
        <v>0</v>
      </c>
      <c r="V20" s="25">
        <v>0</v>
      </c>
      <c r="W20" s="25">
        <v>0</v>
      </c>
      <c r="X20" s="25">
        <f t="shared" si="5"/>
        <v>10104</v>
      </c>
      <c r="Y20" s="12">
        <v>0</v>
      </c>
      <c r="Z20" s="25">
        <v>100</v>
      </c>
      <c r="AA20" s="25">
        <v>150</v>
      </c>
      <c r="AB20" s="25">
        <v>0</v>
      </c>
      <c r="AC20" s="25">
        <v>0</v>
      </c>
      <c r="AD20" s="25">
        <v>0</v>
      </c>
      <c r="AE20" s="25">
        <f t="shared" si="6"/>
        <v>494</v>
      </c>
      <c r="AF20" s="25">
        <f t="shared" si="7"/>
        <v>494</v>
      </c>
      <c r="AG20" s="25">
        <v>0</v>
      </c>
      <c r="AH20" s="25">
        <f t="shared" si="8"/>
        <v>9775</v>
      </c>
      <c r="AI20" s="25">
        <f t="shared" si="9"/>
        <v>228</v>
      </c>
      <c r="AJ20" s="25">
        <v>1</v>
      </c>
      <c r="AK20" s="25">
        <v>1000</v>
      </c>
      <c r="AL20" s="25">
        <v>100</v>
      </c>
      <c r="AM20" s="26">
        <v>10</v>
      </c>
      <c r="AN20" s="26">
        <v>10</v>
      </c>
      <c r="AO20" s="22" t="s">
        <v>2211</v>
      </c>
      <c r="AP20" s="26">
        <v>0</v>
      </c>
      <c r="AQ20" s="26">
        <f t="shared" si="10"/>
        <v>990</v>
      </c>
      <c r="AR20" s="18" t="str">
        <f ca="1">CONCATENATE(OFFSET(Sheet1!$A$2,RANDBETWEEN(2,500),0,1,1),OFFSET(Sheet1!$A$2,RANDBETWEEN(2,500),RANDBETWEEN(1,5),1,1))</f>
        <v>加登</v>
      </c>
      <c r="AS20">
        <f>SUMPRODUCT(P20:AI20,Sheet2!$B$3:$U$3)</f>
        <v>806249</v>
      </c>
    </row>
    <row r="21" spans="1:45" x14ac:dyDescent="0.15">
      <c r="A21" s="18">
        <v>20</v>
      </c>
      <c r="B21" s="18" t="s">
        <v>1840</v>
      </c>
      <c r="C21" s="18">
        <f t="shared" si="0"/>
        <v>247</v>
      </c>
      <c r="D21" s="19">
        <f t="shared" si="1"/>
        <v>2</v>
      </c>
      <c r="E21" s="19">
        <f>VLOOKUP(MOD(A21,4),各职业基础配置!C$32:D$35,2,FALSE)</f>
        <v>1</v>
      </c>
      <c r="F21" s="19">
        <f>IF(A21&lt;900,INDEX(各职业基础配置!C$23:C$28,MOD(ROW(A21),4)+1),0)</f>
        <v>13</v>
      </c>
      <c r="G21" s="19">
        <f t="shared" si="2"/>
        <v>232</v>
      </c>
      <c r="H21" s="27">
        <f t="shared" si="3"/>
        <v>3</v>
      </c>
      <c r="I21" s="6" t="s">
        <v>164</v>
      </c>
      <c r="J21" s="23" t="str">
        <f>VLOOKUP(E21,各职业基础配置!$B$9:$C$12,2,FALSE)</f>
        <v>101|102|103|4201|105</v>
      </c>
      <c r="K21" s="18" t="str">
        <f>VLOOKUP(E21,各职业基础配置!$B$15:$C$18,2,FALSE)</f>
        <v>24|25|26|27</v>
      </c>
      <c r="L21" s="18" t="str">
        <f>VLOOKUP(E21,各职业基础配置!B:C,2,FALSE)</f>
        <v>[{24,1,1},{25,1,1},{26,1,1},{27,1,1},{1,1,1},{2,1,1},{3,1,1}]</v>
      </c>
      <c r="M21" s="18">
        <v>0</v>
      </c>
      <c r="N21" s="18">
        <f t="shared" si="4"/>
        <v>3</v>
      </c>
      <c r="O21" s="18">
        <f>SUMPRODUCT(P21:AI21,Sheet2!$B$3:$U$3)</f>
        <v>806224</v>
      </c>
      <c r="P21" s="18">
        <f>CEILING(INDEX([1]系统模型!$VD:$VD,MATCH(C21,[1]系统模型!$A:$A,0))*POWER(C21/220,3.8)-50+(1000-A21),1)</f>
        <v>17134</v>
      </c>
      <c r="Q21" s="18">
        <f>CEILING(INDEX([1]系统模型!$VE:$VE,MATCH(C21,[1]系统模型!$A:$A,0))*POWER(C21/220,4),1)</f>
        <v>3610</v>
      </c>
      <c r="R21" s="18">
        <f>INT(INDEX([1]系统模型!$VF:$VF,MATCH(C21,[1]系统模型!$A:$A,0))*MAX(POWER(C21/180,4),0.5))</f>
        <v>202099</v>
      </c>
      <c r="S21" s="5">
        <v>1000</v>
      </c>
      <c r="T21" s="25">
        <v>0</v>
      </c>
      <c r="U21" s="25">
        <v>0</v>
      </c>
      <c r="V21" s="25">
        <v>0</v>
      </c>
      <c r="W21" s="25">
        <v>0</v>
      </c>
      <c r="X21" s="25">
        <f t="shared" si="5"/>
        <v>10104</v>
      </c>
      <c r="Y21" s="12">
        <v>0</v>
      </c>
      <c r="Z21" s="25">
        <v>100</v>
      </c>
      <c r="AA21" s="25">
        <v>150</v>
      </c>
      <c r="AB21" s="25">
        <v>0</v>
      </c>
      <c r="AC21" s="25">
        <v>0</v>
      </c>
      <c r="AD21" s="25">
        <v>0</v>
      </c>
      <c r="AE21" s="25">
        <f t="shared" si="6"/>
        <v>494</v>
      </c>
      <c r="AF21" s="25">
        <f t="shared" si="7"/>
        <v>494</v>
      </c>
      <c r="AG21" s="25">
        <v>0</v>
      </c>
      <c r="AH21" s="25">
        <f t="shared" si="8"/>
        <v>9775</v>
      </c>
      <c r="AI21" s="25">
        <f t="shared" si="9"/>
        <v>228</v>
      </c>
      <c r="AJ21" s="25">
        <v>1</v>
      </c>
      <c r="AK21" s="25">
        <v>1000</v>
      </c>
      <c r="AL21" s="25">
        <v>100</v>
      </c>
      <c r="AM21" s="26">
        <v>10</v>
      </c>
      <c r="AN21" s="26">
        <v>10</v>
      </c>
      <c r="AO21" s="22" t="s">
        <v>2211</v>
      </c>
      <c r="AP21" s="26">
        <v>0</v>
      </c>
      <c r="AQ21" s="26">
        <f t="shared" si="10"/>
        <v>980</v>
      </c>
      <c r="AR21" s="18" t="str">
        <f ca="1">CONCATENATE(OFFSET(Sheet1!$A$2,RANDBETWEEN(2,500),0,1,1),OFFSET(Sheet1!$A$2,RANDBETWEEN(2,500),RANDBETWEEN(1,5),1,1))</f>
        <v>查尔斯</v>
      </c>
      <c r="AS21">
        <f>SUMPRODUCT(P21:AI21,Sheet2!$B$3:$U$3)</f>
        <v>806224</v>
      </c>
    </row>
    <row r="22" spans="1:45" x14ac:dyDescent="0.15">
      <c r="A22" s="23">
        <v>21</v>
      </c>
      <c r="B22" s="18" t="s">
        <v>1841</v>
      </c>
      <c r="C22" s="18">
        <f t="shared" si="0"/>
        <v>246</v>
      </c>
      <c r="D22" s="19">
        <f t="shared" si="1"/>
        <v>3</v>
      </c>
      <c r="E22" s="19">
        <f>VLOOKUP(MOD(A22,4),各职业基础配置!C$32:D$35,2,FALSE)</f>
        <v>3</v>
      </c>
      <c r="F22" s="19">
        <f>IF(A22&lt;900,INDEX(各职业基础配置!C$23:C$28,MOD(ROW(A22),4)+1),0)</f>
        <v>14</v>
      </c>
      <c r="G22" s="19">
        <f t="shared" si="2"/>
        <v>226</v>
      </c>
      <c r="H22" s="27">
        <f t="shared" si="3"/>
        <v>3</v>
      </c>
      <c r="I22" s="6" t="s">
        <v>164</v>
      </c>
      <c r="J22" s="23" t="str">
        <f>VLOOKUP(E22,各职业基础配置!$B$9:$C$12,2,FALSE)</f>
        <v>106|107|108|4201|110</v>
      </c>
      <c r="K22" s="18" t="str">
        <f>VLOOKUP(E22,各职业基础配置!$B$15:$C$18,2,FALSE)</f>
        <v>20|21|22|23</v>
      </c>
      <c r="L22" s="18" t="str">
        <f>VLOOKUP(E22,各职业基础配置!B:C,2,FALSE)</f>
        <v>[{20,1,1},{21,1,1},{22,1,1},{23,1,1},{4,1,1},{5,1,1},{6,1,1}]</v>
      </c>
      <c r="M22" s="18">
        <v>0</v>
      </c>
      <c r="N22" s="18">
        <f t="shared" si="4"/>
        <v>7</v>
      </c>
      <c r="O22" s="18">
        <f>SUMPRODUCT(P22:AI22,Sheet2!$B$3:$U$3)</f>
        <v>789417</v>
      </c>
      <c r="P22" s="18">
        <f>CEILING(INDEX([1]系统模型!$VD:$VD,MATCH(C22,[1]系统模型!$A:$A,0))*POWER(C22/220,3.8)-50+(1000-A22),1)</f>
        <v>16777</v>
      </c>
      <c r="Q22" s="18">
        <f>CEILING(INDEX([1]系统模型!$VE:$VE,MATCH(C22,[1]系统模型!$A:$A,0))*POWER(C22/220,4),1)</f>
        <v>3520</v>
      </c>
      <c r="R22" s="18">
        <f>INT(INDEX([1]系统模型!$VF:$VF,MATCH(C22,[1]系统模型!$A:$A,0))*MAX(POWER(C22/180,4),0.5))</f>
        <v>197067</v>
      </c>
      <c r="S22" s="5">
        <v>1000</v>
      </c>
      <c r="T22" s="25">
        <v>0</v>
      </c>
      <c r="U22" s="25">
        <v>0</v>
      </c>
      <c r="V22" s="25">
        <v>0</v>
      </c>
      <c r="W22" s="25">
        <v>0</v>
      </c>
      <c r="X22" s="25">
        <f t="shared" si="5"/>
        <v>9853</v>
      </c>
      <c r="Y22" s="12">
        <v>0</v>
      </c>
      <c r="Z22" s="25">
        <v>100</v>
      </c>
      <c r="AA22" s="25">
        <v>150</v>
      </c>
      <c r="AB22" s="25">
        <v>0</v>
      </c>
      <c r="AC22" s="25">
        <v>0</v>
      </c>
      <c r="AD22" s="25">
        <v>0</v>
      </c>
      <c r="AE22" s="25">
        <f t="shared" si="6"/>
        <v>492</v>
      </c>
      <c r="AF22" s="25">
        <f t="shared" si="7"/>
        <v>492</v>
      </c>
      <c r="AG22" s="25">
        <v>0</v>
      </c>
      <c r="AH22" s="25">
        <f t="shared" si="8"/>
        <v>9700</v>
      </c>
      <c r="AI22" s="25">
        <f t="shared" si="9"/>
        <v>223</v>
      </c>
      <c r="AJ22" s="25">
        <v>1</v>
      </c>
      <c r="AK22" s="25">
        <v>1000</v>
      </c>
      <c r="AL22" s="25">
        <v>100</v>
      </c>
      <c r="AM22" s="26">
        <v>10</v>
      </c>
      <c r="AN22" s="26">
        <v>10</v>
      </c>
      <c r="AO22" s="22" t="s">
        <v>2211</v>
      </c>
      <c r="AP22" s="26">
        <v>0</v>
      </c>
      <c r="AQ22" s="26">
        <f t="shared" si="10"/>
        <v>980</v>
      </c>
      <c r="AR22" s="18" t="str">
        <f ca="1">CONCATENATE(OFFSET(Sheet1!$A$2,RANDBETWEEN(2,500),0,1,1),OFFSET(Sheet1!$A$2,RANDBETWEEN(2,500),RANDBETWEEN(1,5),1,1))</f>
        <v>波伊尔</v>
      </c>
      <c r="AS22">
        <f>SUMPRODUCT(P22:AI22,Sheet2!$B$3:$U$3)</f>
        <v>789417</v>
      </c>
    </row>
    <row r="23" spans="1:45" x14ac:dyDescent="0.15">
      <c r="A23" s="18">
        <v>22</v>
      </c>
      <c r="B23" s="18" t="s">
        <v>608</v>
      </c>
      <c r="C23" s="18">
        <f t="shared" si="0"/>
        <v>246</v>
      </c>
      <c r="D23" s="19">
        <f t="shared" si="1"/>
        <v>2</v>
      </c>
      <c r="E23" s="19">
        <f>VLOOKUP(MOD(A23,4),各职业基础配置!C$32:D$35,2,FALSE)</f>
        <v>6</v>
      </c>
      <c r="F23" s="19">
        <f>IF(A23&lt;900,INDEX(各职业基础配置!C$23:C$28,MOD(ROW(A23),4)+1),0)</f>
        <v>16</v>
      </c>
      <c r="G23" s="19">
        <f t="shared" si="2"/>
        <v>226</v>
      </c>
      <c r="H23" s="27">
        <f t="shared" si="3"/>
        <v>3</v>
      </c>
      <c r="I23" s="6" t="s">
        <v>164</v>
      </c>
      <c r="J23" s="23" t="str">
        <f>VLOOKUP(E23,各职业基础配置!$B$9:$C$12,2,FALSE)</f>
        <v>111|112|113|4201|115</v>
      </c>
      <c r="K23" s="18" t="str">
        <f>VLOOKUP(E23,各职业基础配置!$B$15:$C$18,2,FALSE)</f>
        <v>32|33|34</v>
      </c>
      <c r="L23" s="18" t="str">
        <f>VLOOKUP(E23,各职业基础配置!B:C,2,FALSE)</f>
        <v>[{32,1,1},{33,1,1},{34,1,1},{35,1,1},{7,1,1},{8,1,1},{9,1,1}]</v>
      </c>
      <c r="M23" s="18">
        <v>0</v>
      </c>
      <c r="N23" s="18">
        <f t="shared" si="4"/>
        <v>7</v>
      </c>
      <c r="O23" s="18">
        <f>SUMPRODUCT(P23:AI23,Sheet2!$B$3:$U$3)</f>
        <v>789392</v>
      </c>
      <c r="P23" s="18">
        <f>CEILING(INDEX([1]系统模型!$VD:$VD,MATCH(C23,[1]系统模型!$A:$A,0))*POWER(C23/220,3.8)-50+(1000-A23),1)</f>
        <v>16776</v>
      </c>
      <c r="Q23" s="18">
        <f>CEILING(INDEX([1]系统模型!$VE:$VE,MATCH(C23,[1]系统模型!$A:$A,0))*POWER(C23/220,4),1)</f>
        <v>3520</v>
      </c>
      <c r="R23" s="18">
        <f>INT(INDEX([1]系统模型!$VF:$VF,MATCH(C23,[1]系统模型!$A:$A,0))*MAX(POWER(C23/180,4),0.5))</f>
        <v>197067</v>
      </c>
      <c r="S23" s="5">
        <v>1000</v>
      </c>
      <c r="T23" s="25">
        <v>0</v>
      </c>
      <c r="U23" s="25">
        <v>0</v>
      </c>
      <c r="V23" s="25">
        <v>0</v>
      </c>
      <c r="W23" s="25">
        <v>0</v>
      </c>
      <c r="X23" s="25">
        <f t="shared" si="5"/>
        <v>9853</v>
      </c>
      <c r="Y23" s="12">
        <v>0</v>
      </c>
      <c r="Z23" s="25">
        <v>100</v>
      </c>
      <c r="AA23" s="25">
        <v>150</v>
      </c>
      <c r="AB23" s="25">
        <v>0</v>
      </c>
      <c r="AC23" s="25">
        <v>0</v>
      </c>
      <c r="AD23" s="25">
        <v>0</v>
      </c>
      <c r="AE23" s="25">
        <f t="shared" si="6"/>
        <v>492</v>
      </c>
      <c r="AF23" s="25">
        <f t="shared" si="7"/>
        <v>492</v>
      </c>
      <c r="AG23" s="25">
        <v>0</v>
      </c>
      <c r="AH23" s="25">
        <f t="shared" si="8"/>
        <v>9700</v>
      </c>
      <c r="AI23" s="25">
        <f t="shared" si="9"/>
        <v>223</v>
      </c>
      <c r="AJ23" s="25">
        <v>1</v>
      </c>
      <c r="AK23" s="25">
        <v>1000</v>
      </c>
      <c r="AL23" s="25">
        <v>100</v>
      </c>
      <c r="AM23" s="26">
        <v>10</v>
      </c>
      <c r="AN23" s="26">
        <v>10</v>
      </c>
      <c r="AO23" s="22" t="s">
        <v>2211</v>
      </c>
      <c r="AP23" s="26">
        <v>0</v>
      </c>
      <c r="AQ23" s="26">
        <f t="shared" si="10"/>
        <v>980</v>
      </c>
      <c r="AR23" s="18" t="str">
        <f ca="1">CONCATENATE(OFFSET(Sheet1!$A$2,RANDBETWEEN(2,500),0,1,1),OFFSET(Sheet1!$A$2,RANDBETWEEN(2,500),RANDBETWEEN(1,5),1,1))</f>
        <v>伯莎</v>
      </c>
      <c r="AS23">
        <f>SUMPRODUCT(P23:AI23,Sheet2!$B$3:$U$3)</f>
        <v>789392</v>
      </c>
    </row>
    <row r="24" spans="1:45" x14ac:dyDescent="0.15">
      <c r="A24" s="18">
        <v>23</v>
      </c>
      <c r="B24" s="18" t="s">
        <v>1842</v>
      </c>
      <c r="C24" s="18">
        <f t="shared" si="0"/>
        <v>246</v>
      </c>
      <c r="D24" s="19">
        <f t="shared" si="1"/>
        <v>3</v>
      </c>
      <c r="E24" s="19">
        <f>VLOOKUP(MOD(A24,4),各职业基础配置!C$32:D$35,2,FALSE)</f>
        <v>9</v>
      </c>
      <c r="F24" s="19">
        <f>IF(A24&lt;900,INDEX(各职业基础配置!C$23:C$28,MOD(ROW(A24),4)+1),0)</f>
        <v>8</v>
      </c>
      <c r="G24" s="19">
        <f t="shared" si="2"/>
        <v>226</v>
      </c>
      <c r="H24" s="27">
        <f t="shared" si="3"/>
        <v>3</v>
      </c>
      <c r="I24" s="6" t="s">
        <v>164</v>
      </c>
      <c r="J24" s="23" t="str">
        <f>VLOOKUP(E24,各职业基础配置!$B$9:$C$12,2,FALSE)</f>
        <v>116|117|118|4201|120</v>
      </c>
      <c r="K24" s="18" t="str">
        <f>VLOOKUP(E24,各职业基础配置!$B$15:$C$18,2,FALSE)</f>
        <v>28|29|30|31</v>
      </c>
      <c r="L24" s="18" t="str">
        <f>VLOOKUP(E24,各职业基础配置!B:C,2,FALSE)</f>
        <v>[{28,1,1},{29,1,1},{30,1,1},{31,1,1},{10,1,1},{11,1,1},{12,1,1}]</v>
      </c>
      <c r="M24" s="18">
        <v>0</v>
      </c>
      <c r="N24" s="18">
        <f t="shared" si="4"/>
        <v>3</v>
      </c>
      <c r="O24" s="18">
        <f>SUMPRODUCT(P24:AI24,Sheet2!$B$3:$U$3)</f>
        <v>789367</v>
      </c>
      <c r="P24" s="18">
        <f>CEILING(INDEX([1]系统模型!$VD:$VD,MATCH(C24,[1]系统模型!$A:$A,0))*POWER(C24/220,3.8)-50+(1000-A24),1)</f>
        <v>16775</v>
      </c>
      <c r="Q24" s="18">
        <f>CEILING(INDEX([1]系统模型!$VE:$VE,MATCH(C24,[1]系统模型!$A:$A,0))*POWER(C24/220,4),1)</f>
        <v>3520</v>
      </c>
      <c r="R24" s="18">
        <f>INT(INDEX([1]系统模型!$VF:$VF,MATCH(C24,[1]系统模型!$A:$A,0))*MAX(POWER(C24/180,4),0.5))</f>
        <v>197067</v>
      </c>
      <c r="S24" s="5">
        <v>1000</v>
      </c>
      <c r="T24" s="25">
        <v>0</v>
      </c>
      <c r="U24" s="25">
        <v>0</v>
      </c>
      <c r="V24" s="25">
        <v>0</v>
      </c>
      <c r="W24" s="25">
        <v>0</v>
      </c>
      <c r="X24" s="25">
        <f t="shared" si="5"/>
        <v>9853</v>
      </c>
      <c r="Y24" s="12">
        <v>0</v>
      </c>
      <c r="Z24" s="25">
        <v>100</v>
      </c>
      <c r="AA24" s="25">
        <v>150</v>
      </c>
      <c r="AB24" s="25">
        <v>0</v>
      </c>
      <c r="AC24" s="25">
        <v>0</v>
      </c>
      <c r="AD24" s="25">
        <v>0</v>
      </c>
      <c r="AE24" s="25">
        <f t="shared" si="6"/>
        <v>492</v>
      </c>
      <c r="AF24" s="25">
        <f t="shared" si="7"/>
        <v>492</v>
      </c>
      <c r="AG24" s="25">
        <v>0</v>
      </c>
      <c r="AH24" s="25">
        <f t="shared" si="8"/>
        <v>9700</v>
      </c>
      <c r="AI24" s="25">
        <f t="shared" si="9"/>
        <v>223</v>
      </c>
      <c r="AJ24" s="25">
        <v>1</v>
      </c>
      <c r="AK24" s="25">
        <v>1000</v>
      </c>
      <c r="AL24" s="25">
        <v>100</v>
      </c>
      <c r="AM24" s="26">
        <v>10</v>
      </c>
      <c r="AN24" s="26">
        <v>10</v>
      </c>
      <c r="AO24" s="22" t="s">
        <v>2211</v>
      </c>
      <c r="AP24" s="26">
        <v>0</v>
      </c>
      <c r="AQ24" s="26">
        <f t="shared" si="10"/>
        <v>980</v>
      </c>
      <c r="AR24" s="18" t="str">
        <f ca="1">CONCATENATE(OFFSET(Sheet1!$A$2,RANDBETWEEN(2,500),0,1,1),OFFSET(Sheet1!$A$2,RANDBETWEEN(2,500),RANDBETWEEN(1,5),1,1))</f>
        <v>白求恩</v>
      </c>
      <c r="AS24">
        <f>SUMPRODUCT(P24:AI24,Sheet2!$B$3:$U$3)</f>
        <v>789367</v>
      </c>
    </row>
    <row r="25" spans="1:45" x14ac:dyDescent="0.15">
      <c r="A25" s="23">
        <v>24</v>
      </c>
      <c r="B25" s="18" t="s">
        <v>1843</v>
      </c>
      <c r="C25" s="18">
        <f t="shared" si="0"/>
        <v>246</v>
      </c>
      <c r="D25" s="19">
        <f t="shared" si="1"/>
        <v>2</v>
      </c>
      <c r="E25" s="19">
        <f>VLOOKUP(MOD(A25,4),各职业基础配置!C$32:D$35,2,FALSE)</f>
        <v>1</v>
      </c>
      <c r="F25" s="19">
        <f>IF(A25&lt;900,INDEX(各职业基础配置!C$23:C$28,MOD(ROW(A25),4)+1),0)</f>
        <v>13</v>
      </c>
      <c r="G25" s="19">
        <f t="shared" si="2"/>
        <v>226</v>
      </c>
      <c r="H25" s="27">
        <f t="shared" si="3"/>
        <v>3</v>
      </c>
      <c r="I25" s="6" t="s">
        <v>164</v>
      </c>
      <c r="J25" s="23" t="str">
        <f>VLOOKUP(E25,各职业基础配置!$B$9:$C$12,2,FALSE)</f>
        <v>101|102|103|4201|105</v>
      </c>
      <c r="K25" s="18" t="str">
        <f>VLOOKUP(E25,各职业基础配置!$B$15:$C$18,2,FALSE)</f>
        <v>24|25|26|27</v>
      </c>
      <c r="L25" s="18" t="str">
        <f>VLOOKUP(E25,各职业基础配置!B:C,2,FALSE)</f>
        <v>[{24,1,1},{25,1,1},{26,1,1},{27,1,1},{1,1,1},{2,1,1},{3,1,1}]</v>
      </c>
      <c r="M25" s="18">
        <v>0</v>
      </c>
      <c r="N25" s="18">
        <f t="shared" si="4"/>
        <v>3</v>
      </c>
      <c r="O25" s="18">
        <f>SUMPRODUCT(P25:AI25,Sheet2!$B$3:$U$3)</f>
        <v>789342</v>
      </c>
      <c r="P25" s="18">
        <f>CEILING(INDEX([1]系统模型!$VD:$VD,MATCH(C25,[1]系统模型!$A:$A,0))*POWER(C25/220,3.8)-50+(1000-A25),1)</f>
        <v>16774</v>
      </c>
      <c r="Q25" s="18">
        <f>CEILING(INDEX([1]系统模型!$VE:$VE,MATCH(C25,[1]系统模型!$A:$A,0))*POWER(C25/220,4),1)</f>
        <v>3520</v>
      </c>
      <c r="R25" s="18">
        <f>INT(INDEX([1]系统模型!$VF:$VF,MATCH(C25,[1]系统模型!$A:$A,0))*MAX(POWER(C25/180,4),0.5))</f>
        <v>197067</v>
      </c>
      <c r="S25" s="5">
        <v>1000</v>
      </c>
      <c r="T25" s="25">
        <v>0</v>
      </c>
      <c r="U25" s="25">
        <v>0</v>
      </c>
      <c r="V25" s="25">
        <v>0</v>
      </c>
      <c r="W25" s="25">
        <v>0</v>
      </c>
      <c r="X25" s="25">
        <f t="shared" si="5"/>
        <v>9853</v>
      </c>
      <c r="Y25" s="12">
        <v>0</v>
      </c>
      <c r="Z25" s="25">
        <v>100</v>
      </c>
      <c r="AA25" s="25">
        <v>150</v>
      </c>
      <c r="AB25" s="25">
        <v>0</v>
      </c>
      <c r="AC25" s="25">
        <v>0</v>
      </c>
      <c r="AD25" s="25">
        <v>0</v>
      </c>
      <c r="AE25" s="25">
        <f t="shared" si="6"/>
        <v>492</v>
      </c>
      <c r="AF25" s="25">
        <f t="shared" si="7"/>
        <v>492</v>
      </c>
      <c r="AG25" s="25">
        <v>0</v>
      </c>
      <c r="AH25" s="25">
        <f t="shared" si="8"/>
        <v>9700</v>
      </c>
      <c r="AI25" s="25">
        <f t="shared" si="9"/>
        <v>223</v>
      </c>
      <c r="AJ25" s="25">
        <v>1</v>
      </c>
      <c r="AK25" s="25">
        <v>1000</v>
      </c>
      <c r="AL25" s="25">
        <v>100</v>
      </c>
      <c r="AM25" s="26">
        <v>10</v>
      </c>
      <c r="AN25" s="26">
        <v>10</v>
      </c>
      <c r="AO25" s="22" t="s">
        <v>2211</v>
      </c>
      <c r="AP25" s="26">
        <v>0</v>
      </c>
      <c r="AQ25" s="26">
        <f t="shared" si="10"/>
        <v>980</v>
      </c>
      <c r="AR25" s="18" t="str">
        <f ca="1">CONCATENATE(OFFSET(Sheet1!$A$2,RANDBETWEEN(2,500),0,1,1),OFFSET(Sheet1!$A$2,RANDBETWEEN(2,500),RANDBETWEEN(1,5),1,1))</f>
        <v>贝基</v>
      </c>
      <c r="AS25">
        <f>SUMPRODUCT(P25:AI25,Sheet2!$B$3:$U$3)</f>
        <v>789342</v>
      </c>
    </row>
    <row r="26" spans="1:45" x14ac:dyDescent="0.15">
      <c r="A26" s="18">
        <v>25</v>
      </c>
      <c r="B26" s="18" t="s">
        <v>1844</v>
      </c>
      <c r="C26" s="18">
        <f t="shared" si="0"/>
        <v>246</v>
      </c>
      <c r="D26" s="19">
        <f t="shared" si="1"/>
        <v>3</v>
      </c>
      <c r="E26" s="19">
        <f>VLOOKUP(MOD(A26,4),各职业基础配置!C$32:D$35,2,FALSE)</f>
        <v>3</v>
      </c>
      <c r="F26" s="19">
        <f>IF(A26&lt;900,INDEX(各职业基础配置!C$23:C$28,MOD(ROW(A26),4)+1),0)</f>
        <v>14</v>
      </c>
      <c r="G26" s="19">
        <f t="shared" si="2"/>
        <v>226</v>
      </c>
      <c r="H26" s="27">
        <f t="shared" si="3"/>
        <v>3</v>
      </c>
      <c r="I26" s="6" t="s">
        <v>164</v>
      </c>
      <c r="J26" s="23" t="str">
        <f>VLOOKUP(E26,各职业基础配置!$B$9:$C$12,2,FALSE)</f>
        <v>106|107|108|4201|110</v>
      </c>
      <c r="K26" s="18" t="str">
        <f>VLOOKUP(E26,各职业基础配置!$B$15:$C$18,2,FALSE)</f>
        <v>20|21|22|23</v>
      </c>
      <c r="L26" s="18" t="str">
        <f>VLOOKUP(E26,各职业基础配置!B:C,2,FALSE)</f>
        <v>[{20,1,1},{21,1,1},{22,1,1},{23,1,1},{4,1,1},{5,1,1},{6,1,1}]</v>
      </c>
      <c r="M26" s="18">
        <v>0</v>
      </c>
      <c r="N26" s="18">
        <f t="shared" si="4"/>
        <v>7</v>
      </c>
      <c r="O26" s="18">
        <f>SUMPRODUCT(P26:AI26,Sheet2!$B$3:$U$3)</f>
        <v>789317</v>
      </c>
      <c r="P26" s="18">
        <f>CEILING(INDEX([1]系统模型!$VD:$VD,MATCH(C26,[1]系统模型!$A:$A,0))*POWER(C26/220,3.8)-50+(1000-A26),1)</f>
        <v>16773</v>
      </c>
      <c r="Q26" s="18">
        <f>CEILING(INDEX([1]系统模型!$VE:$VE,MATCH(C26,[1]系统模型!$A:$A,0))*POWER(C26/220,4),1)</f>
        <v>3520</v>
      </c>
      <c r="R26" s="18">
        <f>INT(INDEX([1]系统模型!$VF:$VF,MATCH(C26,[1]系统模型!$A:$A,0))*MAX(POWER(C26/180,4),0.5))</f>
        <v>197067</v>
      </c>
      <c r="S26" s="5">
        <v>1000</v>
      </c>
      <c r="T26" s="25">
        <v>0</v>
      </c>
      <c r="U26" s="25">
        <v>0</v>
      </c>
      <c r="V26" s="25">
        <v>0</v>
      </c>
      <c r="W26" s="25">
        <v>0</v>
      </c>
      <c r="X26" s="25">
        <f t="shared" si="5"/>
        <v>9853</v>
      </c>
      <c r="Y26" s="12">
        <v>0</v>
      </c>
      <c r="Z26" s="25">
        <v>100</v>
      </c>
      <c r="AA26" s="25">
        <v>150</v>
      </c>
      <c r="AB26" s="25">
        <v>0</v>
      </c>
      <c r="AC26" s="25">
        <v>0</v>
      </c>
      <c r="AD26" s="25">
        <v>0</v>
      </c>
      <c r="AE26" s="25">
        <f t="shared" si="6"/>
        <v>492</v>
      </c>
      <c r="AF26" s="25">
        <f t="shared" si="7"/>
        <v>492</v>
      </c>
      <c r="AG26" s="25">
        <v>0</v>
      </c>
      <c r="AH26" s="25">
        <f t="shared" si="8"/>
        <v>9700</v>
      </c>
      <c r="AI26" s="25">
        <f t="shared" si="9"/>
        <v>223</v>
      </c>
      <c r="AJ26" s="25">
        <v>1</v>
      </c>
      <c r="AK26" s="25">
        <v>1000</v>
      </c>
      <c r="AL26" s="25">
        <v>100</v>
      </c>
      <c r="AM26" s="26">
        <v>10</v>
      </c>
      <c r="AN26" s="26">
        <v>10</v>
      </c>
      <c r="AO26" s="22" t="s">
        <v>2211</v>
      </c>
      <c r="AP26" s="26">
        <v>0</v>
      </c>
      <c r="AQ26" s="26">
        <f t="shared" si="10"/>
        <v>980</v>
      </c>
      <c r="AR26" s="18" t="str">
        <f ca="1">CONCATENATE(OFFSET(Sheet1!$A$2,RANDBETWEEN(2,500),0,1,1),OFFSET(Sheet1!$A$2,RANDBETWEEN(2,500),RANDBETWEEN(1,5),1,1))</f>
        <v>杜勒斯</v>
      </c>
      <c r="AS26">
        <f>SUMPRODUCT(P26:AI26,Sheet2!$B$3:$U$3)</f>
        <v>789317</v>
      </c>
    </row>
    <row r="27" spans="1:45" x14ac:dyDescent="0.15">
      <c r="A27" s="18">
        <v>26</v>
      </c>
      <c r="B27" s="18" t="s">
        <v>575</v>
      </c>
      <c r="C27" s="18">
        <f t="shared" si="0"/>
        <v>246</v>
      </c>
      <c r="D27" s="19">
        <f t="shared" si="1"/>
        <v>2</v>
      </c>
      <c r="E27" s="19">
        <f>VLOOKUP(MOD(A27,4),各职业基础配置!C$32:D$35,2,FALSE)</f>
        <v>6</v>
      </c>
      <c r="F27" s="19">
        <f>IF(A27&lt;900,INDEX(各职业基础配置!C$23:C$28,MOD(ROW(A27),4)+1),0)</f>
        <v>16</v>
      </c>
      <c r="G27" s="19">
        <f t="shared" si="2"/>
        <v>226</v>
      </c>
      <c r="H27" s="27">
        <f t="shared" si="3"/>
        <v>3</v>
      </c>
      <c r="I27" s="6" t="s">
        <v>164</v>
      </c>
      <c r="J27" s="23" t="str">
        <f>VLOOKUP(E27,各职业基础配置!$B$9:$C$12,2,FALSE)</f>
        <v>111|112|113|4201|115</v>
      </c>
      <c r="K27" s="18" t="str">
        <f>VLOOKUP(E27,各职业基础配置!$B$15:$C$18,2,FALSE)</f>
        <v>32|33|34</v>
      </c>
      <c r="L27" s="18" t="str">
        <f>VLOOKUP(E27,各职业基础配置!B:C,2,FALSE)</f>
        <v>[{32,1,1},{33,1,1},{34,1,1},{35,1,1},{7,1,1},{8,1,1},{9,1,1}]</v>
      </c>
      <c r="M27" s="18">
        <v>0</v>
      </c>
      <c r="N27" s="18">
        <f t="shared" si="4"/>
        <v>7</v>
      </c>
      <c r="O27" s="18">
        <f>SUMPRODUCT(P27:AI27,Sheet2!$B$3:$U$3)</f>
        <v>789292</v>
      </c>
      <c r="P27" s="18">
        <f>CEILING(INDEX([1]系统模型!$VD:$VD,MATCH(C27,[1]系统模型!$A:$A,0))*POWER(C27/220,3.8)-50+(1000-A27),1)</f>
        <v>16772</v>
      </c>
      <c r="Q27" s="18">
        <f>CEILING(INDEX([1]系统模型!$VE:$VE,MATCH(C27,[1]系统模型!$A:$A,0))*POWER(C27/220,4),1)</f>
        <v>3520</v>
      </c>
      <c r="R27" s="18">
        <f>INT(INDEX([1]系统模型!$VF:$VF,MATCH(C27,[1]系统模型!$A:$A,0))*MAX(POWER(C27/180,4),0.5))</f>
        <v>197067</v>
      </c>
      <c r="S27" s="5">
        <v>1000</v>
      </c>
      <c r="T27" s="25">
        <v>0</v>
      </c>
      <c r="U27" s="25">
        <v>0</v>
      </c>
      <c r="V27" s="25">
        <v>0</v>
      </c>
      <c r="W27" s="25">
        <v>0</v>
      </c>
      <c r="X27" s="25">
        <f t="shared" si="5"/>
        <v>9853</v>
      </c>
      <c r="Y27" s="12">
        <v>0</v>
      </c>
      <c r="Z27" s="25">
        <v>100</v>
      </c>
      <c r="AA27" s="25">
        <v>150</v>
      </c>
      <c r="AB27" s="25">
        <v>0</v>
      </c>
      <c r="AC27" s="25">
        <v>0</v>
      </c>
      <c r="AD27" s="25">
        <v>0</v>
      </c>
      <c r="AE27" s="25">
        <f t="shared" si="6"/>
        <v>492</v>
      </c>
      <c r="AF27" s="25">
        <f t="shared" si="7"/>
        <v>492</v>
      </c>
      <c r="AG27" s="25">
        <v>0</v>
      </c>
      <c r="AH27" s="25">
        <f t="shared" si="8"/>
        <v>9700</v>
      </c>
      <c r="AI27" s="25">
        <f t="shared" si="9"/>
        <v>223</v>
      </c>
      <c r="AJ27" s="25">
        <v>1</v>
      </c>
      <c r="AK27" s="25">
        <v>1000</v>
      </c>
      <c r="AL27" s="25">
        <v>100</v>
      </c>
      <c r="AM27" s="26">
        <v>10</v>
      </c>
      <c r="AN27" s="26">
        <v>10</v>
      </c>
      <c r="AO27" s="22" t="s">
        <v>2211</v>
      </c>
      <c r="AP27" s="26">
        <v>0</v>
      </c>
      <c r="AQ27" s="26">
        <f t="shared" si="10"/>
        <v>980</v>
      </c>
      <c r="AR27" s="18" t="str">
        <f ca="1">CONCATENATE(OFFSET(Sheet1!$A$2,RANDBETWEEN(2,500),0,1,1),OFFSET(Sheet1!$A$2,RANDBETWEEN(2,500),RANDBETWEEN(1,5),1,1))</f>
        <v>乔纳维基</v>
      </c>
      <c r="AS27">
        <f>SUMPRODUCT(P27:AI27,Sheet2!$B$3:$U$3)</f>
        <v>789292</v>
      </c>
    </row>
    <row r="28" spans="1:45" x14ac:dyDescent="0.15">
      <c r="A28" s="23">
        <v>27</v>
      </c>
      <c r="B28" s="18" t="s">
        <v>1845</v>
      </c>
      <c r="C28" s="18">
        <f t="shared" si="0"/>
        <v>246</v>
      </c>
      <c r="D28" s="19">
        <f t="shared" si="1"/>
        <v>3</v>
      </c>
      <c r="E28" s="19">
        <f>VLOOKUP(MOD(A28,4),各职业基础配置!C$32:D$35,2,FALSE)</f>
        <v>9</v>
      </c>
      <c r="F28" s="19">
        <f>IF(A28&lt;900,INDEX(各职业基础配置!C$23:C$28,MOD(ROW(A28),4)+1),0)</f>
        <v>8</v>
      </c>
      <c r="G28" s="19">
        <f t="shared" si="2"/>
        <v>226</v>
      </c>
      <c r="H28" s="27">
        <f t="shared" si="3"/>
        <v>3</v>
      </c>
      <c r="I28" s="6" t="s">
        <v>164</v>
      </c>
      <c r="J28" s="23" t="str">
        <f>VLOOKUP(E28,各职业基础配置!$B$9:$C$12,2,FALSE)</f>
        <v>116|117|118|4201|120</v>
      </c>
      <c r="K28" s="18" t="str">
        <f>VLOOKUP(E28,各职业基础配置!$B$15:$C$18,2,FALSE)</f>
        <v>28|29|30|31</v>
      </c>
      <c r="L28" s="18" t="str">
        <f>VLOOKUP(E28,各职业基础配置!B:C,2,FALSE)</f>
        <v>[{28,1,1},{29,1,1},{30,1,1},{31,1,1},{10,1,1},{11,1,1},{12,1,1}]</v>
      </c>
      <c r="M28" s="18">
        <v>0</v>
      </c>
      <c r="N28" s="18">
        <f t="shared" si="4"/>
        <v>3</v>
      </c>
      <c r="O28" s="18">
        <f>SUMPRODUCT(P28:AI28,Sheet2!$B$3:$U$3)</f>
        <v>789267</v>
      </c>
      <c r="P28" s="18">
        <f>CEILING(INDEX([1]系统模型!$VD:$VD,MATCH(C28,[1]系统模型!$A:$A,0))*POWER(C28/220,3.8)-50+(1000-A28),1)</f>
        <v>16771</v>
      </c>
      <c r="Q28" s="18">
        <f>CEILING(INDEX([1]系统模型!$VE:$VE,MATCH(C28,[1]系统模型!$A:$A,0))*POWER(C28/220,4),1)</f>
        <v>3520</v>
      </c>
      <c r="R28" s="18">
        <f>INT(INDEX([1]系统模型!$VF:$VF,MATCH(C28,[1]系统模型!$A:$A,0))*MAX(POWER(C28/180,4),0.5))</f>
        <v>197067</v>
      </c>
      <c r="S28" s="5">
        <v>1000</v>
      </c>
      <c r="T28" s="25">
        <v>0</v>
      </c>
      <c r="U28" s="25">
        <v>0</v>
      </c>
      <c r="V28" s="25">
        <v>0</v>
      </c>
      <c r="W28" s="25">
        <v>0</v>
      </c>
      <c r="X28" s="25">
        <f t="shared" si="5"/>
        <v>9853</v>
      </c>
      <c r="Y28" s="12">
        <v>0</v>
      </c>
      <c r="Z28" s="25">
        <v>100</v>
      </c>
      <c r="AA28" s="25">
        <v>150</v>
      </c>
      <c r="AB28" s="25">
        <v>0</v>
      </c>
      <c r="AC28" s="25">
        <v>0</v>
      </c>
      <c r="AD28" s="25">
        <v>0</v>
      </c>
      <c r="AE28" s="25">
        <f t="shared" si="6"/>
        <v>492</v>
      </c>
      <c r="AF28" s="25">
        <f t="shared" si="7"/>
        <v>492</v>
      </c>
      <c r="AG28" s="25">
        <v>0</v>
      </c>
      <c r="AH28" s="25">
        <f t="shared" si="8"/>
        <v>9700</v>
      </c>
      <c r="AI28" s="25">
        <f t="shared" si="9"/>
        <v>223</v>
      </c>
      <c r="AJ28" s="25">
        <v>1</v>
      </c>
      <c r="AK28" s="25">
        <v>1000</v>
      </c>
      <c r="AL28" s="25">
        <v>100</v>
      </c>
      <c r="AM28" s="26">
        <v>10</v>
      </c>
      <c r="AN28" s="26">
        <v>10</v>
      </c>
      <c r="AO28" s="22" t="s">
        <v>2211</v>
      </c>
      <c r="AP28" s="26">
        <v>0</v>
      </c>
      <c r="AQ28" s="26">
        <f t="shared" si="10"/>
        <v>980</v>
      </c>
      <c r="AR28" s="18" t="str">
        <f ca="1">CONCATENATE(OFFSET(Sheet1!$A$2,RANDBETWEEN(2,500),0,1,1),OFFSET(Sheet1!$A$2,RANDBETWEEN(2,500),RANDBETWEEN(1,5),1,1))</f>
        <v>加斯克尔</v>
      </c>
      <c r="AS28">
        <f>SUMPRODUCT(P28:AI28,Sheet2!$B$3:$U$3)</f>
        <v>789267</v>
      </c>
    </row>
    <row r="29" spans="1:45" x14ac:dyDescent="0.15">
      <c r="A29" s="18">
        <v>28</v>
      </c>
      <c r="B29" s="18" t="s">
        <v>578</v>
      </c>
      <c r="C29" s="18">
        <f t="shared" si="0"/>
        <v>245</v>
      </c>
      <c r="D29" s="19">
        <f t="shared" si="1"/>
        <v>2</v>
      </c>
      <c r="E29" s="19">
        <f>VLOOKUP(MOD(A29,4),各职业基础配置!C$32:D$35,2,FALSE)</f>
        <v>1</v>
      </c>
      <c r="F29" s="19">
        <f>IF(A29&lt;900,INDEX(各职业基础配置!C$23:C$28,MOD(ROW(A29),4)+1),0)</f>
        <v>13</v>
      </c>
      <c r="G29" s="19">
        <f t="shared" si="2"/>
        <v>221</v>
      </c>
      <c r="H29" s="27">
        <f t="shared" si="3"/>
        <v>3</v>
      </c>
      <c r="I29" s="6" t="s">
        <v>164</v>
      </c>
      <c r="J29" s="23" t="str">
        <f>VLOOKUP(E29,各职业基础配置!$B$9:$C$12,2,FALSE)</f>
        <v>101|102|103|4201|105</v>
      </c>
      <c r="K29" s="18" t="str">
        <f>VLOOKUP(E29,各职业基础配置!$B$15:$C$18,2,FALSE)</f>
        <v>24|25|26|27</v>
      </c>
      <c r="L29" s="18" t="str">
        <f>VLOOKUP(E29,各职业基础配置!B:C,2,FALSE)</f>
        <v>[{24,1,1},{25,1,1},{26,1,1},{27,1,1},{1,1,1},{2,1,1},{3,1,1}]</v>
      </c>
      <c r="M29" s="18">
        <v>0</v>
      </c>
      <c r="N29" s="18">
        <f t="shared" si="4"/>
        <v>3</v>
      </c>
      <c r="O29" s="18">
        <f>SUMPRODUCT(P29:AI29,Sheet2!$B$3:$U$3)</f>
        <v>773698</v>
      </c>
      <c r="P29" s="18">
        <f>CEILING(INDEX([1]系统模型!$VD:$VD,MATCH(C29,[1]系统模型!$A:$A,0))*POWER(C29/220,3.8)-50+(1000-A29),1)</f>
        <v>16436</v>
      </c>
      <c r="Q29" s="18">
        <f>CEILING(INDEX([1]系统模型!$VE:$VE,MATCH(C29,[1]系统模型!$A:$A,0))*POWER(C29/220,4),1)</f>
        <v>3437</v>
      </c>
      <c r="R29" s="18">
        <f>INT(INDEX([1]系统模型!$VF:$VF,MATCH(C29,[1]系统模型!$A:$A,0))*MAX(POWER(C29/180,4),0.5))</f>
        <v>192523</v>
      </c>
      <c r="S29" s="5">
        <v>1000</v>
      </c>
      <c r="T29" s="25">
        <v>0</v>
      </c>
      <c r="U29" s="25">
        <v>0</v>
      </c>
      <c r="V29" s="25">
        <v>0</v>
      </c>
      <c r="W29" s="25">
        <v>0</v>
      </c>
      <c r="X29" s="25">
        <f t="shared" si="5"/>
        <v>9626</v>
      </c>
      <c r="Y29" s="12">
        <v>0</v>
      </c>
      <c r="Z29" s="25">
        <v>100</v>
      </c>
      <c r="AA29" s="25">
        <v>150</v>
      </c>
      <c r="AB29" s="25">
        <v>0</v>
      </c>
      <c r="AC29" s="25">
        <v>0</v>
      </c>
      <c r="AD29" s="25">
        <v>0</v>
      </c>
      <c r="AE29" s="25">
        <f t="shared" si="6"/>
        <v>490</v>
      </c>
      <c r="AF29" s="25">
        <f t="shared" si="7"/>
        <v>490</v>
      </c>
      <c r="AG29" s="25">
        <v>0</v>
      </c>
      <c r="AH29" s="25">
        <f t="shared" si="8"/>
        <v>9625</v>
      </c>
      <c r="AI29" s="25">
        <f t="shared" si="9"/>
        <v>219</v>
      </c>
      <c r="AJ29" s="25">
        <v>1</v>
      </c>
      <c r="AK29" s="25">
        <v>1000</v>
      </c>
      <c r="AL29" s="25">
        <v>100</v>
      </c>
      <c r="AM29" s="26">
        <v>10</v>
      </c>
      <c r="AN29" s="26">
        <v>10</v>
      </c>
      <c r="AO29" s="22" t="s">
        <v>2211</v>
      </c>
      <c r="AP29" s="26">
        <v>0</v>
      </c>
      <c r="AQ29" s="26">
        <f t="shared" si="10"/>
        <v>980</v>
      </c>
      <c r="AR29" s="18" t="str">
        <f ca="1">CONCATENATE(OFFSET(Sheet1!$A$2,RANDBETWEEN(2,500),0,1,1),OFFSET(Sheet1!$A$2,RANDBETWEEN(2,500),RANDBETWEEN(1,5),1,1))</f>
        <v>柯姆</v>
      </c>
      <c r="AS29">
        <f>SUMPRODUCT(P29:AI29,Sheet2!$B$3:$U$3)</f>
        <v>773698</v>
      </c>
    </row>
    <row r="30" spans="1:45" x14ac:dyDescent="0.15">
      <c r="A30" s="18">
        <v>29</v>
      </c>
      <c r="B30" s="18" t="s">
        <v>238</v>
      </c>
      <c r="C30" s="18">
        <f t="shared" si="0"/>
        <v>245</v>
      </c>
      <c r="D30" s="19">
        <f t="shared" si="1"/>
        <v>3</v>
      </c>
      <c r="E30" s="19">
        <f>VLOOKUP(MOD(A30,4),各职业基础配置!C$32:D$35,2,FALSE)</f>
        <v>3</v>
      </c>
      <c r="F30" s="19">
        <f>IF(A30&lt;900,INDEX(各职业基础配置!C$23:C$28,MOD(ROW(A30),4)+1),0)</f>
        <v>14</v>
      </c>
      <c r="G30" s="19">
        <f t="shared" si="2"/>
        <v>221</v>
      </c>
      <c r="H30" s="27">
        <f t="shared" si="3"/>
        <v>3</v>
      </c>
      <c r="I30" s="6" t="s">
        <v>164</v>
      </c>
      <c r="J30" s="23" t="str">
        <f>VLOOKUP(E30,各职业基础配置!$B$9:$C$12,2,FALSE)</f>
        <v>106|107|108|4201|110</v>
      </c>
      <c r="K30" s="18" t="str">
        <f>VLOOKUP(E30,各职业基础配置!$B$15:$C$18,2,FALSE)</f>
        <v>20|21|22|23</v>
      </c>
      <c r="L30" s="18" t="str">
        <f>VLOOKUP(E30,各职业基础配置!B:C,2,FALSE)</f>
        <v>[{20,1,1},{21,1,1},{22,1,1},{23,1,1},{4,1,1},{5,1,1},{6,1,1}]</v>
      </c>
      <c r="M30" s="18">
        <v>0</v>
      </c>
      <c r="N30" s="18">
        <f t="shared" si="4"/>
        <v>7</v>
      </c>
      <c r="O30" s="18">
        <f>SUMPRODUCT(P30:AI30,Sheet2!$B$3:$U$3)</f>
        <v>773673</v>
      </c>
      <c r="P30" s="18">
        <f>CEILING(INDEX([1]系统模型!$VD:$VD,MATCH(C30,[1]系统模型!$A:$A,0))*POWER(C30/220,3.8)-50+(1000-A30),1)</f>
        <v>16435</v>
      </c>
      <c r="Q30" s="18">
        <f>CEILING(INDEX([1]系统模型!$VE:$VE,MATCH(C30,[1]系统模型!$A:$A,0))*POWER(C30/220,4),1)</f>
        <v>3437</v>
      </c>
      <c r="R30" s="18">
        <f>INT(INDEX([1]系统模型!$VF:$VF,MATCH(C30,[1]系统模型!$A:$A,0))*MAX(POWER(C30/180,4),0.5))</f>
        <v>192523</v>
      </c>
      <c r="S30" s="5">
        <v>1000</v>
      </c>
      <c r="T30" s="25">
        <v>0</v>
      </c>
      <c r="U30" s="25">
        <v>0</v>
      </c>
      <c r="V30" s="25">
        <v>0</v>
      </c>
      <c r="W30" s="25">
        <v>0</v>
      </c>
      <c r="X30" s="25">
        <f t="shared" si="5"/>
        <v>9626</v>
      </c>
      <c r="Y30" s="12">
        <v>0</v>
      </c>
      <c r="Z30" s="25">
        <v>100</v>
      </c>
      <c r="AA30" s="25">
        <v>150</v>
      </c>
      <c r="AB30" s="25">
        <v>0</v>
      </c>
      <c r="AC30" s="25">
        <v>0</v>
      </c>
      <c r="AD30" s="25">
        <v>0</v>
      </c>
      <c r="AE30" s="25">
        <f t="shared" si="6"/>
        <v>490</v>
      </c>
      <c r="AF30" s="25">
        <f t="shared" si="7"/>
        <v>490</v>
      </c>
      <c r="AG30" s="25">
        <v>0</v>
      </c>
      <c r="AH30" s="25">
        <f t="shared" si="8"/>
        <v>9625</v>
      </c>
      <c r="AI30" s="25">
        <f t="shared" si="9"/>
        <v>219</v>
      </c>
      <c r="AJ30" s="25">
        <v>1</v>
      </c>
      <c r="AK30" s="25">
        <v>1000</v>
      </c>
      <c r="AL30" s="25">
        <v>100</v>
      </c>
      <c r="AM30" s="26">
        <v>10</v>
      </c>
      <c r="AN30" s="26">
        <v>10</v>
      </c>
      <c r="AO30" s="22" t="s">
        <v>2211</v>
      </c>
      <c r="AP30" s="26">
        <v>0</v>
      </c>
      <c r="AQ30" s="26">
        <f t="shared" si="10"/>
        <v>980</v>
      </c>
      <c r="AR30" s="18" t="str">
        <f ca="1">CONCATENATE(OFFSET(Sheet1!$A$2,RANDBETWEEN(2,500),0,1,1),OFFSET(Sheet1!$A$2,RANDBETWEEN(2,500),RANDBETWEEN(1,5),1,1))</f>
        <v>福斯特茉莉</v>
      </c>
      <c r="AS30">
        <f>SUMPRODUCT(P30:AI30,Sheet2!$B$3:$U$3)</f>
        <v>773673</v>
      </c>
    </row>
    <row r="31" spans="1:45" x14ac:dyDescent="0.15">
      <c r="A31" s="23">
        <v>30</v>
      </c>
      <c r="B31" s="18" t="s">
        <v>1846</v>
      </c>
      <c r="C31" s="18">
        <f t="shared" si="0"/>
        <v>245</v>
      </c>
      <c r="D31" s="19">
        <f t="shared" si="1"/>
        <v>2</v>
      </c>
      <c r="E31" s="19">
        <f>VLOOKUP(MOD(A31,4),各职业基础配置!C$32:D$35,2,FALSE)</f>
        <v>6</v>
      </c>
      <c r="F31" s="19">
        <f>IF(A31&lt;900,INDEX(各职业基础配置!C$23:C$28,MOD(ROW(A31),4)+1),0)</f>
        <v>16</v>
      </c>
      <c r="G31" s="19">
        <f t="shared" si="2"/>
        <v>221</v>
      </c>
      <c r="H31" s="27">
        <f t="shared" si="3"/>
        <v>3</v>
      </c>
      <c r="I31" s="6" t="s">
        <v>164</v>
      </c>
      <c r="J31" s="23" t="str">
        <f>VLOOKUP(E31,各职业基础配置!$B$9:$C$12,2,FALSE)</f>
        <v>111|112|113|4201|115</v>
      </c>
      <c r="K31" s="18" t="str">
        <f>VLOOKUP(E31,各职业基础配置!$B$15:$C$18,2,FALSE)</f>
        <v>32|33|34</v>
      </c>
      <c r="L31" s="18" t="str">
        <f>VLOOKUP(E31,各职业基础配置!B:C,2,FALSE)</f>
        <v>[{32,1,1},{33,1,1},{34,1,1},{35,1,1},{7,1,1},{8,1,1},{9,1,1}]</v>
      </c>
      <c r="M31" s="18">
        <v>0</v>
      </c>
      <c r="N31" s="18">
        <f t="shared" si="4"/>
        <v>7</v>
      </c>
      <c r="O31" s="18">
        <f>SUMPRODUCT(P31:AI31,Sheet2!$B$3:$U$3)</f>
        <v>773648</v>
      </c>
      <c r="P31" s="18">
        <f>CEILING(INDEX([1]系统模型!$VD:$VD,MATCH(C31,[1]系统模型!$A:$A,0))*POWER(C31/220,3.8)-50+(1000-A31),1)</f>
        <v>16434</v>
      </c>
      <c r="Q31" s="18">
        <f>CEILING(INDEX([1]系统模型!$VE:$VE,MATCH(C31,[1]系统模型!$A:$A,0))*POWER(C31/220,4),1)</f>
        <v>3437</v>
      </c>
      <c r="R31" s="18">
        <f>INT(INDEX([1]系统模型!$VF:$VF,MATCH(C31,[1]系统模型!$A:$A,0))*MAX(POWER(C31/180,4),0.5))</f>
        <v>192523</v>
      </c>
      <c r="S31" s="5">
        <v>1000</v>
      </c>
      <c r="T31" s="25">
        <v>0</v>
      </c>
      <c r="U31" s="25">
        <v>0</v>
      </c>
      <c r="V31" s="25">
        <v>0</v>
      </c>
      <c r="W31" s="25">
        <v>0</v>
      </c>
      <c r="X31" s="25">
        <f t="shared" si="5"/>
        <v>9626</v>
      </c>
      <c r="Y31" s="12">
        <v>0</v>
      </c>
      <c r="Z31" s="25">
        <v>100</v>
      </c>
      <c r="AA31" s="25">
        <v>150</v>
      </c>
      <c r="AB31" s="25">
        <v>0</v>
      </c>
      <c r="AC31" s="25">
        <v>0</v>
      </c>
      <c r="AD31" s="25">
        <v>0</v>
      </c>
      <c r="AE31" s="25">
        <f t="shared" si="6"/>
        <v>490</v>
      </c>
      <c r="AF31" s="25">
        <f t="shared" si="7"/>
        <v>490</v>
      </c>
      <c r="AG31" s="25">
        <v>0</v>
      </c>
      <c r="AH31" s="25">
        <f t="shared" si="8"/>
        <v>9625</v>
      </c>
      <c r="AI31" s="25">
        <f t="shared" si="9"/>
        <v>219</v>
      </c>
      <c r="AJ31" s="25">
        <v>1</v>
      </c>
      <c r="AK31" s="25">
        <v>1000</v>
      </c>
      <c r="AL31" s="25">
        <v>100</v>
      </c>
      <c r="AM31" s="26">
        <v>10</v>
      </c>
      <c r="AN31" s="26">
        <v>10</v>
      </c>
      <c r="AO31" s="22" t="s">
        <v>2211</v>
      </c>
      <c r="AP31" s="26">
        <v>0</v>
      </c>
      <c r="AQ31" s="26">
        <f t="shared" si="10"/>
        <v>970</v>
      </c>
      <c r="AR31" s="18" t="str">
        <f ca="1">CONCATENATE(OFFSET(Sheet1!$A$2,RANDBETWEEN(2,500),0,1,1),OFFSET(Sheet1!$A$2,RANDBETWEEN(2,500),RANDBETWEEN(1,5),1,1))</f>
        <v>布拉德利</v>
      </c>
      <c r="AS31">
        <f>SUMPRODUCT(P31:AI31,Sheet2!$B$3:$U$3)</f>
        <v>773648</v>
      </c>
    </row>
    <row r="32" spans="1:45" x14ac:dyDescent="0.15">
      <c r="A32" s="18">
        <v>31</v>
      </c>
      <c r="B32" s="18" t="s">
        <v>1847</v>
      </c>
      <c r="C32" s="18">
        <f t="shared" si="0"/>
        <v>245</v>
      </c>
      <c r="D32" s="19">
        <f t="shared" si="1"/>
        <v>3</v>
      </c>
      <c r="E32" s="19">
        <f>VLOOKUP(MOD(A32,4),各职业基础配置!C$32:D$35,2,FALSE)</f>
        <v>9</v>
      </c>
      <c r="F32" s="19">
        <f>IF(A32&lt;900,INDEX(各职业基础配置!C$23:C$28,MOD(ROW(A32),4)+1),0)</f>
        <v>8</v>
      </c>
      <c r="G32" s="19">
        <f t="shared" si="2"/>
        <v>221</v>
      </c>
      <c r="H32" s="27">
        <f t="shared" si="3"/>
        <v>3</v>
      </c>
      <c r="I32" s="6" t="s">
        <v>164</v>
      </c>
      <c r="J32" s="23" t="str">
        <f>VLOOKUP(E32,各职业基础配置!$B$9:$C$12,2,FALSE)</f>
        <v>116|117|118|4201|120</v>
      </c>
      <c r="K32" s="18" t="str">
        <f>VLOOKUP(E32,各职业基础配置!$B$15:$C$18,2,FALSE)</f>
        <v>28|29|30|31</v>
      </c>
      <c r="L32" s="18" t="str">
        <f>VLOOKUP(E32,各职业基础配置!B:C,2,FALSE)</f>
        <v>[{28,1,1},{29,1,1},{30,1,1},{31,1,1},{10,1,1},{11,1,1},{12,1,1}]</v>
      </c>
      <c r="M32" s="18">
        <v>0</v>
      </c>
      <c r="N32" s="18">
        <f t="shared" si="4"/>
        <v>3</v>
      </c>
      <c r="O32" s="18">
        <f>SUMPRODUCT(P32:AI32,Sheet2!$B$3:$U$3)</f>
        <v>773623</v>
      </c>
      <c r="P32" s="18">
        <f>CEILING(INDEX([1]系统模型!$VD:$VD,MATCH(C32,[1]系统模型!$A:$A,0))*POWER(C32/220,3.8)-50+(1000-A32),1)</f>
        <v>16433</v>
      </c>
      <c r="Q32" s="18">
        <f>CEILING(INDEX([1]系统模型!$VE:$VE,MATCH(C32,[1]系统模型!$A:$A,0))*POWER(C32/220,4),1)</f>
        <v>3437</v>
      </c>
      <c r="R32" s="18">
        <f>INT(INDEX([1]系统模型!$VF:$VF,MATCH(C32,[1]系统模型!$A:$A,0))*MAX(POWER(C32/180,4),0.5))</f>
        <v>192523</v>
      </c>
      <c r="S32" s="5">
        <v>1000</v>
      </c>
      <c r="T32" s="25">
        <v>0</v>
      </c>
      <c r="U32" s="25">
        <v>0</v>
      </c>
      <c r="V32" s="25">
        <v>0</v>
      </c>
      <c r="W32" s="25">
        <v>0</v>
      </c>
      <c r="X32" s="25">
        <f t="shared" si="5"/>
        <v>9626</v>
      </c>
      <c r="Y32" s="12">
        <v>0</v>
      </c>
      <c r="Z32" s="25">
        <v>100</v>
      </c>
      <c r="AA32" s="25">
        <v>150</v>
      </c>
      <c r="AB32" s="25">
        <v>0</v>
      </c>
      <c r="AC32" s="25">
        <v>0</v>
      </c>
      <c r="AD32" s="25">
        <v>0</v>
      </c>
      <c r="AE32" s="25">
        <f t="shared" si="6"/>
        <v>490</v>
      </c>
      <c r="AF32" s="25">
        <f t="shared" si="7"/>
        <v>490</v>
      </c>
      <c r="AG32" s="25">
        <v>0</v>
      </c>
      <c r="AH32" s="25">
        <f t="shared" si="8"/>
        <v>9625</v>
      </c>
      <c r="AI32" s="25">
        <f t="shared" si="9"/>
        <v>219</v>
      </c>
      <c r="AJ32" s="25">
        <v>1</v>
      </c>
      <c r="AK32" s="25">
        <v>1000</v>
      </c>
      <c r="AL32" s="25">
        <v>100</v>
      </c>
      <c r="AM32" s="26">
        <v>10</v>
      </c>
      <c r="AN32" s="26">
        <v>10</v>
      </c>
      <c r="AO32" s="22" t="s">
        <v>2211</v>
      </c>
      <c r="AP32" s="26">
        <v>0</v>
      </c>
      <c r="AQ32" s="26">
        <f t="shared" si="10"/>
        <v>970</v>
      </c>
      <c r="AR32" s="18" t="str">
        <f ca="1">CONCATENATE(OFFSET(Sheet1!$A$2,RANDBETWEEN(2,500),0,1,1),OFFSET(Sheet1!$A$2,RANDBETWEEN(2,500),RANDBETWEEN(1,5),1,1))</f>
        <v>艾略特</v>
      </c>
      <c r="AS32">
        <f>SUMPRODUCT(P32:AI32,Sheet2!$B$3:$U$3)</f>
        <v>773623</v>
      </c>
    </row>
    <row r="33" spans="1:45" x14ac:dyDescent="0.15">
      <c r="A33" s="18">
        <v>32</v>
      </c>
      <c r="B33" s="18" t="s">
        <v>1848</v>
      </c>
      <c r="C33" s="18">
        <f t="shared" si="0"/>
        <v>245</v>
      </c>
      <c r="D33" s="19">
        <f t="shared" si="1"/>
        <v>2</v>
      </c>
      <c r="E33" s="19">
        <f>VLOOKUP(MOD(A33,4),各职业基础配置!C$32:D$35,2,FALSE)</f>
        <v>1</v>
      </c>
      <c r="F33" s="19">
        <f>IF(A33&lt;900,INDEX(各职业基础配置!C$23:C$28,MOD(ROW(A33),4)+1),0)</f>
        <v>13</v>
      </c>
      <c r="G33" s="19">
        <f t="shared" si="2"/>
        <v>221</v>
      </c>
      <c r="H33" s="27">
        <f t="shared" si="3"/>
        <v>3</v>
      </c>
      <c r="I33" s="6" t="s">
        <v>164</v>
      </c>
      <c r="J33" s="23" t="str">
        <f>VLOOKUP(E33,各职业基础配置!$B$9:$C$12,2,FALSE)</f>
        <v>101|102|103|4201|105</v>
      </c>
      <c r="K33" s="18" t="str">
        <f>VLOOKUP(E33,各职业基础配置!$B$15:$C$18,2,FALSE)</f>
        <v>24|25|26|27</v>
      </c>
      <c r="L33" s="18" t="str">
        <f>VLOOKUP(E33,各职业基础配置!B:C,2,FALSE)</f>
        <v>[{24,1,1},{25,1,1},{26,1,1},{27,1,1},{1,1,1},{2,1,1},{3,1,1}]</v>
      </c>
      <c r="M33" s="18">
        <v>0</v>
      </c>
      <c r="N33" s="18">
        <f t="shared" si="4"/>
        <v>3</v>
      </c>
      <c r="O33" s="18">
        <f>SUMPRODUCT(P33:AI33,Sheet2!$B$3:$U$3)</f>
        <v>773598</v>
      </c>
      <c r="P33" s="18">
        <f>CEILING(INDEX([1]系统模型!$VD:$VD,MATCH(C33,[1]系统模型!$A:$A,0))*POWER(C33/220,3.8)-50+(1000-A33),1)</f>
        <v>16432</v>
      </c>
      <c r="Q33" s="18">
        <f>CEILING(INDEX([1]系统模型!$VE:$VE,MATCH(C33,[1]系统模型!$A:$A,0))*POWER(C33/220,4),1)</f>
        <v>3437</v>
      </c>
      <c r="R33" s="18">
        <f>INT(INDEX([1]系统模型!$VF:$VF,MATCH(C33,[1]系统模型!$A:$A,0))*MAX(POWER(C33/180,4),0.5))</f>
        <v>192523</v>
      </c>
      <c r="S33" s="5">
        <v>1000</v>
      </c>
      <c r="T33" s="25">
        <v>0</v>
      </c>
      <c r="U33" s="25">
        <v>0</v>
      </c>
      <c r="V33" s="25">
        <v>0</v>
      </c>
      <c r="W33" s="25">
        <v>0</v>
      </c>
      <c r="X33" s="25">
        <f t="shared" si="5"/>
        <v>9626</v>
      </c>
      <c r="Y33" s="12">
        <v>0</v>
      </c>
      <c r="Z33" s="25">
        <v>100</v>
      </c>
      <c r="AA33" s="25">
        <v>150</v>
      </c>
      <c r="AB33" s="25">
        <v>0</v>
      </c>
      <c r="AC33" s="25">
        <v>0</v>
      </c>
      <c r="AD33" s="25">
        <v>0</v>
      </c>
      <c r="AE33" s="25">
        <f t="shared" si="6"/>
        <v>490</v>
      </c>
      <c r="AF33" s="25">
        <f t="shared" si="7"/>
        <v>490</v>
      </c>
      <c r="AG33" s="25">
        <v>0</v>
      </c>
      <c r="AH33" s="25">
        <f t="shared" si="8"/>
        <v>9625</v>
      </c>
      <c r="AI33" s="25">
        <f t="shared" si="9"/>
        <v>219</v>
      </c>
      <c r="AJ33" s="25">
        <v>1</v>
      </c>
      <c r="AK33" s="25">
        <v>1000</v>
      </c>
      <c r="AL33" s="25">
        <v>100</v>
      </c>
      <c r="AM33" s="26">
        <v>10</v>
      </c>
      <c r="AN33" s="26">
        <v>10</v>
      </c>
      <c r="AO33" s="22" t="s">
        <v>2211</v>
      </c>
      <c r="AP33" s="26">
        <v>0</v>
      </c>
      <c r="AQ33" s="26">
        <f t="shared" si="10"/>
        <v>970</v>
      </c>
      <c r="AR33" s="18" t="str">
        <f ca="1">CONCATENATE(OFFSET(Sheet1!$A$2,RANDBETWEEN(2,500),0,1,1),OFFSET(Sheet1!$A$2,RANDBETWEEN(2,500),RANDBETWEEN(1,5),1,1))</f>
        <v>鲍勃</v>
      </c>
      <c r="AS33">
        <f>SUMPRODUCT(P33:AI33,Sheet2!$B$3:$U$3)</f>
        <v>773598</v>
      </c>
    </row>
    <row r="34" spans="1:45" x14ac:dyDescent="0.15">
      <c r="A34" s="23">
        <v>33</v>
      </c>
      <c r="B34" s="18" t="s">
        <v>1212</v>
      </c>
      <c r="C34" s="18">
        <f t="shared" si="0"/>
        <v>245</v>
      </c>
      <c r="D34" s="19">
        <f t="shared" si="1"/>
        <v>3</v>
      </c>
      <c r="E34" s="19">
        <f>VLOOKUP(MOD(A34,4),各职业基础配置!C$32:D$35,2,FALSE)</f>
        <v>3</v>
      </c>
      <c r="F34" s="19">
        <f>IF(A34&lt;900,INDEX(各职业基础配置!C$23:C$28,MOD(ROW(A34),4)+1),0)</f>
        <v>14</v>
      </c>
      <c r="G34" s="19">
        <f t="shared" si="2"/>
        <v>221</v>
      </c>
      <c r="H34" s="27">
        <f t="shared" si="3"/>
        <v>3</v>
      </c>
      <c r="I34" s="6" t="s">
        <v>164</v>
      </c>
      <c r="J34" s="23" t="str">
        <f>VLOOKUP(E34,各职业基础配置!$B$9:$C$12,2,FALSE)</f>
        <v>106|107|108|4201|110</v>
      </c>
      <c r="K34" s="18" t="str">
        <f>VLOOKUP(E34,各职业基础配置!$B$15:$C$18,2,FALSE)</f>
        <v>20|21|22|23</v>
      </c>
      <c r="L34" s="18" t="str">
        <f>VLOOKUP(E34,各职业基础配置!B:C,2,FALSE)</f>
        <v>[{20,1,1},{21,1,1},{22,1,1},{23,1,1},{4,1,1},{5,1,1},{6,1,1}]</v>
      </c>
      <c r="M34" s="18">
        <v>0</v>
      </c>
      <c r="N34" s="18">
        <f t="shared" si="4"/>
        <v>7</v>
      </c>
      <c r="O34" s="18">
        <f>SUMPRODUCT(P34:AI34,Sheet2!$B$3:$U$3)</f>
        <v>773573</v>
      </c>
      <c r="P34" s="18">
        <f>CEILING(INDEX([1]系统模型!$VD:$VD,MATCH(C34,[1]系统模型!$A:$A,0))*POWER(C34/220,3.8)-50+(1000-A34),1)</f>
        <v>16431</v>
      </c>
      <c r="Q34" s="18">
        <f>CEILING(INDEX([1]系统模型!$VE:$VE,MATCH(C34,[1]系统模型!$A:$A,0))*POWER(C34/220,4),1)</f>
        <v>3437</v>
      </c>
      <c r="R34" s="18">
        <f>INT(INDEX([1]系统模型!$VF:$VF,MATCH(C34,[1]系统模型!$A:$A,0))*MAX(POWER(C34/180,4),0.5))</f>
        <v>192523</v>
      </c>
      <c r="S34" s="5">
        <v>1000</v>
      </c>
      <c r="T34" s="25">
        <v>0</v>
      </c>
      <c r="U34" s="25">
        <v>0</v>
      </c>
      <c r="V34" s="25">
        <v>0</v>
      </c>
      <c r="W34" s="25">
        <v>0</v>
      </c>
      <c r="X34" s="25">
        <f t="shared" si="5"/>
        <v>9626</v>
      </c>
      <c r="Y34" s="12">
        <v>0</v>
      </c>
      <c r="Z34" s="25">
        <v>100</v>
      </c>
      <c r="AA34" s="25">
        <v>150</v>
      </c>
      <c r="AB34" s="25">
        <v>0</v>
      </c>
      <c r="AC34" s="25">
        <v>0</v>
      </c>
      <c r="AD34" s="25">
        <v>0</v>
      </c>
      <c r="AE34" s="25">
        <f t="shared" si="6"/>
        <v>490</v>
      </c>
      <c r="AF34" s="25">
        <f t="shared" si="7"/>
        <v>490</v>
      </c>
      <c r="AG34" s="25">
        <v>0</v>
      </c>
      <c r="AH34" s="25">
        <f t="shared" si="8"/>
        <v>9625</v>
      </c>
      <c r="AI34" s="25">
        <f t="shared" si="9"/>
        <v>219</v>
      </c>
      <c r="AJ34" s="25">
        <v>1</v>
      </c>
      <c r="AK34" s="25">
        <v>1000</v>
      </c>
      <c r="AL34" s="25">
        <v>100</v>
      </c>
      <c r="AM34" s="26">
        <v>10</v>
      </c>
      <c r="AN34" s="26">
        <v>10</v>
      </c>
      <c r="AO34" s="22" t="s">
        <v>2211</v>
      </c>
      <c r="AP34" s="26">
        <v>0</v>
      </c>
      <c r="AQ34" s="26">
        <f t="shared" si="10"/>
        <v>970</v>
      </c>
      <c r="AR34" s="18" t="str">
        <f ca="1">CONCATENATE(OFFSET(Sheet1!$A$2,RANDBETWEEN(2,500),0,1,1),OFFSET(Sheet1!$A$2,RANDBETWEEN(2,500),RANDBETWEEN(1,5),1,1))</f>
        <v>豪斯</v>
      </c>
      <c r="AS34">
        <f>SUMPRODUCT(P34:AI34,Sheet2!$B$3:$U$3)</f>
        <v>773573</v>
      </c>
    </row>
    <row r="35" spans="1:45" x14ac:dyDescent="0.15">
      <c r="A35" s="18">
        <v>34</v>
      </c>
      <c r="B35" s="18" t="s">
        <v>441</v>
      </c>
      <c r="C35" s="18">
        <f t="shared" si="0"/>
        <v>244</v>
      </c>
      <c r="D35" s="19">
        <f t="shared" si="1"/>
        <v>2</v>
      </c>
      <c r="E35" s="19">
        <f>VLOOKUP(MOD(A35,4),各职业基础配置!C$32:D$35,2,FALSE)</f>
        <v>6</v>
      </c>
      <c r="F35" s="19">
        <f>IF(A35&lt;900,INDEX(各职业基础配置!C$23:C$28,MOD(ROW(A35),4)+1),0)</f>
        <v>16</v>
      </c>
      <c r="G35" s="19">
        <f t="shared" si="2"/>
        <v>216</v>
      </c>
      <c r="H35" s="27">
        <f t="shared" si="3"/>
        <v>3</v>
      </c>
      <c r="I35" s="6" t="s">
        <v>164</v>
      </c>
      <c r="J35" s="23" t="str">
        <f>VLOOKUP(E35,各职业基础配置!$B$9:$C$12,2,FALSE)</f>
        <v>111|112|113|4201|115</v>
      </c>
      <c r="K35" s="18" t="str">
        <f>VLOOKUP(E35,各职业基础配置!$B$15:$C$18,2,FALSE)</f>
        <v>32|33|34</v>
      </c>
      <c r="L35" s="18" t="str">
        <f>VLOOKUP(E35,各职业基础配置!B:C,2,FALSE)</f>
        <v>[{32,1,1},{33,1,1},{34,1,1},{35,1,1},{7,1,1},{8,1,1},{9,1,1}]</v>
      </c>
      <c r="M35" s="18">
        <v>0</v>
      </c>
      <c r="N35" s="18">
        <f t="shared" si="4"/>
        <v>7</v>
      </c>
      <c r="O35" s="18">
        <f>SUMPRODUCT(P35:AI35,Sheet2!$B$3:$U$3)</f>
        <v>758974</v>
      </c>
      <c r="P35" s="18">
        <f>CEILING(INDEX([1]系统模型!$VD:$VD,MATCH(C35,[1]系统模型!$A:$A,0))*POWER(C35/220,3.8)-50+(1000-A35),1)</f>
        <v>16146</v>
      </c>
      <c r="Q35" s="18">
        <f>CEILING(INDEX([1]系统模型!$VE:$VE,MATCH(C35,[1]系统模型!$A:$A,0))*POWER(C35/220,4),1)</f>
        <v>3346</v>
      </c>
      <c r="R35" s="18">
        <f>INT(INDEX([1]系统模型!$VF:$VF,MATCH(C35,[1]系统模型!$A:$A,0))*MAX(POWER(C35/180,4),0.5))</f>
        <v>187899</v>
      </c>
      <c r="S35" s="5">
        <v>1000</v>
      </c>
      <c r="T35" s="25">
        <v>0</v>
      </c>
      <c r="U35" s="25">
        <v>0</v>
      </c>
      <c r="V35" s="25">
        <v>0</v>
      </c>
      <c r="W35" s="25">
        <v>0</v>
      </c>
      <c r="X35" s="25">
        <f t="shared" si="5"/>
        <v>9394</v>
      </c>
      <c r="Y35" s="12">
        <v>0</v>
      </c>
      <c r="Z35" s="25">
        <v>100</v>
      </c>
      <c r="AA35" s="25">
        <v>150</v>
      </c>
      <c r="AB35" s="25">
        <v>0</v>
      </c>
      <c r="AC35" s="25">
        <v>0</v>
      </c>
      <c r="AD35" s="25">
        <v>0</v>
      </c>
      <c r="AE35" s="25">
        <f t="shared" si="6"/>
        <v>488</v>
      </c>
      <c r="AF35" s="25">
        <f t="shared" si="7"/>
        <v>488</v>
      </c>
      <c r="AG35" s="25">
        <v>0</v>
      </c>
      <c r="AH35" s="25">
        <f t="shared" si="8"/>
        <v>9550</v>
      </c>
      <c r="AI35" s="25">
        <f t="shared" si="9"/>
        <v>215</v>
      </c>
      <c r="AJ35" s="25">
        <v>1</v>
      </c>
      <c r="AK35" s="25">
        <v>1000</v>
      </c>
      <c r="AL35" s="25">
        <v>100</v>
      </c>
      <c r="AM35" s="26">
        <v>10</v>
      </c>
      <c r="AN35" s="26">
        <v>10</v>
      </c>
      <c r="AO35" s="22" t="s">
        <v>2211</v>
      </c>
      <c r="AP35" s="26">
        <v>0</v>
      </c>
      <c r="AQ35" s="26">
        <f t="shared" si="10"/>
        <v>970</v>
      </c>
      <c r="AR35" s="18" t="str">
        <f ca="1">CONCATENATE(OFFSET(Sheet1!$A$2,RANDBETWEEN(2,500),0,1,1),OFFSET(Sheet1!$A$2,RANDBETWEEN(2,500),RANDBETWEEN(1,5),1,1))</f>
        <v>埃拉</v>
      </c>
      <c r="AS35">
        <f>SUMPRODUCT(P35:AI35,Sheet2!$B$3:$U$3)</f>
        <v>758974</v>
      </c>
    </row>
    <row r="36" spans="1:45" x14ac:dyDescent="0.15">
      <c r="A36" s="18">
        <v>35</v>
      </c>
      <c r="B36" s="18" t="s">
        <v>1849</v>
      </c>
      <c r="C36" s="18">
        <f t="shared" si="0"/>
        <v>244</v>
      </c>
      <c r="D36" s="19">
        <f t="shared" si="1"/>
        <v>3</v>
      </c>
      <c r="E36" s="19">
        <f>VLOOKUP(MOD(A36,4),各职业基础配置!C$32:D$35,2,FALSE)</f>
        <v>9</v>
      </c>
      <c r="F36" s="19">
        <f>IF(A36&lt;900,INDEX(各职业基础配置!C$23:C$28,MOD(ROW(A36),4)+1),0)</f>
        <v>8</v>
      </c>
      <c r="G36" s="19">
        <f t="shared" si="2"/>
        <v>216</v>
      </c>
      <c r="H36" s="27">
        <f t="shared" si="3"/>
        <v>3</v>
      </c>
      <c r="I36" s="6" t="s">
        <v>164</v>
      </c>
      <c r="J36" s="23" t="str">
        <f>VLOOKUP(E36,各职业基础配置!$B$9:$C$12,2,FALSE)</f>
        <v>116|117|118|4201|120</v>
      </c>
      <c r="K36" s="18" t="str">
        <f>VLOOKUP(E36,各职业基础配置!$B$15:$C$18,2,FALSE)</f>
        <v>28|29|30|31</v>
      </c>
      <c r="L36" s="18" t="str">
        <f>VLOOKUP(E36,各职业基础配置!B:C,2,FALSE)</f>
        <v>[{28,1,1},{29,1,1},{30,1,1},{31,1,1},{10,1,1},{11,1,1},{12,1,1}]</v>
      </c>
      <c r="M36" s="18">
        <v>0</v>
      </c>
      <c r="N36" s="18">
        <f t="shared" si="4"/>
        <v>3</v>
      </c>
      <c r="O36" s="18">
        <f>SUMPRODUCT(P36:AI36,Sheet2!$B$3:$U$3)</f>
        <v>758949</v>
      </c>
      <c r="P36" s="18">
        <f>CEILING(INDEX([1]系统模型!$VD:$VD,MATCH(C36,[1]系统模型!$A:$A,0))*POWER(C36/220,3.8)-50+(1000-A36),1)</f>
        <v>16145</v>
      </c>
      <c r="Q36" s="18">
        <f>CEILING(INDEX([1]系统模型!$VE:$VE,MATCH(C36,[1]系统模型!$A:$A,0))*POWER(C36/220,4),1)</f>
        <v>3346</v>
      </c>
      <c r="R36" s="18">
        <f>INT(INDEX([1]系统模型!$VF:$VF,MATCH(C36,[1]系统模型!$A:$A,0))*MAX(POWER(C36/180,4),0.5))</f>
        <v>187899</v>
      </c>
      <c r="S36" s="5">
        <v>1000</v>
      </c>
      <c r="T36" s="25">
        <v>0</v>
      </c>
      <c r="U36" s="25">
        <v>0</v>
      </c>
      <c r="V36" s="25">
        <v>0</v>
      </c>
      <c r="W36" s="25">
        <v>0</v>
      </c>
      <c r="X36" s="25">
        <f t="shared" si="5"/>
        <v>9394</v>
      </c>
      <c r="Y36" s="12">
        <v>0</v>
      </c>
      <c r="Z36" s="25">
        <v>100</v>
      </c>
      <c r="AA36" s="25">
        <v>150</v>
      </c>
      <c r="AB36" s="25">
        <v>0</v>
      </c>
      <c r="AC36" s="25">
        <v>0</v>
      </c>
      <c r="AD36" s="25">
        <v>0</v>
      </c>
      <c r="AE36" s="25">
        <f t="shared" si="6"/>
        <v>488</v>
      </c>
      <c r="AF36" s="25">
        <f t="shared" si="7"/>
        <v>488</v>
      </c>
      <c r="AG36" s="25">
        <v>0</v>
      </c>
      <c r="AH36" s="25">
        <f t="shared" si="8"/>
        <v>9550</v>
      </c>
      <c r="AI36" s="25">
        <f t="shared" si="9"/>
        <v>215</v>
      </c>
      <c r="AJ36" s="25">
        <v>1</v>
      </c>
      <c r="AK36" s="25">
        <v>1000</v>
      </c>
      <c r="AL36" s="25">
        <v>100</v>
      </c>
      <c r="AM36" s="26">
        <v>10</v>
      </c>
      <c r="AN36" s="26">
        <v>10</v>
      </c>
      <c r="AO36" s="22" t="s">
        <v>2211</v>
      </c>
      <c r="AP36" s="26">
        <v>0</v>
      </c>
      <c r="AQ36" s="26">
        <f t="shared" si="10"/>
        <v>970</v>
      </c>
      <c r="AR36" s="18" t="str">
        <f ca="1">CONCATENATE(OFFSET(Sheet1!$A$2,RANDBETWEEN(2,500),0,1,1),OFFSET(Sheet1!$A$2,RANDBETWEEN(2,500),RANDBETWEEN(1,5),1,1))</f>
        <v>白壁德</v>
      </c>
      <c r="AS36">
        <f>SUMPRODUCT(P36:AI36,Sheet2!$B$3:$U$3)</f>
        <v>758949</v>
      </c>
    </row>
    <row r="37" spans="1:45" x14ac:dyDescent="0.15">
      <c r="A37" s="23">
        <v>36</v>
      </c>
      <c r="B37" s="18" t="s">
        <v>1294</v>
      </c>
      <c r="C37" s="18">
        <f t="shared" si="0"/>
        <v>244</v>
      </c>
      <c r="D37" s="19">
        <f t="shared" si="1"/>
        <v>2</v>
      </c>
      <c r="E37" s="19">
        <f>VLOOKUP(MOD(A37,4),各职业基础配置!C$32:D$35,2,FALSE)</f>
        <v>1</v>
      </c>
      <c r="F37" s="19">
        <f>IF(A37&lt;900,INDEX(各职业基础配置!C$23:C$28,MOD(ROW(A37),4)+1),0)</f>
        <v>13</v>
      </c>
      <c r="G37" s="19">
        <f t="shared" si="2"/>
        <v>216</v>
      </c>
      <c r="H37" s="27">
        <f t="shared" si="3"/>
        <v>3</v>
      </c>
      <c r="I37" s="6" t="s">
        <v>164</v>
      </c>
      <c r="J37" s="23" t="str">
        <f>VLOOKUP(E37,各职业基础配置!$B$9:$C$12,2,FALSE)</f>
        <v>101|102|103|4201|105</v>
      </c>
      <c r="K37" s="18" t="str">
        <f>VLOOKUP(E37,各职业基础配置!$B$15:$C$18,2,FALSE)</f>
        <v>24|25|26|27</v>
      </c>
      <c r="L37" s="18" t="str">
        <f>VLOOKUP(E37,各职业基础配置!B:C,2,FALSE)</f>
        <v>[{24,1,1},{25,1,1},{26,1,1},{27,1,1},{1,1,1},{2,1,1},{3,1,1}]</v>
      </c>
      <c r="M37" s="18">
        <v>0</v>
      </c>
      <c r="N37" s="18">
        <f t="shared" si="4"/>
        <v>3</v>
      </c>
      <c r="O37" s="18">
        <f>SUMPRODUCT(P37:AI37,Sheet2!$B$3:$U$3)</f>
        <v>758924</v>
      </c>
      <c r="P37" s="18">
        <f>CEILING(INDEX([1]系统模型!$VD:$VD,MATCH(C37,[1]系统模型!$A:$A,0))*POWER(C37/220,3.8)-50+(1000-A37),1)</f>
        <v>16144</v>
      </c>
      <c r="Q37" s="18">
        <f>CEILING(INDEX([1]系统模型!$VE:$VE,MATCH(C37,[1]系统模型!$A:$A,0))*POWER(C37/220,4),1)</f>
        <v>3346</v>
      </c>
      <c r="R37" s="18">
        <f>INT(INDEX([1]系统模型!$VF:$VF,MATCH(C37,[1]系统模型!$A:$A,0))*MAX(POWER(C37/180,4),0.5))</f>
        <v>187899</v>
      </c>
      <c r="S37" s="5">
        <v>1000</v>
      </c>
      <c r="T37" s="25">
        <v>0</v>
      </c>
      <c r="U37" s="25">
        <v>0</v>
      </c>
      <c r="V37" s="25">
        <v>0</v>
      </c>
      <c r="W37" s="25">
        <v>0</v>
      </c>
      <c r="X37" s="25">
        <f t="shared" si="5"/>
        <v>9394</v>
      </c>
      <c r="Y37" s="12">
        <v>0</v>
      </c>
      <c r="Z37" s="25">
        <v>100</v>
      </c>
      <c r="AA37" s="25">
        <v>150</v>
      </c>
      <c r="AB37" s="25">
        <v>0</v>
      </c>
      <c r="AC37" s="25">
        <v>0</v>
      </c>
      <c r="AD37" s="25">
        <v>0</v>
      </c>
      <c r="AE37" s="25">
        <f t="shared" si="6"/>
        <v>488</v>
      </c>
      <c r="AF37" s="25">
        <f t="shared" si="7"/>
        <v>488</v>
      </c>
      <c r="AG37" s="25">
        <v>0</v>
      </c>
      <c r="AH37" s="25">
        <f t="shared" si="8"/>
        <v>9550</v>
      </c>
      <c r="AI37" s="25">
        <f t="shared" si="9"/>
        <v>215</v>
      </c>
      <c r="AJ37" s="25">
        <v>1</v>
      </c>
      <c r="AK37" s="25">
        <v>1000</v>
      </c>
      <c r="AL37" s="25">
        <v>100</v>
      </c>
      <c r="AM37" s="26">
        <v>10</v>
      </c>
      <c r="AN37" s="26">
        <v>10</v>
      </c>
      <c r="AO37" s="22" t="s">
        <v>2211</v>
      </c>
      <c r="AP37" s="26">
        <v>0</v>
      </c>
      <c r="AQ37" s="26">
        <f t="shared" si="10"/>
        <v>970</v>
      </c>
      <c r="AR37" s="18" t="str">
        <f ca="1">CONCATENATE(OFFSET(Sheet1!$A$2,RANDBETWEEN(2,500),0,1,1),OFFSET(Sheet1!$A$2,RANDBETWEEN(2,500),RANDBETWEEN(1,5),1,1))</f>
        <v>加布尔雷思star</v>
      </c>
      <c r="AS37">
        <f>SUMPRODUCT(P37:AI37,Sheet2!$B$3:$U$3)</f>
        <v>758924</v>
      </c>
    </row>
    <row r="38" spans="1:45" x14ac:dyDescent="0.15">
      <c r="A38" s="18">
        <v>37</v>
      </c>
      <c r="B38" s="18" t="s">
        <v>186</v>
      </c>
      <c r="C38" s="18">
        <f t="shared" si="0"/>
        <v>244</v>
      </c>
      <c r="D38" s="19">
        <f t="shared" si="1"/>
        <v>3</v>
      </c>
      <c r="E38" s="19">
        <f>VLOOKUP(MOD(A38,4),各职业基础配置!C$32:D$35,2,FALSE)</f>
        <v>3</v>
      </c>
      <c r="F38" s="19">
        <f>IF(A38&lt;900,INDEX(各职业基础配置!C$23:C$28,MOD(ROW(A38),4)+1),0)</f>
        <v>14</v>
      </c>
      <c r="G38" s="19">
        <f t="shared" si="2"/>
        <v>216</v>
      </c>
      <c r="H38" s="27">
        <f t="shared" si="3"/>
        <v>3</v>
      </c>
      <c r="I38" s="6" t="s">
        <v>164</v>
      </c>
      <c r="J38" s="23" t="str">
        <f>VLOOKUP(E38,各职业基础配置!$B$9:$C$12,2,FALSE)</f>
        <v>106|107|108|4201|110</v>
      </c>
      <c r="K38" s="18" t="str">
        <f>VLOOKUP(E38,各职业基础配置!$B$15:$C$18,2,FALSE)</f>
        <v>20|21|22|23</v>
      </c>
      <c r="L38" s="18" t="str">
        <f>VLOOKUP(E38,各职业基础配置!B:C,2,FALSE)</f>
        <v>[{20,1,1},{21,1,1},{22,1,1},{23,1,1},{4,1,1},{5,1,1},{6,1,1}]</v>
      </c>
      <c r="M38" s="18">
        <v>0</v>
      </c>
      <c r="N38" s="18">
        <f t="shared" si="4"/>
        <v>7</v>
      </c>
      <c r="O38" s="18">
        <f>SUMPRODUCT(P38:AI38,Sheet2!$B$3:$U$3)</f>
        <v>758899</v>
      </c>
      <c r="P38" s="18">
        <f>CEILING(INDEX([1]系统模型!$VD:$VD,MATCH(C38,[1]系统模型!$A:$A,0))*POWER(C38/220,3.8)-50+(1000-A38),1)</f>
        <v>16143</v>
      </c>
      <c r="Q38" s="18">
        <f>CEILING(INDEX([1]系统模型!$VE:$VE,MATCH(C38,[1]系统模型!$A:$A,0))*POWER(C38/220,4),1)</f>
        <v>3346</v>
      </c>
      <c r="R38" s="18">
        <f>INT(INDEX([1]系统模型!$VF:$VF,MATCH(C38,[1]系统模型!$A:$A,0))*MAX(POWER(C38/180,4),0.5))</f>
        <v>187899</v>
      </c>
      <c r="S38" s="5">
        <v>1000</v>
      </c>
      <c r="T38" s="25">
        <v>0</v>
      </c>
      <c r="U38" s="25">
        <v>0</v>
      </c>
      <c r="V38" s="25">
        <v>0</v>
      </c>
      <c r="W38" s="25">
        <v>0</v>
      </c>
      <c r="X38" s="25">
        <f t="shared" si="5"/>
        <v>9394</v>
      </c>
      <c r="Y38" s="12">
        <v>0</v>
      </c>
      <c r="Z38" s="25">
        <v>100</v>
      </c>
      <c r="AA38" s="25">
        <v>150</v>
      </c>
      <c r="AB38" s="25">
        <v>0</v>
      </c>
      <c r="AC38" s="25">
        <v>0</v>
      </c>
      <c r="AD38" s="25">
        <v>0</v>
      </c>
      <c r="AE38" s="25">
        <f t="shared" si="6"/>
        <v>488</v>
      </c>
      <c r="AF38" s="25">
        <f t="shared" si="7"/>
        <v>488</v>
      </c>
      <c r="AG38" s="25">
        <v>0</v>
      </c>
      <c r="AH38" s="25">
        <f t="shared" si="8"/>
        <v>9550</v>
      </c>
      <c r="AI38" s="25">
        <f t="shared" si="9"/>
        <v>215</v>
      </c>
      <c r="AJ38" s="25">
        <v>1</v>
      </c>
      <c r="AK38" s="25">
        <v>1000</v>
      </c>
      <c r="AL38" s="25">
        <v>100</v>
      </c>
      <c r="AM38" s="26">
        <v>10</v>
      </c>
      <c r="AN38" s="26">
        <v>10</v>
      </c>
      <c r="AO38" s="22" t="s">
        <v>2211</v>
      </c>
      <c r="AP38" s="26">
        <v>0</v>
      </c>
      <c r="AQ38" s="26">
        <f t="shared" si="10"/>
        <v>970</v>
      </c>
      <c r="AR38" s="18" t="str">
        <f ca="1">CONCATENATE(OFFSET(Sheet1!$A$2,RANDBETWEEN(2,500),0,1,1),OFFSET(Sheet1!$A$2,RANDBETWEEN(2,500),RANDBETWEEN(1,5),1,1))</f>
        <v>克莱尔</v>
      </c>
      <c r="AS38">
        <f>SUMPRODUCT(P38:AI38,Sheet2!$B$3:$U$3)</f>
        <v>758899</v>
      </c>
    </row>
    <row r="39" spans="1:45" x14ac:dyDescent="0.15">
      <c r="A39" s="18">
        <v>38</v>
      </c>
      <c r="B39" s="18" t="s">
        <v>207</v>
      </c>
      <c r="C39" s="18">
        <f t="shared" si="0"/>
        <v>244</v>
      </c>
      <c r="D39" s="19">
        <f t="shared" si="1"/>
        <v>2</v>
      </c>
      <c r="E39" s="19">
        <f>VLOOKUP(MOD(A39,4),各职业基础配置!C$32:D$35,2,FALSE)</f>
        <v>6</v>
      </c>
      <c r="F39" s="19">
        <f>IF(A39&lt;900,INDEX(各职业基础配置!C$23:C$28,MOD(ROW(A39),4)+1),0)</f>
        <v>16</v>
      </c>
      <c r="G39" s="19">
        <f t="shared" si="2"/>
        <v>216</v>
      </c>
      <c r="H39" s="27">
        <f t="shared" si="3"/>
        <v>3</v>
      </c>
      <c r="I39" s="6" t="s">
        <v>164</v>
      </c>
      <c r="J39" s="23" t="str">
        <f>VLOOKUP(E39,各职业基础配置!$B$9:$C$12,2,FALSE)</f>
        <v>111|112|113|4201|115</v>
      </c>
      <c r="K39" s="18" t="str">
        <f>VLOOKUP(E39,各职业基础配置!$B$15:$C$18,2,FALSE)</f>
        <v>32|33|34</v>
      </c>
      <c r="L39" s="18" t="str">
        <f>VLOOKUP(E39,各职业基础配置!B:C,2,FALSE)</f>
        <v>[{32,1,1},{33,1,1},{34,1,1},{35,1,1},{7,1,1},{8,1,1},{9,1,1}]</v>
      </c>
      <c r="M39" s="18">
        <v>0</v>
      </c>
      <c r="N39" s="18">
        <f t="shared" si="4"/>
        <v>7</v>
      </c>
      <c r="O39" s="18">
        <f>SUMPRODUCT(P39:AI39,Sheet2!$B$3:$U$3)</f>
        <v>758874</v>
      </c>
      <c r="P39" s="18">
        <f>CEILING(INDEX([1]系统模型!$VD:$VD,MATCH(C39,[1]系统模型!$A:$A,0))*POWER(C39/220,3.8)-50+(1000-A39),1)</f>
        <v>16142</v>
      </c>
      <c r="Q39" s="18">
        <f>CEILING(INDEX([1]系统模型!$VE:$VE,MATCH(C39,[1]系统模型!$A:$A,0))*POWER(C39/220,4),1)</f>
        <v>3346</v>
      </c>
      <c r="R39" s="18">
        <f>INT(INDEX([1]系统模型!$VF:$VF,MATCH(C39,[1]系统模型!$A:$A,0))*MAX(POWER(C39/180,4),0.5))</f>
        <v>187899</v>
      </c>
      <c r="S39" s="5">
        <v>1000</v>
      </c>
      <c r="T39" s="25">
        <v>0</v>
      </c>
      <c r="U39" s="25">
        <v>0</v>
      </c>
      <c r="V39" s="25">
        <v>0</v>
      </c>
      <c r="W39" s="25">
        <v>0</v>
      </c>
      <c r="X39" s="25">
        <f t="shared" si="5"/>
        <v>9394</v>
      </c>
      <c r="Y39" s="12">
        <v>0</v>
      </c>
      <c r="Z39" s="25">
        <v>100</v>
      </c>
      <c r="AA39" s="25">
        <v>150</v>
      </c>
      <c r="AB39" s="25">
        <v>0</v>
      </c>
      <c r="AC39" s="25">
        <v>0</v>
      </c>
      <c r="AD39" s="25">
        <v>0</v>
      </c>
      <c r="AE39" s="25">
        <f t="shared" si="6"/>
        <v>488</v>
      </c>
      <c r="AF39" s="25">
        <f t="shared" si="7"/>
        <v>488</v>
      </c>
      <c r="AG39" s="25">
        <v>0</v>
      </c>
      <c r="AH39" s="25">
        <f t="shared" si="8"/>
        <v>9550</v>
      </c>
      <c r="AI39" s="25">
        <f t="shared" si="9"/>
        <v>215</v>
      </c>
      <c r="AJ39" s="25">
        <v>1</v>
      </c>
      <c r="AK39" s="25">
        <v>1000</v>
      </c>
      <c r="AL39" s="25">
        <v>100</v>
      </c>
      <c r="AM39" s="26">
        <v>10</v>
      </c>
      <c r="AN39" s="26">
        <v>10</v>
      </c>
      <c r="AO39" s="22" t="s">
        <v>2211</v>
      </c>
      <c r="AP39" s="26">
        <v>0</v>
      </c>
      <c r="AQ39" s="26">
        <f t="shared" si="10"/>
        <v>970</v>
      </c>
      <c r="AR39" s="18" t="str">
        <f ca="1">CONCATENATE(OFFSET(Sheet1!$A$2,RANDBETWEEN(2,500),0,1,1),OFFSET(Sheet1!$A$2,RANDBETWEEN(2,500),RANDBETWEEN(1,5),1,1))</f>
        <v>克罗夫特</v>
      </c>
      <c r="AS39">
        <f>SUMPRODUCT(P39:AI39,Sheet2!$B$3:$U$3)</f>
        <v>758874</v>
      </c>
    </row>
    <row r="40" spans="1:45" x14ac:dyDescent="0.15">
      <c r="A40" s="23">
        <v>39</v>
      </c>
      <c r="B40" s="18" t="s">
        <v>1186</v>
      </c>
      <c r="C40" s="18">
        <f t="shared" si="0"/>
        <v>244</v>
      </c>
      <c r="D40" s="19">
        <f t="shared" si="1"/>
        <v>3</v>
      </c>
      <c r="E40" s="19">
        <f>VLOOKUP(MOD(A40,4),各职业基础配置!C$32:D$35,2,FALSE)</f>
        <v>9</v>
      </c>
      <c r="F40" s="19">
        <f>IF(A40&lt;900,INDEX(各职业基础配置!C$23:C$28,MOD(ROW(A40),4)+1),0)</f>
        <v>8</v>
      </c>
      <c r="G40" s="19">
        <f t="shared" si="2"/>
        <v>216</v>
      </c>
      <c r="H40" s="27">
        <f t="shared" si="3"/>
        <v>3</v>
      </c>
      <c r="I40" s="6" t="s">
        <v>164</v>
      </c>
      <c r="J40" s="23" t="str">
        <f>VLOOKUP(E40,各职业基础配置!$B$9:$C$12,2,FALSE)</f>
        <v>116|117|118|4201|120</v>
      </c>
      <c r="K40" s="18" t="str">
        <f>VLOOKUP(E40,各职业基础配置!$B$15:$C$18,2,FALSE)</f>
        <v>28|29|30|31</v>
      </c>
      <c r="L40" s="18" t="str">
        <f>VLOOKUP(E40,各职业基础配置!B:C,2,FALSE)</f>
        <v>[{28,1,1},{29,1,1},{30,1,1},{31,1,1},{10,1,1},{11,1,1},{12,1,1}]</v>
      </c>
      <c r="M40" s="18">
        <v>0</v>
      </c>
      <c r="N40" s="18">
        <f t="shared" si="4"/>
        <v>3</v>
      </c>
      <c r="O40" s="18">
        <f>SUMPRODUCT(P40:AI40,Sheet2!$B$3:$U$3)</f>
        <v>758849</v>
      </c>
      <c r="P40" s="18">
        <f>CEILING(INDEX([1]系统模型!$VD:$VD,MATCH(C40,[1]系统模型!$A:$A,0))*POWER(C40/220,3.8)-50+(1000-A40),1)</f>
        <v>16141</v>
      </c>
      <c r="Q40" s="18">
        <f>CEILING(INDEX([1]系统模型!$VE:$VE,MATCH(C40,[1]系统模型!$A:$A,0))*POWER(C40/220,4),1)</f>
        <v>3346</v>
      </c>
      <c r="R40" s="18">
        <f>INT(INDEX([1]系统模型!$VF:$VF,MATCH(C40,[1]系统模型!$A:$A,0))*MAX(POWER(C40/180,4),0.5))</f>
        <v>187899</v>
      </c>
      <c r="S40" s="5">
        <v>1000</v>
      </c>
      <c r="T40" s="25">
        <v>0</v>
      </c>
      <c r="U40" s="25">
        <v>0</v>
      </c>
      <c r="V40" s="25">
        <v>0</v>
      </c>
      <c r="W40" s="25">
        <v>0</v>
      </c>
      <c r="X40" s="25">
        <f t="shared" si="5"/>
        <v>9394</v>
      </c>
      <c r="Y40" s="12">
        <v>0</v>
      </c>
      <c r="Z40" s="25">
        <v>100</v>
      </c>
      <c r="AA40" s="25">
        <v>150</v>
      </c>
      <c r="AB40" s="25">
        <v>0</v>
      </c>
      <c r="AC40" s="25">
        <v>0</v>
      </c>
      <c r="AD40" s="25">
        <v>0</v>
      </c>
      <c r="AE40" s="25">
        <f t="shared" si="6"/>
        <v>488</v>
      </c>
      <c r="AF40" s="25">
        <f t="shared" si="7"/>
        <v>488</v>
      </c>
      <c r="AG40" s="25">
        <v>0</v>
      </c>
      <c r="AH40" s="25">
        <f t="shared" si="8"/>
        <v>9550</v>
      </c>
      <c r="AI40" s="25">
        <f t="shared" si="9"/>
        <v>215</v>
      </c>
      <c r="AJ40" s="25">
        <v>1</v>
      </c>
      <c r="AK40" s="25">
        <v>1000</v>
      </c>
      <c r="AL40" s="25">
        <v>100</v>
      </c>
      <c r="AM40" s="26">
        <v>10</v>
      </c>
      <c r="AN40" s="26">
        <v>10</v>
      </c>
      <c r="AO40" s="22" t="s">
        <v>2211</v>
      </c>
      <c r="AP40" s="26">
        <v>0</v>
      </c>
      <c r="AQ40" s="26">
        <f t="shared" si="10"/>
        <v>970</v>
      </c>
      <c r="AR40" s="18" t="str">
        <f ca="1">CONCATENATE(OFFSET(Sheet1!$A$2,RANDBETWEEN(2,500),0,1,1),OFFSET(Sheet1!$A$2,RANDBETWEEN(2,500),RANDBETWEEN(1,5),1,1))</f>
        <v>坎普米歇尔</v>
      </c>
      <c r="AS40">
        <f>SUMPRODUCT(P40:AI40,Sheet2!$B$3:$U$3)</f>
        <v>758849</v>
      </c>
    </row>
    <row r="41" spans="1:45" x14ac:dyDescent="0.15">
      <c r="A41" s="18">
        <v>40</v>
      </c>
      <c r="B41" s="18" t="s">
        <v>552</v>
      </c>
      <c r="C41" s="18">
        <f t="shared" si="0"/>
        <v>244</v>
      </c>
      <c r="D41" s="19">
        <f t="shared" si="1"/>
        <v>2</v>
      </c>
      <c r="E41" s="19">
        <f>VLOOKUP(MOD(A41,4),各职业基础配置!C$32:D$35,2,FALSE)</f>
        <v>1</v>
      </c>
      <c r="F41" s="19">
        <f>IF(A41&lt;900,INDEX(各职业基础配置!C$23:C$28,MOD(ROW(A41),4)+1),0)</f>
        <v>13</v>
      </c>
      <c r="G41" s="19">
        <f t="shared" si="2"/>
        <v>216</v>
      </c>
      <c r="H41" s="27">
        <f t="shared" si="3"/>
        <v>3</v>
      </c>
      <c r="I41" s="6" t="s">
        <v>164</v>
      </c>
      <c r="J41" s="23" t="str">
        <f>VLOOKUP(E41,各职业基础配置!$B$9:$C$12,2,FALSE)</f>
        <v>101|102|103|4201|105</v>
      </c>
      <c r="K41" s="18" t="str">
        <f>VLOOKUP(E41,各职业基础配置!$B$15:$C$18,2,FALSE)</f>
        <v>24|25|26|27</v>
      </c>
      <c r="L41" s="18" t="str">
        <f>VLOOKUP(E41,各职业基础配置!B:C,2,FALSE)</f>
        <v>[{24,1,1},{25,1,1},{26,1,1},{27,1,1},{1,1,1},{2,1,1},{3,1,1}]</v>
      </c>
      <c r="M41" s="18">
        <v>0</v>
      </c>
      <c r="N41" s="18">
        <f t="shared" si="4"/>
        <v>3</v>
      </c>
      <c r="O41" s="18">
        <f>SUMPRODUCT(P41:AI41,Sheet2!$B$3:$U$3)</f>
        <v>758824</v>
      </c>
      <c r="P41" s="18">
        <f>CEILING(INDEX([1]系统模型!$VD:$VD,MATCH(C41,[1]系统模型!$A:$A,0))*POWER(C41/220,3.8)-50+(1000-A41),1)</f>
        <v>16140</v>
      </c>
      <c r="Q41" s="18">
        <f>CEILING(INDEX([1]系统模型!$VE:$VE,MATCH(C41,[1]系统模型!$A:$A,0))*POWER(C41/220,4),1)</f>
        <v>3346</v>
      </c>
      <c r="R41" s="18">
        <f>INT(INDEX([1]系统模型!$VF:$VF,MATCH(C41,[1]系统模型!$A:$A,0))*MAX(POWER(C41/180,4),0.5))</f>
        <v>187899</v>
      </c>
      <c r="S41" s="5">
        <v>1000</v>
      </c>
      <c r="T41" s="25">
        <v>0</v>
      </c>
      <c r="U41" s="25">
        <v>0</v>
      </c>
      <c r="V41" s="25">
        <v>0</v>
      </c>
      <c r="W41" s="25">
        <v>0</v>
      </c>
      <c r="X41" s="25">
        <f t="shared" si="5"/>
        <v>9394</v>
      </c>
      <c r="Y41" s="12">
        <v>0</v>
      </c>
      <c r="Z41" s="25">
        <v>100</v>
      </c>
      <c r="AA41" s="25">
        <v>150</v>
      </c>
      <c r="AB41" s="25">
        <v>0</v>
      </c>
      <c r="AC41" s="25">
        <v>0</v>
      </c>
      <c r="AD41" s="25">
        <v>0</v>
      </c>
      <c r="AE41" s="25">
        <f t="shared" si="6"/>
        <v>488</v>
      </c>
      <c r="AF41" s="25">
        <f t="shared" si="7"/>
        <v>488</v>
      </c>
      <c r="AG41" s="25">
        <v>0</v>
      </c>
      <c r="AH41" s="25">
        <f t="shared" si="8"/>
        <v>9550</v>
      </c>
      <c r="AI41" s="25">
        <f t="shared" si="9"/>
        <v>215</v>
      </c>
      <c r="AJ41" s="25">
        <v>1</v>
      </c>
      <c r="AK41" s="25">
        <v>1000</v>
      </c>
      <c r="AL41" s="25">
        <v>100</v>
      </c>
      <c r="AM41" s="26">
        <v>10</v>
      </c>
      <c r="AN41" s="26">
        <v>10</v>
      </c>
      <c r="AO41" s="22" t="s">
        <v>2211</v>
      </c>
      <c r="AP41" s="26">
        <v>0</v>
      </c>
      <c r="AQ41" s="26">
        <f t="shared" si="10"/>
        <v>960</v>
      </c>
      <c r="AR41" s="18" t="str">
        <f ca="1">CONCATENATE(OFFSET(Sheet1!$A$2,RANDBETWEEN(2,500),0,1,1),OFFSET(Sheet1!$A$2,RANDBETWEEN(2,500),RANDBETWEEN(1,5),1,1))</f>
        <v>乔布莉娜</v>
      </c>
      <c r="AS41">
        <f>SUMPRODUCT(P41:AI41,Sheet2!$B$3:$U$3)</f>
        <v>758824</v>
      </c>
    </row>
    <row r="42" spans="1:45" x14ac:dyDescent="0.15">
      <c r="A42" s="18">
        <v>41</v>
      </c>
      <c r="B42" s="18" t="s">
        <v>1850</v>
      </c>
      <c r="C42" s="18">
        <f t="shared" si="0"/>
        <v>243</v>
      </c>
      <c r="D42" s="19">
        <f t="shared" si="1"/>
        <v>3</v>
      </c>
      <c r="E42" s="19">
        <f>VLOOKUP(MOD(A42,4),各职业基础配置!C$32:D$35,2,FALSE)</f>
        <v>3</v>
      </c>
      <c r="F42" s="19">
        <f>IF(A42&lt;900,INDEX(各职业基础配置!C$23:C$28,MOD(ROW(A42),4)+1),0)</f>
        <v>14</v>
      </c>
      <c r="G42" s="19">
        <f t="shared" si="2"/>
        <v>210</v>
      </c>
      <c r="H42" s="27">
        <f t="shared" si="3"/>
        <v>3</v>
      </c>
      <c r="I42" s="6" t="s">
        <v>164</v>
      </c>
      <c r="J42" s="23" t="str">
        <f>VLOOKUP(E42,各职业基础配置!$B$9:$C$12,2,FALSE)</f>
        <v>106|107|108|4201|110</v>
      </c>
      <c r="K42" s="18" t="str">
        <f>VLOOKUP(E42,各职业基础配置!$B$15:$C$18,2,FALSE)</f>
        <v>20|21|22|23</v>
      </c>
      <c r="L42" s="18" t="str">
        <f>VLOOKUP(E42,各职业基础配置!B:C,2,FALSE)</f>
        <v>[{20,1,1},{21,1,1},{22,1,1},{23,1,1},{4,1,1},{5,1,1},{6,1,1}]</v>
      </c>
      <c r="M42" s="18">
        <v>0</v>
      </c>
      <c r="N42" s="18">
        <f t="shared" si="4"/>
        <v>7</v>
      </c>
      <c r="O42" s="18">
        <f>SUMPRODUCT(P42:AI42,Sheet2!$B$3:$U$3)</f>
        <v>743480</v>
      </c>
      <c r="P42" s="18">
        <f>CEILING(INDEX([1]系统模型!$VD:$VD,MATCH(C42,[1]系统模型!$A:$A,0))*POWER(C42/220,3.8)-50+(1000-A42),1)</f>
        <v>15829</v>
      </c>
      <c r="Q42" s="18">
        <f>CEILING(INDEX([1]系统模型!$VE:$VE,MATCH(C42,[1]系统模型!$A:$A,0))*POWER(C42/220,4),1)</f>
        <v>3247</v>
      </c>
      <c r="R42" s="18">
        <f>INT(INDEX([1]系统模型!$VF:$VF,MATCH(C42,[1]系统模型!$A:$A,0))*MAX(POWER(C42/180,4),0.5))</f>
        <v>183380</v>
      </c>
      <c r="S42" s="5">
        <v>1000</v>
      </c>
      <c r="T42" s="25">
        <v>0</v>
      </c>
      <c r="U42" s="25">
        <v>0</v>
      </c>
      <c r="V42" s="25">
        <v>0</v>
      </c>
      <c r="W42" s="25">
        <v>0</v>
      </c>
      <c r="X42" s="25">
        <f t="shared" si="5"/>
        <v>9169</v>
      </c>
      <c r="Y42" s="12">
        <v>0</v>
      </c>
      <c r="Z42" s="25">
        <v>100</v>
      </c>
      <c r="AA42" s="25">
        <v>150</v>
      </c>
      <c r="AB42" s="25">
        <v>0</v>
      </c>
      <c r="AC42" s="25">
        <v>0</v>
      </c>
      <c r="AD42" s="25">
        <v>0</v>
      </c>
      <c r="AE42" s="25">
        <f t="shared" si="6"/>
        <v>486</v>
      </c>
      <c r="AF42" s="25">
        <f t="shared" si="7"/>
        <v>486</v>
      </c>
      <c r="AG42" s="25">
        <v>0</v>
      </c>
      <c r="AH42" s="25">
        <f t="shared" si="8"/>
        <v>9475</v>
      </c>
      <c r="AI42" s="25">
        <f t="shared" si="9"/>
        <v>211</v>
      </c>
      <c r="AJ42" s="25">
        <v>1</v>
      </c>
      <c r="AK42" s="25">
        <v>1000</v>
      </c>
      <c r="AL42" s="25">
        <v>100</v>
      </c>
      <c r="AM42" s="26">
        <v>10</v>
      </c>
      <c r="AN42" s="26">
        <v>10</v>
      </c>
      <c r="AO42" s="22" t="s">
        <v>2211</v>
      </c>
      <c r="AP42" s="26">
        <v>0</v>
      </c>
      <c r="AQ42" s="26">
        <f t="shared" si="10"/>
        <v>960</v>
      </c>
      <c r="AR42" s="18" t="str">
        <f ca="1">CONCATENATE(OFFSET(Sheet1!$A$2,RANDBETWEEN(2,500),0,1,1),OFFSET(Sheet1!$A$2,RANDBETWEEN(2,500),RANDBETWEEN(1,5),1,1))</f>
        <v>法拉第</v>
      </c>
      <c r="AS42">
        <f>SUMPRODUCT(P42:AI42,Sheet2!$B$3:$U$3)</f>
        <v>743480</v>
      </c>
    </row>
    <row r="43" spans="1:45" x14ac:dyDescent="0.15">
      <c r="A43" s="23">
        <v>42</v>
      </c>
      <c r="B43" s="18" t="s">
        <v>580</v>
      </c>
      <c r="C43" s="18">
        <f t="shared" si="0"/>
        <v>243</v>
      </c>
      <c r="D43" s="19">
        <f t="shared" si="1"/>
        <v>2</v>
      </c>
      <c r="E43" s="19">
        <f>VLOOKUP(MOD(A43,4),各职业基础配置!C$32:D$35,2,FALSE)</f>
        <v>6</v>
      </c>
      <c r="F43" s="19">
        <f>IF(A43&lt;900,INDEX(各职业基础配置!C$23:C$28,MOD(ROW(A43),4)+1),0)</f>
        <v>16</v>
      </c>
      <c r="G43" s="19">
        <f t="shared" si="2"/>
        <v>210</v>
      </c>
      <c r="H43" s="27">
        <f t="shared" si="3"/>
        <v>3</v>
      </c>
      <c r="I43" s="6" t="s">
        <v>164</v>
      </c>
      <c r="J43" s="23" t="str">
        <f>VLOOKUP(E43,各职业基础配置!$B$9:$C$12,2,FALSE)</f>
        <v>111|112|113|4201|115</v>
      </c>
      <c r="K43" s="18" t="str">
        <f>VLOOKUP(E43,各职业基础配置!$B$15:$C$18,2,FALSE)</f>
        <v>32|33|34</v>
      </c>
      <c r="L43" s="18" t="str">
        <f>VLOOKUP(E43,各职业基础配置!B:C,2,FALSE)</f>
        <v>[{32,1,1},{33,1,1},{34,1,1},{35,1,1},{7,1,1},{8,1,1},{9,1,1}]</v>
      </c>
      <c r="M43" s="18">
        <v>0</v>
      </c>
      <c r="N43" s="18">
        <f t="shared" si="4"/>
        <v>7</v>
      </c>
      <c r="O43" s="18">
        <f>SUMPRODUCT(P43:AI43,Sheet2!$B$3:$U$3)</f>
        <v>743455</v>
      </c>
      <c r="P43" s="18">
        <f>CEILING(INDEX([1]系统模型!$VD:$VD,MATCH(C43,[1]系统模型!$A:$A,0))*POWER(C43/220,3.8)-50+(1000-A43),1)</f>
        <v>15828</v>
      </c>
      <c r="Q43" s="18">
        <f>CEILING(INDEX([1]系统模型!$VE:$VE,MATCH(C43,[1]系统模型!$A:$A,0))*POWER(C43/220,4),1)</f>
        <v>3247</v>
      </c>
      <c r="R43" s="18">
        <f>INT(INDEX([1]系统模型!$VF:$VF,MATCH(C43,[1]系统模型!$A:$A,0))*MAX(POWER(C43/180,4),0.5))</f>
        <v>183380</v>
      </c>
      <c r="S43" s="5">
        <v>1000</v>
      </c>
      <c r="T43" s="25">
        <v>0</v>
      </c>
      <c r="U43" s="25">
        <v>0</v>
      </c>
      <c r="V43" s="25">
        <v>0</v>
      </c>
      <c r="W43" s="25">
        <v>0</v>
      </c>
      <c r="X43" s="25">
        <f t="shared" si="5"/>
        <v>9169</v>
      </c>
      <c r="Y43" s="12">
        <v>0</v>
      </c>
      <c r="Z43" s="25">
        <v>100</v>
      </c>
      <c r="AA43" s="25">
        <v>150</v>
      </c>
      <c r="AB43" s="25">
        <v>0</v>
      </c>
      <c r="AC43" s="25">
        <v>0</v>
      </c>
      <c r="AD43" s="25">
        <v>0</v>
      </c>
      <c r="AE43" s="25">
        <f t="shared" si="6"/>
        <v>486</v>
      </c>
      <c r="AF43" s="25">
        <f t="shared" si="7"/>
        <v>486</v>
      </c>
      <c r="AG43" s="25">
        <v>0</v>
      </c>
      <c r="AH43" s="25">
        <f t="shared" si="8"/>
        <v>9475</v>
      </c>
      <c r="AI43" s="25">
        <f t="shared" si="9"/>
        <v>211</v>
      </c>
      <c r="AJ43" s="25">
        <v>1</v>
      </c>
      <c r="AK43" s="25">
        <v>1000</v>
      </c>
      <c r="AL43" s="25">
        <v>100</v>
      </c>
      <c r="AM43" s="26">
        <v>10</v>
      </c>
      <c r="AN43" s="26">
        <v>10</v>
      </c>
      <c r="AO43" s="22" t="s">
        <v>2211</v>
      </c>
      <c r="AP43" s="26">
        <v>0</v>
      </c>
      <c r="AQ43" s="26">
        <f t="shared" si="10"/>
        <v>960</v>
      </c>
      <c r="AR43" s="18" t="str">
        <f ca="1">CONCATENATE(OFFSET(Sheet1!$A$2,RANDBETWEEN(2,500),0,1,1),OFFSET(Sheet1!$A$2,RANDBETWEEN(2,500),RANDBETWEEN(1,5),1,1))</f>
        <v>格雷</v>
      </c>
      <c r="AS43">
        <f>SUMPRODUCT(P43:AI43,Sheet2!$B$3:$U$3)</f>
        <v>743455</v>
      </c>
    </row>
    <row r="44" spans="1:45" x14ac:dyDescent="0.15">
      <c r="A44" s="18">
        <v>43</v>
      </c>
      <c r="B44" s="18" t="s">
        <v>845</v>
      </c>
      <c r="C44" s="18">
        <f t="shared" si="0"/>
        <v>243</v>
      </c>
      <c r="D44" s="19">
        <f t="shared" si="1"/>
        <v>3</v>
      </c>
      <c r="E44" s="19">
        <f>VLOOKUP(MOD(A44,4),各职业基础配置!C$32:D$35,2,FALSE)</f>
        <v>9</v>
      </c>
      <c r="F44" s="19">
        <f>IF(A44&lt;900,INDEX(各职业基础配置!C$23:C$28,MOD(ROW(A44),4)+1),0)</f>
        <v>8</v>
      </c>
      <c r="G44" s="19">
        <f t="shared" si="2"/>
        <v>210</v>
      </c>
      <c r="H44" s="27">
        <f t="shared" si="3"/>
        <v>3</v>
      </c>
      <c r="I44" s="6" t="s">
        <v>164</v>
      </c>
      <c r="J44" s="23" t="str">
        <f>VLOOKUP(E44,各职业基础配置!$B$9:$C$12,2,FALSE)</f>
        <v>116|117|118|4201|120</v>
      </c>
      <c r="K44" s="18" t="str">
        <f>VLOOKUP(E44,各职业基础配置!$B$15:$C$18,2,FALSE)</f>
        <v>28|29|30|31</v>
      </c>
      <c r="L44" s="18" t="str">
        <f>VLOOKUP(E44,各职业基础配置!B:C,2,FALSE)</f>
        <v>[{28,1,1},{29,1,1},{30,1,1},{31,1,1},{10,1,1},{11,1,1},{12,1,1}]</v>
      </c>
      <c r="M44" s="18">
        <v>0</v>
      </c>
      <c r="N44" s="18">
        <f t="shared" si="4"/>
        <v>3</v>
      </c>
      <c r="O44" s="18">
        <f>SUMPRODUCT(P44:AI44,Sheet2!$B$3:$U$3)</f>
        <v>743430</v>
      </c>
      <c r="P44" s="18">
        <f>CEILING(INDEX([1]系统模型!$VD:$VD,MATCH(C44,[1]系统模型!$A:$A,0))*POWER(C44/220,3.8)-50+(1000-A44),1)</f>
        <v>15827</v>
      </c>
      <c r="Q44" s="18">
        <f>CEILING(INDEX([1]系统模型!$VE:$VE,MATCH(C44,[1]系统模型!$A:$A,0))*POWER(C44/220,4),1)</f>
        <v>3247</v>
      </c>
      <c r="R44" s="18">
        <f>INT(INDEX([1]系统模型!$VF:$VF,MATCH(C44,[1]系统模型!$A:$A,0))*MAX(POWER(C44/180,4),0.5))</f>
        <v>183380</v>
      </c>
      <c r="S44" s="5">
        <v>1000</v>
      </c>
      <c r="T44" s="25">
        <v>0</v>
      </c>
      <c r="U44" s="25">
        <v>0</v>
      </c>
      <c r="V44" s="25">
        <v>0</v>
      </c>
      <c r="W44" s="25">
        <v>0</v>
      </c>
      <c r="X44" s="25">
        <f t="shared" si="5"/>
        <v>9169</v>
      </c>
      <c r="Y44" s="12">
        <v>0</v>
      </c>
      <c r="Z44" s="25">
        <v>100</v>
      </c>
      <c r="AA44" s="25">
        <v>150</v>
      </c>
      <c r="AB44" s="25">
        <v>0</v>
      </c>
      <c r="AC44" s="25">
        <v>0</v>
      </c>
      <c r="AD44" s="25">
        <v>0</v>
      </c>
      <c r="AE44" s="25">
        <f t="shared" si="6"/>
        <v>486</v>
      </c>
      <c r="AF44" s="25">
        <f t="shared" si="7"/>
        <v>486</v>
      </c>
      <c r="AG44" s="25">
        <v>0</v>
      </c>
      <c r="AH44" s="25">
        <f t="shared" si="8"/>
        <v>9475</v>
      </c>
      <c r="AI44" s="25">
        <f t="shared" si="9"/>
        <v>211</v>
      </c>
      <c r="AJ44" s="25">
        <v>1</v>
      </c>
      <c r="AK44" s="25">
        <v>1000</v>
      </c>
      <c r="AL44" s="25">
        <v>100</v>
      </c>
      <c r="AM44" s="26">
        <v>10</v>
      </c>
      <c r="AN44" s="26">
        <v>10</v>
      </c>
      <c r="AO44" s="22" t="s">
        <v>2211</v>
      </c>
      <c r="AP44" s="26">
        <v>0</v>
      </c>
      <c r="AQ44" s="26">
        <f t="shared" si="10"/>
        <v>960</v>
      </c>
      <c r="AR44" s="18" t="str">
        <f ca="1">CONCATENATE(OFFSET(Sheet1!$A$2,RANDBETWEEN(2,500),0,1,1),OFFSET(Sheet1!$A$2,RANDBETWEEN(2,500),RANDBETWEEN(1,5),1,1))</f>
        <v>柯林斯诺维雅</v>
      </c>
      <c r="AS44">
        <f>SUMPRODUCT(P44:AI44,Sheet2!$B$3:$U$3)</f>
        <v>743430</v>
      </c>
    </row>
    <row r="45" spans="1:45" x14ac:dyDescent="0.15">
      <c r="A45" s="18">
        <v>44</v>
      </c>
      <c r="B45" s="18" t="s">
        <v>351</v>
      </c>
      <c r="C45" s="18">
        <f t="shared" si="0"/>
        <v>243</v>
      </c>
      <c r="D45" s="19">
        <f t="shared" si="1"/>
        <v>2</v>
      </c>
      <c r="E45" s="19">
        <f>VLOOKUP(MOD(A45,4),各职业基础配置!C$32:D$35,2,FALSE)</f>
        <v>1</v>
      </c>
      <c r="F45" s="19">
        <f>IF(A45&lt;900,INDEX(各职业基础配置!C$23:C$28,MOD(ROW(A45),4)+1),0)</f>
        <v>13</v>
      </c>
      <c r="G45" s="19">
        <f t="shared" si="2"/>
        <v>210</v>
      </c>
      <c r="H45" s="27">
        <f t="shared" si="3"/>
        <v>3</v>
      </c>
      <c r="I45" s="6" t="s">
        <v>164</v>
      </c>
      <c r="J45" s="23" t="str">
        <f>VLOOKUP(E45,各职业基础配置!$B$9:$C$12,2,FALSE)</f>
        <v>101|102|103|4201|105</v>
      </c>
      <c r="K45" s="18" t="str">
        <f>VLOOKUP(E45,各职业基础配置!$B$15:$C$18,2,FALSE)</f>
        <v>24|25|26|27</v>
      </c>
      <c r="L45" s="18" t="str">
        <f>VLOOKUP(E45,各职业基础配置!B:C,2,FALSE)</f>
        <v>[{24,1,1},{25,1,1},{26,1,1},{27,1,1},{1,1,1},{2,1,1},{3,1,1}]</v>
      </c>
      <c r="M45" s="18">
        <v>0</v>
      </c>
      <c r="N45" s="18">
        <f t="shared" si="4"/>
        <v>3</v>
      </c>
      <c r="O45" s="18">
        <f>SUMPRODUCT(P45:AI45,Sheet2!$B$3:$U$3)</f>
        <v>743405</v>
      </c>
      <c r="P45" s="18">
        <f>CEILING(INDEX([1]系统模型!$VD:$VD,MATCH(C45,[1]系统模型!$A:$A,0))*POWER(C45/220,3.8)-50+(1000-A45),1)</f>
        <v>15826</v>
      </c>
      <c r="Q45" s="18">
        <f>CEILING(INDEX([1]系统模型!$VE:$VE,MATCH(C45,[1]系统模型!$A:$A,0))*POWER(C45/220,4),1)</f>
        <v>3247</v>
      </c>
      <c r="R45" s="18">
        <f>INT(INDEX([1]系统模型!$VF:$VF,MATCH(C45,[1]系统模型!$A:$A,0))*MAX(POWER(C45/180,4),0.5))</f>
        <v>183380</v>
      </c>
      <c r="S45" s="5">
        <v>1000</v>
      </c>
      <c r="T45" s="25">
        <v>0</v>
      </c>
      <c r="U45" s="25">
        <v>0</v>
      </c>
      <c r="V45" s="25">
        <v>0</v>
      </c>
      <c r="W45" s="25">
        <v>0</v>
      </c>
      <c r="X45" s="25">
        <f t="shared" si="5"/>
        <v>9169</v>
      </c>
      <c r="Y45" s="12">
        <v>0</v>
      </c>
      <c r="Z45" s="25">
        <v>100</v>
      </c>
      <c r="AA45" s="25">
        <v>150</v>
      </c>
      <c r="AB45" s="25">
        <v>0</v>
      </c>
      <c r="AC45" s="25">
        <v>0</v>
      </c>
      <c r="AD45" s="25">
        <v>0</v>
      </c>
      <c r="AE45" s="25">
        <f t="shared" si="6"/>
        <v>486</v>
      </c>
      <c r="AF45" s="25">
        <f t="shared" si="7"/>
        <v>486</v>
      </c>
      <c r="AG45" s="25">
        <v>0</v>
      </c>
      <c r="AH45" s="25">
        <f t="shared" si="8"/>
        <v>9475</v>
      </c>
      <c r="AI45" s="25">
        <f t="shared" si="9"/>
        <v>211</v>
      </c>
      <c r="AJ45" s="25">
        <v>1</v>
      </c>
      <c r="AK45" s="25">
        <v>1000</v>
      </c>
      <c r="AL45" s="25">
        <v>100</v>
      </c>
      <c r="AM45" s="26">
        <v>10</v>
      </c>
      <c r="AN45" s="26">
        <v>10</v>
      </c>
      <c r="AO45" s="22" t="s">
        <v>2211</v>
      </c>
      <c r="AP45" s="26">
        <v>0</v>
      </c>
      <c r="AQ45" s="26">
        <f t="shared" si="10"/>
        <v>960</v>
      </c>
      <c r="AR45" s="18" t="str">
        <f ca="1">CONCATENATE(OFFSET(Sheet1!$A$2,RANDBETWEEN(2,500),0,1,1),OFFSET(Sheet1!$A$2,RANDBETWEEN(2,500),RANDBETWEEN(1,5),1,1))</f>
        <v>克拉拉托比</v>
      </c>
      <c r="AS45">
        <f>SUMPRODUCT(P45:AI45,Sheet2!$B$3:$U$3)</f>
        <v>743405</v>
      </c>
    </row>
    <row r="46" spans="1:45" x14ac:dyDescent="0.15">
      <c r="A46" s="23">
        <v>45</v>
      </c>
      <c r="B46" s="18" t="s">
        <v>978</v>
      </c>
      <c r="C46" s="18">
        <f t="shared" si="0"/>
        <v>243</v>
      </c>
      <c r="D46" s="19">
        <f t="shared" si="1"/>
        <v>3</v>
      </c>
      <c r="E46" s="19">
        <f>VLOOKUP(MOD(A46,4),各职业基础配置!C$32:D$35,2,FALSE)</f>
        <v>3</v>
      </c>
      <c r="F46" s="19">
        <f>IF(A46&lt;900,INDEX(各职业基础配置!C$23:C$28,MOD(ROW(A46),4)+1),0)</f>
        <v>14</v>
      </c>
      <c r="G46" s="19">
        <f t="shared" si="2"/>
        <v>210</v>
      </c>
      <c r="H46" s="27">
        <f t="shared" si="3"/>
        <v>3</v>
      </c>
      <c r="I46" s="6" t="s">
        <v>164</v>
      </c>
      <c r="J46" s="23" t="str">
        <f>VLOOKUP(E46,各职业基础配置!$B$9:$C$12,2,FALSE)</f>
        <v>106|107|108|4201|110</v>
      </c>
      <c r="K46" s="18" t="str">
        <f>VLOOKUP(E46,各职业基础配置!$B$15:$C$18,2,FALSE)</f>
        <v>20|21|22|23</v>
      </c>
      <c r="L46" s="18" t="str">
        <f>VLOOKUP(E46,各职业基础配置!B:C,2,FALSE)</f>
        <v>[{20,1,1},{21,1,1},{22,1,1},{23,1,1},{4,1,1},{5,1,1},{6,1,1}]</v>
      </c>
      <c r="M46" s="18">
        <v>0</v>
      </c>
      <c r="N46" s="18">
        <f t="shared" si="4"/>
        <v>7</v>
      </c>
      <c r="O46" s="18">
        <f>SUMPRODUCT(P46:AI46,Sheet2!$B$3:$U$3)</f>
        <v>743380</v>
      </c>
      <c r="P46" s="18">
        <f>CEILING(INDEX([1]系统模型!$VD:$VD,MATCH(C46,[1]系统模型!$A:$A,0))*POWER(C46/220,3.8)-50+(1000-A46),1)</f>
        <v>15825</v>
      </c>
      <c r="Q46" s="18">
        <f>CEILING(INDEX([1]系统模型!$VE:$VE,MATCH(C46,[1]系统模型!$A:$A,0))*POWER(C46/220,4),1)</f>
        <v>3247</v>
      </c>
      <c r="R46" s="18">
        <f>INT(INDEX([1]系统模型!$VF:$VF,MATCH(C46,[1]系统模型!$A:$A,0))*MAX(POWER(C46/180,4),0.5))</f>
        <v>183380</v>
      </c>
      <c r="S46" s="5">
        <v>1000</v>
      </c>
      <c r="T46" s="25">
        <v>0</v>
      </c>
      <c r="U46" s="25">
        <v>0</v>
      </c>
      <c r="V46" s="25">
        <v>0</v>
      </c>
      <c r="W46" s="25">
        <v>0</v>
      </c>
      <c r="X46" s="25">
        <f t="shared" si="5"/>
        <v>9169</v>
      </c>
      <c r="Y46" s="12">
        <v>0</v>
      </c>
      <c r="Z46" s="25">
        <v>100</v>
      </c>
      <c r="AA46" s="25">
        <v>150</v>
      </c>
      <c r="AB46" s="25">
        <v>0</v>
      </c>
      <c r="AC46" s="25">
        <v>0</v>
      </c>
      <c r="AD46" s="25">
        <v>0</v>
      </c>
      <c r="AE46" s="25">
        <f t="shared" si="6"/>
        <v>486</v>
      </c>
      <c r="AF46" s="25">
        <f t="shared" si="7"/>
        <v>486</v>
      </c>
      <c r="AG46" s="25">
        <v>0</v>
      </c>
      <c r="AH46" s="25">
        <f t="shared" si="8"/>
        <v>9475</v>
      </c>
      <c r="AI46" s="25">
        <f t="shared" si="9"/>
        <v>211</v>
      </c>
      <c r="AJ46" s="25">
        <v>1</v>
      </c>
      <c r="AK46" s="25">
        <v>1000</v>
      </c>
      <c r="AL46" s="25">
        <v>100</v>
      </c>
      <c r="AM46" s="26">
        <v>10</v>
      </c>
      <c r="AN46" s="26">
        <v>10</v>
      </c>
      <c r="AO46" s="22" t="s">
        <v>2211</v>
      </c>
      <c r="AP46" s="26">
        <v>0</v>
      </c>
      <c r="AQ46" s="26">
        <f t="shared" si="10"/>
        <v>960</v>
      </c>
      <c r="AR46" s="18" t="str">
        <f ca="1">CONCATENATE(OFFSET(Sheet1!$A$2,RANDBETWEEN(2,500),0,1,1),OFFSET(Sheet1!$A$2,RANDBETWEEN(2,500),RANDBETWEEN(1,5),1,1))</f>
        <v>奥古斯丁</v>
      </c>
      <c r="AS46">
        <f>SUMPRODUCT(P46:AI46,Sheet2!$B$3:$U$3)</f>
        <v>743380</v>
      </c>
    </row>
    <row r="47" spans="1:45" x14ac:dyDescent="0.15">
      <c r="A47" s="18">
        <v>46</v>
      </c>
      <c r="B47" s="18" t="s">
        <v>967</v>
      </c>
      <c r="C47" s="18">
        <f t="shared" si="0"/>
        <v>243</v>
      </c>
      <c r="D47" s="19">
        <f t="shared" si="1"/>
        <v>2</v>
      </c>
      <c r="E47" s="19">
        <f>VLOOKUP(MOD(A47,4),各职业基础配置!C$32:D$35,2,FALSE)</f>
        <v>6</v>
      </c>
      <c r="F47" s="19">
        <f>IF(A47&lt;900,INDEX(各职业基础配置!C$23:C$28,MOD(ROW(A47),4)+1),0)</f>
        <v>16</v>
      </c>
      <c r="G47" s="19">
        <f t="shared" si="2"/>
        <v>210</v>
      </c>
      <c r="H47" s="27">
        <f t="shared" si="3"/>
        <v>3</v>
      </c>
      <c r="I47" s="6" t="s">
        <v>164</v>
      </c>
      <c r="J47" s="23" t="str">
        <f>VLOOKUP(E47,各职业基础配置!$B$9:$C$12,2,FALSE)</f>
        <v>111|112|113|4201|115</v>
      </c>
      <c r="K47" s="18" t="str">
        <f>VLOOKUP(E47,各职业基础配置!$B$15:$C$18,2,FALSE)</f>
        <v>32|33|34</v>
      </c>
      <c r="L47" s="18" t="str">
        <f>VLOOKUP(E47,各职业基础配置!B:C,2,FALSE)</f>
        <v>[{32,1,1},{33,1,1},{34,1,1},{35,1,1},{7,1,1},{8,1,1},{9,1,1}]</v>
      </c>
      <c r="M47" s="18">
        <v>0</v>
      </c>
      <c r="N47" s="18">
        <f t="shared" si="4"/>
        <v>7</v>
      </c>
      <c r="O47" s="18">
        <f>SUMPRODUCT(P47:AI47,Sheet2!$B$3:$U$3)</f>
        <v>743330</v>
      </c>
      <c r="P47" s="18">
        <f>CEILING(INDEX([1]系统模型!$VD:$VD,MATCH(C47,[1]系统模型!$A:$A,0))*POWER(C47/220,3.8)-50+(1000-A47),1)</f>
        <v>15824</v>
      </c>
      <c r="Q47" s="18">
        <f>CEILING(INDEX([1]系统模型!$VE:$VE,MATCH(C47,[1]系统模型!$A:$A,0))*POWER(C47/220,4),1)</f>
        <v>3247</v>
      </c>
      <c r="R47" s="18">
        <f>INT(INDEX([1]系统模型!$VF:$VF,MATCH(C47,[1]系统模型!$A:$A,0))*MAX(POWER(C47/180,4),0.5))</f>
        <v>183380</v>
      </c>
      <c r="S47" s="5">
        <v>1000</v>
      </c>
      <c r="T47" s="25">
        <v>0</v>
      </c>
      <c r="U47" s="25">
        <v>0</v>
      </c>
      <c r="V47" s="25">
        <v>0</v>
      </c>
      <c r="W47" s="25">
        <v>0</v>
      </c>
      <c r="X47" s="25">
        <f t="shared" si="5"/>
        <v>9169</v>
      </c>
      <c r="Y47" s="12">
        <v>0</v>
      </c>
      <c r="Z47" s="25">
        <v>100</v>
      </c>
      <c r="AA47" s="25">
        <v>150</v>
      </c>
      <c r="AB47" s="25">
        <v>0</v>
      </c>
      <c r="AC47" s="25">
        <v>0</v>
      </c>
      <c r="AD47" s="25">
        <v>0</v>
      </c>
      <c r="AE47" s="25">
        <f t="shared" si="6"/>
        <v>486</v>
      </c>
      <c r="AF47" s="25">
        <f t="shared" si="7"/>
        <v>486</v>
      </c>
      <c r="AG47" s="25">
        <v>0</v>
      </c>
      <c r="AH47" s="25">
        <f t="shared" si="8"/>
        <v>9475</v>
      </c>
      <c r="AI47" s="25">
        <f t="shared" si="9"/>
        <v>210</v>
      </c>
      <c r="AJ47" s="25">
        <v>1</v>
      </c>
      <c r="AK47" s="25">
        <v>1000</v>
      </c>
      <c r="AL47" s="25">
        <v>100</v>
      </c>
      <c r="AM47" s="26">
        <v>10</v>
      </c>
      <c r="AN47" s="26">
        <v>10</v>
      </c>
      <c r="AO47" s="22" t="s">
        <v>2211</v>
      </c>
      <c r="AP47" s="26">
        <v>0</v>
      </c>
      <c r="AQ47" s="26">
        <f t="shared" si="10"/>
        <v>960</v>
      </c>
      <c r="AR47" s="18" t="str">
        <f ca="1">CONCATENATE(OFFSET(Sheet1!$A$2,RANDBETWEEN(2,500),0,1,1),OFFSET(Sheet1!$A$2,RANDBETWEEN(2,500),RANDBETWEEN(1,5),1,1))</f>
        <v>查理嘉利</v>
      </c>
      <c r="AS47">
        <f>SUMPRODUCT(P47:AI47,Sheet2!$B$3:$U$3)</f>
        <v>743330</v>
      </c>
    </row>
    <row r="48" spans="1:45" x14ac:dyDescent="0.15">
      <c r="A48" s="18">
        <v>47</v>
      </c>
      <c r="B48" s="18" t="s">
        <v>1079</v>
      </c>
      <c r="C48" s="18">
        <f t="shared" si="0"/>
        <v>243</v>
      </c>
      <c r="D48" s="19">
        <f t="shared" si="1"/>
        <v>3</v>
      </c>
      <c r="E48" s="19">
        <f>VLOOKUP(MOD(A48,4),各职业基础配置!C$32:D$35,2,FALSE)</f>
        <v>9</v>
      </c>
      <c r="F48" s="19">
        <f>IF(A48&lt;900,INDEX(各职业基础配置!C$23:C$28,MOD(ROW(A48),4)+1),0)</f>
        <v>8</v>
      </c>
      <c r="G48" s="19">
        <f t="shared" si="2"/>
        <v>210</v>
      </c>
      <c r="H48" s="27">
        <f t="shared" si="3"/>
        <v>3</v>
      </c>
      <c r="I48" s="6" t="s">
        <v>164</v>
      </c>
      <c r="J48" s="23" t="str">
        <f>VLOOKUP(E48,各职业基础配置!$B$9:$C$12,2,FALSE)</f>
        <v>116|117|118|4201|120</v>
      </c>
      <c r="K48" s="18" t="str">
        <f>VLOOKUP(E48,各职业基础配置!$B$15:$C$18,2,FALSE)</f>
        <v>28|29|30|31</v>
      </c>
      <c r="L48" s="18" t="str">
        <f>VLOOKUP(E48,各职业基础配置!B:C,2,FALSE)</f>
        <v>[{28,1,1},{29,1,1},{30,1,1},{31,1,1},{10,1,1},{11,1,1},{12,1,1}]</v>
      </c>
      <c r="M48" s="18">
        <v>0</v>
      </c>
      <c r="N48" s="18">
        <f t="shared" si="4"/>
        <v>3</v>
      </c>
      <c r="O48" s="18">
        <f>SUMPRODUCT(P48:AI48,Sheet2!$B$3:$U$3)</f>
        <v>743305</v>
      </c>
      <c r="P48" s="18">
        <f>CEILING(INDEX([1]系统模型!$VD:$VD,MATCH(C48,[1]系统模型!$A:$A,0))*POWER(C48/220,3.8)-50+(1000-A48),1)</f>
        <v>15823</v>
      </c>
      <c r="Q48" s="18">
        <f>CEILING(INDEX([1]系统模型!$VE:$VE,MATCH(C48,[1]系统模型!$A:$A,0))*POWER(C48/220,4),1)</f>
        <v>3247</v>
      </c>
      <c r="R48" s="18">
        <f>INT(INDEX([1]系统模型!$VF:$VF,MATCH(C48,[1]系统模型!$A:$A,0))*MAX(POWER(C48/180,4),0.5))</f>
        <v>183380</v>
      </c>
      <c r="S48" s="5">
        <v>1000</v>
      </c>
      <c r="T48" s="25">
        <v>0</v>
      </c>
      <c r="U48" s="25">
        <v>0</v>
      </c>
      <c r="V48" s="25">
        <v>0</v>
      </c>
      <c r="W48" s="25">
        <v>0</v>
      </c>
      <c r="X48" s="25">
        <f t="shared" si="5"/>
        <v>9169</v>
      </c>
      <c r="Y48" s="12">
        <v>0</v>
      </c>
      <c r="Z48" s="25">
        <v>100</v>
      </c>
      <c r="AA48" s="25">
        <v>150</v>
      </c>
      <c r="AB48" s="25">
        <v>0</v>
      </c>
      <c r="AC48" s="25">
        <v>0</v>
      </c>
      <c r="AD48" s="25">
        <v>0</v>
      </c>
      <c r="AE48" s="25">
        <f t="shared" si="6"/>
        <v>486</v>
      </c>
      <c r="AF48" s="25">
        <f t="shared" si="7"/>
        <v>486</v>
      </c>
      <c r="AG48" s="25">
        <v>0</v>
      </c>
      <c r="AH48" s="25">
        <f t="shared" si="8"/>
        <v>9475</v>
      </c>
      <c r="AI48" s="25">
        <f t="shared" si="9"/>
        <v>210</v>
      </c>
      <c r="AJ48" s="25">
        <v>1</v>
      </c>
      <c r="AK48" s="25">
        <v>1000</v>
      </c>
      <c r="AL48" s="25">
        <v>100</v>
      </c>
      <c r="AM48" s="26">
        <v>10</v>
      </c>
      <c r="AN48" s="26">
        <v>10</v>
      </c>
      <c r="AO48" s="22" t="s">
        <v>2211</v>
      </c>
      <c r="AP48" s="26">
        <v>0</v>
      </c>
      <c r="AQ48" s="26">
        <f t="shared" si="10"/>
        <v>960</v>
      </c>
      <c r="AR48" s="18" t="str">
        <f ca="1">CONCATENATE(OFFSET(Sheet1!$A$2,RANDBETWEEN(2,500),0,1,1),OFFSET(Sheet1!$A$2,RANDBETWEEN(2,500),RANDBETWEEN(1,5),1,1))</f>
        <v>赫斯特罗瑞尔</v>
      </c>
      <c r="AS48">
        <f>SUMPRODUCT(P48:AI48,Sheet2!$B$3:$U$3)</f>
        <v>743305</v>
      </c>
    </row>
    <row r="49" spans="1:45" x14ac:dyDescent="0.15">
      <c r="A49" s="23">
        <v>48</v>
      </c>
      <c r="B49" s="18" t="s">
        <v>1027</v>
      </c>
      <c r="C49" s="18">
        <f t="shared" si="0"/>
        <v>242</v>
      </c>
      <c r="D49" s="19">
        <f t="shared" si="1"/>
        <v>2</v>
      </c>
      <c r="E49" s="19">
        <f>VLOOKUP(MOD(A49,4),各职业基础配置!C$32:D$35,2,FALSE)</f>
        <v>1</v>
      </c>
      <c r="F49" s="19">
        <f>IF(A49&lt;900,INDEX(各职业基础配置!C$23:C$28,MOD(ROW(A49),4)+1),0)</f>
        <v>13</v>
      </c>
      <c r="G49" s="19">
        <f t="shared" si="2"/>
        <v>205</v>
      </c>
      <c r="H49" s="27">
        <f t="shared" si="3"/>
        <v>3</v>
      </c>
      <c r="I49" s="6" t="s">
        <v>164</v>
      </c>
      <c r="J49" s="23" t="str">
        <f>VLOOKUP(E49,各职业基础配置!$B$9:$C$12,2,FALSE)</f>
        <v>101|102|103|4201|105</v>
      </c>
      <c r="K49" s="18" t="str">
        <f>VLOOKUP(E49,各职业基础配置!$B$15:$C$18,2,FALSE)</f>
        <v>24|25|26|27</v>
      </c>
      <c r="L49" s="18" t="str">
        <f>VLOOKUP(E49,各职业基础配置!B:C,2,FALSE)</f>
        <v>[{24,1,1},{25,1,1},{26,1,1},{27,1,1},{1,1,1},{2,1,1},{3,1,1}]</v>
      </c>
      <c r="M49" s="18">
        <v>0</v>
      </c>
      <c r="N49" s="18">
        <f t="shared" si="4"/>
        <v>3</v>
      </c>
      <c r="O49" s="18">
        <f>SUMPRODUCT(P49:AI49,Sheet2!$B$3:$U$3)</f>
        <v>726898</v>
      </c>
      <c r="P49" s="18">
        <f>CEILING(INDEX([1]系统模型!$VD:$VD,MATCH(C49,[1]系统模型!$A:$A,0))*POWER(C49/220,3.8)-50+(1000-A49),1)</f>
        <v>15474</v>
      </c>
      <c r="Q49" s="18">
        <f>CEILING(INDEX([1]系统模型!$VE:$VE,MATCH(C49,[1]系统模型!$A:$A,0))*POWER(C49/220,4),1)</f>
        <v>3161</v>
      </c>
      <c r="R49" s="18">
        <f>INT(INDEX([1]系统模型!$VF:$VF,MATCH(C49,[1]系统模型!$A:$A,0))*MAX(POWER(C49/180,4),0.5))</f>
        <v>178423</v>
      </c>
      <c r="S49" s="5">
        <v>1000</v>
      </c>
      <c r="T49" s="25">
        <v>0</v>
      </c>
      <c r="U49" s="25">
        <v>0</v>
      </c>
      <c r="V49" s="25">
        <v>0</v>
      </c>
      <c r="W49" s="25">
        <v>0</v>
      </c>
      <c r="X49" s="25">
        <f t="shared" si="5"/>
        <v>8921</v>
      </c>
      <c r="Y49" s="12">
        <v>0</v>
      </c>
      <c r="Z49" s="25">
        <v>100</v>
      </c>
      <c r="AA49" s="25">
        <v>150</v>
      </c>
      <c r="AB49" s="25">
        <v>0</v>
      </c>
      <c r="AC49" s="25">
        <v>0</v>
      </c>
      <c r="AD49" s="25">
        <v>0</v>
      </c>
      <c r="AE49" s="25">
        <f t="shared" si="6"/>
        <v>484</v>
      </c>
      <c r="AF49" s="25">
        <f t="shared" si="7"/>
        <v>484</v>
      </c>
      <c r="AG49" s="25">
        <v>0</v>
      </c>
      <c r="AH49" s="25">
        <f t="shared" si="8"/>
        <v>9400</v>
      </c>
      <c r="AI49" s="25">
        <f t="shared" si="9"/>
        <v>206</v>
      </c>
      <c r="AJ49" s="25">
        <v>1</v>
      </c>
      <c r="AK49" s="25">
        <v>1000</v>
      </c>
      <c r="AL49" s="25">
        <v>100</v>
      </c>
      <c r="AM49" s="26">
        <v>10</v>
      </c>
      <c r="AN49" s="26">
        <v>10</v>
      </c>
      <c r="AO49" s="22" t="s">
        <v>2211</v>
      </c>
      <c r="AP49" s="26">
        <v>0</v>
      </c>
      <c r="AQ49" s="26">
        <f t="shared" si="10"/>
        <v>960</v>
      </c>
      <c r="AR49" s="18" t="str">
        <f ca="1">CONCATENATE(OFFSET(Sheet1!$A$2,RANDBETWEEN(2,500),0,1,1),OFFSET(Sheet1!$A$2,RANDBETWEEN(2,500),RANDBETWEEN(1,5),1,1))</f>
        <v>哈里森蕾娜塔</v>
      </c>
      <c r="AS49">
        <f>SUMPRODUCT(P49:AI49,Sheet2!$B$3:$U$3)</f>
        <v>726898</v>
      </c>
    </row>
    <row r="50" spans="1:45" x14ac:dyDescent="0.15">
      <c r="A50" s="18">
        <v>49</v>
      </c>
      <c r="B50" s="18" t="s">
        <v>1851</v>
      </c>
      <c r="C50" s="18">
        <f t="shared" si="0"/>
        <v>242</v>
      </c>
      <c r="D50" s="19">
        <f t="shared" si="1"/>
        <v>3</v>
      </c>
      <c r="E50" s="19">
        <f>VLOOKUP(MOD(A50,4),各职业基础配置!C$32:D$35,2,FALSE)</f>
        <v>3</v>
      </c>
      <c r="F50" s="19">
        <f>IF(A50&lt;900,INDEX(各职业基础配置!C$23:C$28,MOD(ROW(A50),4)+1),0)</f>
        <v>14</v>
      </c>
      <c r="G50" s="19">
        <f t="shared" si="2"/>
        <v>205</v>
      </c>
      <c r="H50" s="27">
        <f t="shared" si="3"/>
        <v>3</v>
      </c>
      <c r="I50" s="6" t="s">
        <v>164</v>
      </c>
      <c r="J50" s="23" t="str">
        <f>VLOOKUP(E50,各职业基础配置!$B$9:$C$12,2,FALSE)</f>
        <v>106|107|108|4201|110</v>
      </c>
      <c r="K50" s="18" t="str">
        <f>VLOOKUP(E50,各职业基础配置!$B$15:$C$18,2,FALSE)</f>
        <v>20|21|22|23</v>
      </c>
      <c r="L50" s="18" t="str">
        <f>VLOOKUP(E50,各职业基础配置!B:C,2,FALSE)</f>
        <v>[{20,1,1},{21,1,1},{22,1,1},{23,1,1},{4,1,1},{5,1,1},{6,1,1}]</v>
      </c>
      <c r="M50" s="18">
        <v>0</v>
      </c>
      <c r="N50" s="18">
        <f t="shared" si="4"/>
        <v>7</v>
      </c>
      <c r="O50" s="18">
        <f>SUMPRODUCT(P50:AI50,Sheet2!$B$3:$U$3)</f>
        <v>726873</v>
      </c>
      <c r="P50" s="18">
        <f>CEILING(INDEX([1]系统模型!$VD:$VD,MATCH(C50,[1]系统模型!$A:$A,0))*POWER(C50/220,3.8)-50+(1000-A50),1)</f>
        <v>15473</v>
      </c>
      <c r="Q50" s="18">
        <f>CEILING(INDEX([1]系统模型!$VE:$VE,MATCH(C50,[1]系统模型!$A:$A,0))*POWER(C50/220,4),1)</f>
        <v>3161</v>
      </c>
      <c r="R50" s="18">
        <f>INT(INDEX([1]系统模型!$VF:$VF,MATCH(C50,[1]系统模型!$A:$A,0))*MAX(POWER(C50/180,4),0.5))</f>
        <v>178423</v>
      </c>
      <c r="S50" s="5">
        <v>1000</v>
      </c>
      <c r="T50" s="25">
        <v>0</v>
      </c>
      <c r="U50" s="25">
        <v>0</v>
      </c>
      <c r="V50" s="25">
        <v>0</v>
      </c>
      <c r="W50" s="25">
        <v>0</v>
      </c>
      <c r="X50" s="25">
        <f t="shared" si="5"/>
        <v>8921</v>
      </c>
      <c r="Y50" s="12">
        <v>0</v>
      </c>
      <c r="Z50" s="25">
        <v>100</v>
      </c>
      <c r="AA50" s="25">
        <v>150</v>
      </c>
      <c r="AB50" s="25">
        <v>0</v>
      </c>
      <c r="AC50" s="25">
        <v>0</v>
      </c>
      <c r="AD50" s="25">
        <v>0</v>
      </c>
      <c r="AE50" s="25">
        <f t="shared" si="6"/>
        <v>484</v>
      </c>
      <c r="AF50" s="25">
        <f t="shared" si="7"/>
        <v>484</v>
      </c>
      <c r="AG50" s="25">
        <v>0</v>
      </c>
      <c r="AH50" s="25">
        <f t="shared" si="8"/>
        <v>9400</v>
      </c>
      <c r="AI50" s="25">
        <f t="shared" si="9"/>
        <v>206</v>
      </c>
      <c r="AJ50" s="25">
        <v>1</v>
      </c>
      <c r="AK50" s="25">
        <v>1000</v>
      </c>
      <c r="AL50" s="25">
        <v>100</v>
      </c>
      <c r="AM50" s="26">
        <v>10</v>
      </c>
      <c r="AN50" s="26">
        <v>10</v>
      </c>
      <c r="AO50" s="22" t="s">
        <v>2211</v>
      </c>
      <c r="AP50" s="26">
        <v>0</v>
      </c>
      <c r="AQ50" s="26">
        <f t="shared" si="10"/>
        <v>960</v>
      </c>
      <c r="AR50" s="18" t="str">
        <f ca="1">CONCATENATE(OFFSET(Sheet1!$A$2,RANDBETWEEN(2,500),0,1,1),OFFSET(Sheet1!$A$2,RANDBETWEEN(2,500),RANDBETWEEN(1,5),1,1))</f>
        <v>布赖特</v>
      </c>
      <c r="AS50">
        <f>SUMPRODUCT(P50:AI50,Sheet2!$B$3:$U$3)</f>
        <v>726873</v>
      </c>
    </row>
    <row r="51" spans="1:45" x14ac:dyDescent="0.15">
      <c r="A51" s="18">
        <v>50</v>
      </c>
      <c r="B51" s="18" t="s">
        <v>1852</v>
      </c>
      <c r="C51" s="18">
        <f t="shared" si="0"/>
        <v>242</v>
      </c>
      <c r="D51" s="19">
        <f t="shared" si="1"/>
        <v>2</v>
      </c>
      <c r="E51" s="19">
        <f>VLOOKUP(MOD(A51,4),各职业基础配置!C$32:D$35,2,FALSE)</f>
        <v>6</v>
      </c>
      <c r="F51" s="19">
        <f>IF(A51&lt;900,INDEX(各职业基础配置!C$23:C$28,MOD(ROW(A51),4)+1),0)</f>
        <v>16</v>
      </c>
      <c r="G51" s="19">
        <f t="shared" si="2"/>
        <v>205</v>
      </c>
      <c r="H51" s="27">
        <f t="shared" si="3"/>
        <v>3</v>
      </c>
      <c r="I51" s="6" t="s">
        <v>164</v>
      </c>
      <c r="J51" s="23" t="str">
        <f>VLOOKUP(E51,各职业基础配置!$B$9:$C$12,2,FALSE)</f>
        <v>111|112|113|4201|115</v>
      </c>
      <c r="K51" s="18" t="str">
        <f>VLOOKUP(E51,各职业基础配置!$B$15:$C$18,2,FALSE)</f>
        <v>32|33|34</v>
      </c>
      <c r="L51" s="18" t="str">
        <f>VLOOKUP(E51,各职业基础配置!B:C,2,FALSE)</f>
        <v>[{32,1,1},{33,1,1},{34,1,1},{35,1,1},{7,1,1},{8,1,1},{9,1,1}]</v>
      </c>
      <c r="M51" s="18">
        <v>0</v>
      </c>
      <c r="N51" s="18">
        <f t="shared" si="4"/>
        <v>7</v>
      </c>
      <c r="O51" s="18">
        <f>SUMPRODUCT(P51:AI51,Sheet2!$B$3:$U$3)</f>
        <v>726848</v>
      </c>
      <c r="P51" s="18">
        <f>CEILING(INDEX([1]系统模型!$VD:$VD,MATCH(C51,[1]系统模型!$A:$A,0))*POWER(C51/220,3.8)-50+(1000-A51),1)</f>
        <v>15472</v>
      </c>
      <c r="Q51" s="18">
        <f>CEILING(INDEX([1]系统模型!$VE:$VE,MATCH(C51,[1]系统模型!$A:$A,0))*POWER(C51/220,4),1)</f>
        <v>3161</v>
      </c>
      <c r="R51" s="18">
        <f>INT(INDEX([1]系统模型!$VF:$VF,MATCH(C51,[1]系统模型!$A:$A,0))*MAX(POWER(C51/180,4),0.5))</f>
        <v>178423</v>
      </c>
      <c r="S51" s="5">
        <v>1000</v>
      </c>
      <c r="T51" s="25">
        <v>0</v>
      </c>
      <c r="U51" s="25">
        <v>0</v>
      </c>
      <c r="V51" s="25">
        <v>0</v>
      </c>
      <c r="W51" s="25">
        <v>0</v>
      </c>
      <c r="X51" s="25">
        <f t="shared" si="5"/>
        <v>8921</v>
      </c>
      <c r="Y51" s="12">
        <v>0</v>
      </c>
      <c r="Z51" s="25">
        <v>100</v>
      </c>
      <c r="AA51" s="25">
        <v>150</v>
      </c>
      <c r="AB51" s="25">
        <v>0</v>
      </c>
      <c r="AC51" s="25">
        <v>0</v>
      </c>
      <c r="AD51" s="25">
        <v>0</v>
      </c>
      <c r="AE51" s="25">
        <f t="shared" si="6"/>
        <v>484</v>
      </c>
      <c r="AF51" s="25">
        <f t="shared" si="7"/>
        <v>484</v>
      </c>
      <c r="AG51" s="25">
        <v>0</v>
      </c>
      <c r="AH51" s="25">
        <f t="shared" si="8"/>
        <v>9400</v>
      </c>
      <c r="AI51" s="25">
        <f t="shared" si="9"/>
        <v>206</v>
      </c>
      <c r="AJ51" s="25">
        <v>1</v>
      </c>
      <c r="AK51" s="25">
        <v>1000</v>
      </c>
      <c r="AL51" s="25">
        <v>100</v>
      </c>
      <c r="AM51" s="26">
        <v>10</v>
      </c>
      <c r="AN51" s="26">
        <v>10</v>
      </c>
      <c r="AO51" s="22" t="s">
        <v>2211</v>
      </c>
      <c r="AP51" s="26">
        <v>0</v>
      </c>
      <c r="AQ51" s="26">
        <f t="shared" si="10"/>
        <v>950</v>
      </c>
      <c r="AR51" s="18" t="str">
        <f ca="1">CONCATENATE(OFFSET(Sheet1!$A$2,RANDBETWEEN(2,500),0,1,1),OFFSET(Sheet1!$A$2,RANDBETWEEN(2,500),RANDBETWEEN(1,5),1,1))</f>
        <v>赫士列特斯泰西</v>
      </c>
      <c r="AS51">
        <f>SUMPRODUCT(P51:AI51,Sheet2!$B$3:$U$3)</f>
        <v>726848</v>
      </c>
    </row>
    <row r="52" spans="1:45" x14ac:dyDescent="0.15">
      <c r="A52" s="23">
        <v>51</v>
      </c>
      <c r="B52" s="18" t="s">
        <v>1853</v>
      </c>
      <c r="C52" s="18">
        <f t="shared" si="0"/>
        <v>242</v>
      </c>
      <c r="D52" s="19">
        <f t="shared" si="1"/>
        <v>3</v>
      </c>
      <c r="E52" s="19">
        <f>VLOOKUP(MOD(A52,4),各职业基础配置!C$32:D$35,2,FALSE)</f>
        <v>9</v>
      </c>
      <c r="F52" s="19">
        <f>IF(A52&lt;900,INDEX(各职业基础配置!C$23:C$28,MOD(ROW(A52),4)+1),0)</f>
        <v>8</v>
      </c>
      <c r="G52" s="19">
        <f t="shared" si="2"/>
        <v>205</v>
      </c>
      <c r="H52" s="27">
        <f t="shared" si="3"/>
        <v>3</v>
      </c>
      <c r="I52" s="6" t="s">
        <v>164</v>
      </c>
      <c r="J52" s="23" t="str">
        <f>VLOOKUP(E52,各职业基础配置!$B$9:$C$12,2,FALSE)</f>
        <v>116|117|118|4201|120</v>
      </c>
      <c r="K52" s="18" t="str">
        <f>VLOOKUP(E52,各职业基础配置!$B$15:$C$18,2,FALSE)</f>
        <v>28|29|30|31</v>
      </c>
      <c r="L52" s="18" t="str">
        <f>VLOOKUP(E52,各职业基础配置!B:C,2,FALSE)</f>
        <v>[{28,1,1},{29,1,1},{30,1,1},{31,1,1},{10,1,1},{11,1,1},{12,1,1}]</v>
      </c>
      <c r="M52" s="18">
        <v>0</v>
      </c>
      <c r="N52" s="18">
        <f t="shared" si="4"/>
        <v>3</v>
      </c>
      <c r="O52" s="18">
        <f>SUMPRODUCT(P52:AI52,Sheet2!$B$3:$U$3)</f>
        <v>726823</v>
      </c>
      <c r="P52" s="18">
        <f>CEILING(INDEX([1]系统模型!$VD:$VD,MATCH(C52,[1]系统模型!$A:$A,0))*POWER(C52/220,3.8)-50+(1000-A52),1)</f>
        <v>15471</v>
      </c>
      <c r="Q52" s="18">
        <f>CEILING(INDEX([1]系统模型!$VE:$VE,MATCH(C52,[1]系统模型!$A:$A,0))*POWER(C52/220,4),1)</f>
        <v>3161</v>
      </c>
      <c r="R52" s="18">
        <f>INT(INDEX([1]系统模型!$VF:$VF,MATCH(C52,[1]系统模型!$A:$A,0))*MAX(POWER(C52/180,4),0.5))</f>
        <v>178423</v>
      </c>
      <c r="S52" s="5">
        <v>1000</v>
      </c>
      <c r="T52" s="25">
        <v>0</v>
      </c>
      <c r="U52" s="25">
        <v>0</v>
      </c>
      <c r="V52" s="25">
        <v>0</v>
      </c>
      <c r="W52" s="25">
        <v>0</v>
      </c>
      <c r="X52" s="25">
        <f t="shared" si="5"/>
        <v>8921</v>
      </c>
      <c r="Y52" s="12">
        <v>0</v>
      </c>
      <c r="Z52" s="25">
        <v>100</v>
      </c>
      <c r="AA52" s="25">
        <v>150</v>
      </c>
      <c r="AB52" s="25">
        <v>0</v>
      </c>
      <c r="AC52" s="25">
        <v>0</v>
      </c>
      <c r="AD52" s="25">
        <v>0</v>
      </c>
      <c r="AE52" s="25">
        <f t="shared" si="6"/>
        <v>484</v>
      </c>
      <c r="AF52" s="25">
        <f t="shared" si="7"/>
        <v>484</v>
      </c>
      <c r="AG52" s="25">
        <v>0</v>
      </c>
      <c r="AH52" s="25">
        <f t="shared" si="8"/>
        <v>9400</v>
      </c>
      <c r="AI52" s="25">
        <f t="shared" si="9"/>
        <v>206</v>
      </c>
      <c r="AJ52" s="25">
        <v>1</v>
      </c>
      <c r="AK52" s="25">
        <v>1000</v>
      </c>
      <c r="AL52" s="25">
        <v>100</v>
      </c>
      <c r="AM52" s="26">
        <v>10</v>
      </c>
      <c r="AN52" s="26">
        <v>10</v>
      </c>
      <c r="AO52" s="22" t="s">
        <v>2211</v>
      </c>
      <c r="AP52" s="26">
        <v>0</v>
      </c>
      <c r="AQ52" s="26">
        <f t="shared" si="10"/>
        <v>950</v>
      </c>
      <c r="AR52" s="18" t="str">
        <f ca="1">CONCATENATE(OFFSET(Sheet1!$A$2,RANDBETWEEN(2,500),0,1,1),OFFSET(Sheet1!$A$2,RANDBETWEEN(2,500),RANDBETWEEN(1,5),1,1))</f>
        <v>弗里曼</v>
      </c>
      <c r="AS52">
        <f>SUMPRODUCT(P52:AI52,Sheet2!$B$3:$U$3)</f>
        <v>726823</v>
      </c>
    </row>
    <row r="53" spans="1:45" x14ac:dyDescent="0.15">
      <c r="A53" s="18">
        <v>52</v>
      </c>
      <c r="B53" s="18" t="s">
        <v>1062</v>
      </c>
      <c r="C53" s="18">
        <f t="shared" si="0"/>
        <v>242</v>
      </c>
      <c r="D53" s="19">
        <f t="shared" si="1"/>
        <v>2</v>
      </c>
      <c r="E53" s="19">
        <f>VLOOKUP(MOD(A53,4),各职业基础配置!C$32:D$35,2,FALSE)</f>
        <v>1</v>
      </c>
      <c r="F53" s="19">
        <f>IF(A53&lt;900,INDEX(各职业基础配置!C$23:C$28,MOD(ROW(A53),4)+1),0)</f>
        <v>13</v>
      </c>
      <c r="G53" s="19">
        <f t="shared" si="2"/>
        <v>205</v>
      </c>
      <c r="H53" s="27">
        <f t="shared" si="3"/>
        <v>3</v>
      </c>
      <c r="I53" s="6" t="s">
        <v>164</v>
      </c>
      <c r="J53" s="23" t="str">
        <f>VLOOKUP(E53,各职业基础配置!$B$9:$C$12,2,FALSE)</f>
        <v>101|102|103|4201|105</v>
      </c>
      <c r="K53" s="18" t="str">
        <f>VLOOKUP(E53,各职业基础配置!$B$15:$C$18,2,FALSE)</f>
        <v>24|25|26|27</v>
      </c>
      <c r="L53" s="18" t="str">
        <f>VLOOKUP(E53,各职业基础配置!B:C,2,FALSE)</f>
        <v>[{24,1,1},{25,1,1},{26,1,1},{27,1,1},{1,1,1},{2,1,1},{3,1,1}]</v>
      </c>
      <c r="M53" s="18">
        <v>0</v>
      </c>
      <c r="N53" s="18">
        <f t="shared" si="4"/>
        <v>3</v>
      </c>
      <c r="O53" s="18">
        <f>SUMPRODUCT(P53:AI53,Sheet2!$B$3:$U$3)</f>
        <v>726798</v>
      </c>
      <c r="P53" s="18">
        <f>CEILING(INDEX([1]系统模型!$VD:$VD,MATCH(C53,[1]系统模型!$A:$A,0))*POWER(C53/220,3.8)-50+(1000-A53),1)</f>
        <v>15470</v>
      </c>
      <c r="Q53" s="18">
        <f>CEILING(INDEX([1]系统模型!$VE:$VE,MATCH(C53,[1]系统模型!$A:$A,0))*POWER(C53/220,4),1)</f>
        <v>3161</v>
      </c>
      <c r="R53" s="18">
        <f>INT(INDEX([1]系统模型!$VF:$VF,MATCH(C53,[1]系统模型!$A:$A,0))*MAX(POWER(C53/180,4),0.5))</f>
        <v>178423</v>
      </c>
      <c r="S53" s="5">
        <v>1000</v>
      </c>
      <c r="T53" s="25">
        <v>0</v>
      </c>
      <c r="U53" s="25">
        <v>0</v>
      </c>
      <c r="V53" s="25">
        <v>0</v>
      </c>
      <c r="W53" s="25">
        <v>0</v>
      </c>
      <c r="X53" s="25">
        <f t="shared" si="5"/>
        <v>8921</v>
      </c>
      <c r="Y53" s="12">
        <v>0</v>
      </c>
      <c r="Z53" s="25">
        <v>100</v>
      </c>
      <c r="AA53" s="25">
        <v>150</v>
      </c>
      <c r="AB53" s="25">
        <v>0</v>
      </c>
      <c r="AC53" s="25">
        <v>0</v>
      </c>
      <c r="AD53" s="25">
        <v>0</v>
      </c>
      <c r="AE53" s="25">
        <f t="shared" si="6"/>
        <v>484</v>
      </c>
      <c r="AF53" s="25">
        <f t="shared" si="7"/>
        <v>484</v>
      </c>
      <c r="AG53" s="25">
        <v>0</v>
      </c>
      <c r="AH53" s="25">
        <f t="shared" si="8"/>
        <v>9400</v>
      </c>
      <c r="AI53" s="25">
        <f t="shared" si="9"/>
        <v>206</v>
      </c>
      <c r="AJ53" s="25">
        <v>1</v>
      </c>
      <c r="AK53" s="25">
        <v>1000</v>
      </c>
      <c r="AL53" s="25">
        <v>100</v>
      </c>
      <c r="AM53" s="26">
        <v>10</v>
      </c>
      <c r="AN53" s="26">
        <v>10</v>
      </c>
      <c r="AO53" s="22" t="s">
        <v>2211</v>
      </c>
      <c r="AP53" s="26">
        <v>0</v>
      </c>
      <c r="AQ53" s="26">
        <f t="shared" si="10"/>
        <v>950</v>
      </c>
      <c r="AR53" s="18" t="str">
        <f ca="1">CONCATENATE(OFFSET(Sheet1!$A$2,RANDBETWEEN(2,500),0,1,1),OFFSET(Sheet1!$A$2,RANDBETWEEN(2,500),RANDBETWEEN(1,5),1,1))</f>
        <v>尤金</v>
      </c>
      <c r="AS53">
        <f>SUMPRODUCT(P53:AI53,Sheet2!$B$3:$U$3)</f>
        <v>726798</v>
      </c>
    </row>
    <row r="54" spans="1:45" x14ac:dyDescent="0.15">
      <c r="A54" s="18">
        <v>53</v>
      </c>
      <c r="B54" s="18" t="s">
        <v>851</v>
      </c>
      <c r="C54" s="18">
        <f t="shared" si="0"/>
        <v>242</v>
      </c>
      <c r="D54" s="19">
        <f t="shared" si="1"/>
        <v>3</v>
      </c>
      <c r="E54" s="19">
        <f>VLOOKUP(MOD(A54,4),各职业基础配置!C$32:D$35,2,FALSE)</f>
        <v>3</v>
      </c>
      <c r="F54" s="19">
        <f>IF(A54&lt;900,INDEX(各职业基础配置!C$23:C$28,MOD(ROW(A54),4)+1),0)</f>
        <v>14</v>
      </c>
      <c r="G54" s="19">
        <f t="shared" si="2"/>
        <v>205</v>
      </c>
      <c r="H54" s="27">
        <f t="shared" si="3"/>
        <v>3</v>
      </c>
      <c r="I54" s="6" t="s">
        <v>164</v>
      </c>
      <c r="J54" s="23" t="str">
        <f>VLOOKUP(E54,各职业基础配置!$B$9:$C$12,2,FALSE)</f>
        <v>106|107|108|4201|110</v>
      </c>
      <c r="K54" s="18" t="str">
        <f>VLOOKUP(E54,各职业基础配置!$B$15:$C$18,2,FALSE)</f>
        <v>20|21|22|23</v>
      </c>
      <c r="L54" s="18" t="str">
        <f>VLOOKUP(E54,各职业基础配置!B:C,2,FALSE)</f>
        <v>[{20,1,1},{21,1,1},{22,1,1},{23,1,1},{4,1,1},{5,1,1},{6,1,1}]</v>
      </c>
      <c r="M54" s="18">
        <v>0</v>
      </c>
      <c r="N54" s="18">
        <f t="shared" si="4"/>
        <v>7</v>
      </c>
      <c r="O54" s="18">
        <f>SUMPRODUCT(P54:AI54,Sheet2!$B$3:$U$3)</f>
        <v>726773</v>
      </c>
      <c r="P54" s="18">
        <f>CEILING(INDEX([1]系统模型!$VD:$VD,MATCH(C54,[1]系统模型!$A:$A,0))*POWER(C54/220,3.8)-50+(1000-A54),1)</f>
        <v>15469</v>
      </c>
      <c r="Q54" s="18">
        <f>CEILING(INDEX([1]系统模型!$VE:$VE,MATCH(C54,[1]系统模型!$A:$A,0))*POWER(C54/220,4),1)</f>
        <v>3161</v>
      </c>
      <c r="R54" s="18">
        <f>INT(INDEX([1]系统模型!$VF:$VF,MATCH(C54,[1]系统模型!$A:$A,0))*MAX(POWER(C54/180,4),0.5))</f>
        <v>178423</v>
      </c>
      <c r="S54" s="5">
        <v>1000</v>
      </c>
      <c r="T54" s="25">
        <v>0</v>
      </c>
      <c r="U54" s="25">
        <v>0</v>
      </c>
      <c r="V54" s="25">
        <v>0</v>
      </c>
      <c r="W54" s="25">
        <v>0</v>
      </c>
      <c r="X54" s="25">
        <f t="shared" si="5"/>
        <v>8921</v>
      </c>
      <c r="Y54" s="12">
        <v>0</v>
      </c>
      <c r="Z54" s="25">
        <v>100</v>
      </c>
      <c r="AA54" s="25">
        <v>150</v>
      </c>
      <c r="AB54" s="25">
        <v>0</v>
      </c>
      <c r="AC54" s="25">
        <v>0</v>
      </c>
      <c r="AD54" s="25">
        <v>0</v>
      </c>
      <c r="AE54" s="25">
        <f t="shared" si="6"/>
        <v>484</v>
      </c>
      <c r="AF54" s="25">
        <f t="shared" si="7"/>
        <v>484</v>
      </c>
      <c r="AG54" s="25">
        <v>0</v>
      </c>
      <c r="AH54" s="25">
        <f t="shared" si="8"/>
        <v>9400</v>
      </c>
      <c r="AI54" s="25">
        <f t="shared" si="9"/>
        <v>206</v>
      </c>
      <c r="AJ54" s="25">
        <v>1</v>
      </c>
      <c r="AK54" s="25">
        <v>1000</v>
      </c>
      <c r="AL54" s="25">
        <v>100</v>
      </c>
      <c r="AM54" s="26">
        <v>10</v>
      </c>
      <c r="AN54" s="26">
        <v>10</v>
      </c>
      <c r="AO54" s="22" t="s">
        <v>2211</v>
      </c>
      <c r="AP54" s="26">
        <v>0</v>
      </c>
      <c r="AQ54" s="26">
        <f t="shared" si="10"/>
        <v>950</v>
      </c>
      <c r="AR54" s="18" t="str">
        <f ca="1">CONCATENATE(OFFSET(Sheet1!$A$2,RANDBETWEEN(2,500),0,1,1),OFFSET(Sheet1!$A$2,RANDBETWEEN(2,500),RANDBETWEEN(1,5),1,1))</f>
        <v>戈德温</v>
      </c>
      <c r="AS54">
        <f>SUMPRODUCT(P54:AI54,Sheet2!$B$3:$U$3)</f>
        <v>726773</v>
      </c>
    </row>
    <row r="55" spans="1:45" x14ac:dyDescent="0.15">
      <c r="A55" s="23">
        <v>54</v>
      </c>
      <c r="B55" s="18" t="s">
        <v>1854</v>
      </c>
      <c r="C55" s="18">
        <f t="shared" si="0"/>
        <v>242</v>
      </c>
      <c r="D55" s="19">
        <f t="shared" si="1"/>
        <v>2</v>
      </c>
      <c r="E55" s="19">
        <f>VLOOKUP(MOD(A55,4),各职业基础配置!C$32:D$35,2,FALSE)</f>
        <v>6</v>
      </c>
      <c r="F55" s="19">
        <f>IF(A55&lt;900,INDEX(各职业基础配置!C$23:C$28,MOD(ROW(A55),4)+1),0)</f>
        <v>16</v>
      </c>
      <c r="G55" s="19">
        <f t="shared" si="2"/>
        <v>205</v>
      </c>
      <c r="H55" s="27">
        <f t="shared" si="3"/>
        <v>3</v>
      </c>
      <c r="I55" s="6" t="s">
        <v>164</v>
      </c>
      <c r="J55" s="23" t="str">
        <f>VLOOKUP(E55,各职业基础配置!$B$9:$C$12,2,FALSE)</f>
        <v>111|112|113|4201|115</v>
      </c>
      <c r="K55" s="18" t="str">
        <f>VLOOKUP(E55,各职业基础配置!$B$15:$C$18,2,FALSE)</f>
        <v>32|33|34</v>
      </c>
      <c r="L55" s="18" t="str">
        <f>VLOOKUP(E55,各职业基础配置!B:C,2,FALSE)</f>
        <v>[{32,1,1},{33,1,1},{34,1,1},{35,1,1},{7,1,1},{8,1,1},{9,1,1}]</v>
      </c>
      <c r="M55" s="18">
        <v>0</v>
      </c>
      <c r="N55" s="18">
        <f t="shared" si="4"/>
        <v>7</v>
      </c>
      <c r="O55" s="18">
        <f>SUMPRODUCT(P55:AI55,Sheet2!$B$3:$U$3)</f>
        <v>726748</v>
      </c>
      <c r="P55" s="18">
        <f>CEILING(INDEX([1]系统模型!$VD:$VD,MATCH(C55,[1]系统模型!$A:$A,0))*POWER(C55/220,3.8)-50+(1000-A55),1)</f>
        <v>15468</v>
      </c>
      <c r="Q55" s="18">
        <f>CEILING(INDEX([1]系统模型!$VE:$VE,MATCH(C55,[1]系统模型!$A:$A,0))*POWER(C55/220,4),1)</f>
        <v>3161</v>
      </c>
      <c r="R55" s="18">
        <f>INT(INDEX([1]系统模型!$VF:$VF,MATCH(C55,[1]系统模型!$A:$A,0))*MAX(POWER(C55/180,4),0.5))</f>
        <v>178423</v>
      </c>
      <c r="S55" s="5">
        <v>1000</v>
      </c>
      <c r="T55" s="25">
        <v>0</v>
      </c>
      <c r="U55" s="25">
        <v>0</v>
      </c>
      <c r="V55" s="25">
        <v>0</v>
      </c>
      <c r="W55" s="25">
        <v>0</v>
      </c>
      <c r="X55" s="25">
        <f t="shared" si="5"/>
        <v>8921</v>
      </c>
      <c r="Y55" s="12">
        <v>0</v>
      </c>
      <c r="Z55" s="25">
        <v>100</v>
      </c>
      <c r="AA55" s="25">
        <v>150</v>
      </c>
      <c r="AB55" s="25">
        <v>0</v>
      </c>
      <c r="AC55" s="25">
        <v>0</v>
      </c>
      <c r="AD55" s="25">
        <v>0</v>
      </c>
      <c r="AE55" s="25">
        <f t="shared" si="6"/>
        <v>484</v>
      </c>
      <c r="AF55" s="25">
        <f t="shared" si="7"/>
        <v>484</v>
      </c>
      <c r="AG55" s="25">
        <v>0</v>
      </c>
      <c r="AH55" s="25">
        <f t="shared" si="8"/>
        <v>9400</v>
      </c>
      <c r="AI55" s="25">
        <f t="shared" si="9"/>
        <v>206</v>
      </c>
      <c r="AJ55" s="25">
        <v>1</v>
      </c>
      <c r="AK55" s="25">
        <v>1000</v>
      </c>
      <c r="AL55" s="25">
        <v>100</v>
      </c>
      <c r="AM55" s="26">
        <v>10</v>
      </c>
      <c r="AN55" s="26">
        <v>10</v>
      </c>
      <c r="AO55" s="22" t="s">
        <v>2211</v>
      </c>
      <c r="AP55" s="26">
        <v>0</v>
      </c>
      <c r="AQ55" s="26">
        <f t="shared" si="10"/>
        <v>950</v>
      </c>
      <c r="AR55" s="18" t="str">
        <f ca="1">CONCATENATE(OFFSET(Sheet1!$A$2,RANDBETWEEN(2,500),0,1,1),OFFSET(Sheet1!$A$2,RANDBETWEEN(2,500),RANDBETWEEN(1,5),1,1))</f>
        <v>霍普金马莎</v>
      </c>
      <c r="AS55">
        <f>SUMPRODUCT(P55:AI55,Sheet2!$B$3:$U$3)</f>
        <v>726748</v>
      </c>
    </row>
    <row r="56" spans="1:45" x14ac:dyDescent="0.15">
      <c r="A56" s="18">
        <v>55</v>
      </c>
      <c r="B56" s="18" t="s">
        <v>1855</v>
      </c>
      <c r="C56" s="18">
        <f t="shared" si="0"/>
        <v>241</v>
      </c>
      <c r="D56" s="19">
        <f t="shared" si="1"/>
        <v>3</v>
      </c>
      <c r="E56" s="19">
        <f>VLOOKUP(MOD(A56,4),各职业基础配置!C$32:D$35,2,FALSE)</f>
        <v>9</v>
      </c>
      <c r="F56" s="19">
        <f>IF(A56&lt;900,INDEX(各职业基础配置!C$23:C$28,MOD(ROW(A56),4)+1),0)</f>
        <v>8</v>
      </c>
      <c r="G56" s="19">
        <f t="shared" si="2"/>
        <v>200</v>
      </c>
      <c r="H56" s="27">
        <f t="shared" si="3"/>
        <v>3</v>
      </c>
      <c r="I56" s="6" t="s">
        <v>164</v>
      </c>
      <c r="J56" s="23" t="str">
        <f>VLOOKUP(E56,各职业基础配置!$B$9:$C$12,2,FALSE)</f>
        <v>116|117|118|4201|120</v>
      </c>
      <c r="K56" s="18" t="str">
        <f>VLOOKUP(E56,各职业基础配置!$B$15:$C$18,2,FALSE)</f>
        <v>28|29|30|31</v>
      </c>
      <c r="L56" s="18" t="str">
        <f>VLOOKUP(E56,各职业基础配置!B:C,2,FALSE)</f>
        <v>[{28,1,1},{29,1,1},{30,1,1},{31,1,1},{10,1,1},{11,1,1},{12,1,1}]</v>
      </c>
      <c r="M56" s="18">
        <v>0</v>
      </c>
      <c r="N56" s="18">
        <f t="shared" si="4"/>
        <v>3</v>
      </c>
      <c r="O56" s="18">
        <f>SUMPRODUCT(P56:AI56,Sheet2!$B$3:$U$3)</f>
        <v>709371</v>
      </c>
      <c r="P56" s="18">
        <f>CEILING(INDEX([1]系统模型!$VD:$VD,MATCH(C56,[1]系统模型!$A:$A,0))*POWER(C56/220,3.8)-50+(1000-A56),1)</f>
        <v>15075</v>
      </c>
      <c r="Q56" s="18">
        <f>CEILING(INDEX([1]系统模型!$VE:$VE,MATCH(C56,[1]系统模型!$A:$A,0))*POWER(C56/220,4),1)</f>
        <v>3076</v>
      </c>
      <c r="R56" s="18">
        <f>INT(INDEX([1]系统模型!$VF:$VF,MATCH(C56,[1]系统模型!$A:$A,0))*MAX(POWER(C56/180,4),0.5))</f>
        <v>173596</v>
      </c>
      <c r="S56" s="5">
        <v>1000</v>
      </c>
      <c r="T56" s="25">
        <v>0</v>
      </c>
      <c r="U56" s="25">
        <v>0</v>
      </c>
      <c r="V56" s="25">
        <v>0</v>
      </c>
      <c r="W56" s="25">
        <v>0</v>
      </c>
      <c r="X56" s="25">
        <f t="shared" si="5"/>
        <v>8679</v>
      </c>
      <c r="Y56" s="12">
        <v>0</v>
      </c>
      <c r="Z56" s="25">
        <v>100</v>
      </c>
      <c r="AA56" s="25">
        <v>150</v>
      </c>
      <c r="AB56" s="25">
        <v>0</v>
      </c>
      <c r="AC56" s="25">
        <v>0</v>
      </c>
      <c r="AD56" s="25">
        <v>0</v>
      </c>
      <c r="AE56" s="25">
        <f t="shared" si="6"/>
        <v>482</v>
      </c>
      <c r="AF56" s="25">
        <f t="shared" si="7"/>
        <v>482</v>
      </c>
      <c r="AG56" s="25">
        <v>0</v>
      </c>
      <c r="AH56" s="25">
        <f t="shared" si="8"/>
        <v>9325</v>
      </c>
      <c r="AI56" s="25">
        <f t="shared" si="9"/>
        <v>201</v>
      </c>
      <c r="AJ56" s="25">
        <v>1</v>
      </c>
      <c r="AK56" s="25">
        <v>1000</v>
      </c>
      <c r="AL56" s="25">
        <v>100</v>
      </c>
      <c r="AM56" s="26">
        <v>10</v>
      </c>
      <c r="AN56" s="26">
        <v>10</v>
      </c>
      <c r="AO56" s="22" t="s">
        <v>2211</v>
      </c>
      <c r="AP56" s="26">
        <v>0</v>
      </c>
      <c r="AQ56" s="26">
        <f t="shared" si="10"/>
        <v>950</v>
      </c>
      <c r="AR56" s="18" t="str">
        <f ca="1">CONCATENATE(OFFSET(Sheet1!$A$2,RANDBETWEEN(2,500),0,1,1),OFFSET(Sheet1!$A$2,RANDBETWEEN(2,500),RANDBETWEEN(1,5),1,1))</f>
        <v>吉尔寂寞</v>
      </c>
      <c r="AS56">
        <f>SUMPRODUCT(P56:AI56,Sheet2!$B$3:$U$3)</f>
        <v>709371</v>
      </c>
    </row>
    <row r="57" spans="1:45" x14ac:dyDescent="0.15">
      <c r="A57" s="18">
        <v>56</v>
      </c>
      <c r="B57" s="18" t="s">
        <v>1237</v>
      </c>
      <c r="C57" s="18">
        <f t="shared" si="0"/>
        <v>241</v>
      </c>
      <c r="D57" s="19">
        <f t="shared" si="1"/>
        <v>2</v>
      </c>
      <c r="E57" s="19">
        <f>VLOOKUP(MOD(A57,4),各职业基础配置!C$32:D$35,2,FALSE)</f>
        <v>1</v>
      </c>
      <c r="F57" s="19">
        <f>IF(A57&lt;900,INDEX(各职业基础配置!C$23:C$28,MOD(ROW(A57),4)+1),0)</f>
        <v>13</v>
      </c>
      <c r="G57" s="19">
        <f t="shared" si="2"/>
        <v>200</v>
      </c>
      <c r="H57" s="27">
        <f t="shared" si="3"/>
        <v>3</v>
      </c>
      <c r="I57" s="6" t="s">
        <v>164</v>
      </c>
      <c r="J57" s="23" t="str">
        <f>VLOOKUP(E57,各职业基础配置!$B$9:$C$12,2,FALSE)</f>
        <v>101|102|103|4201|105</v>
      </c>
      <c r="K57" s="18" t="str">
        <f>VLOOKUP(E57,各职业基础配置!$B$15:$C$18,2,FALSE)</f>
        <v>24|25|26|27</v>
      </c>
      <c r="L57" s="18" t="str">
        <f>VLOOKUP(E57,各职业基础配置!B:C,2,FALSE)</f>
        <v>[{24,1,1},{25,1,1},{26,1,1},{27,1,1},{1,1,1},{2,1,1},{3,1,1}]</v>
      </c>
      <c r="M57" s="18">
        <v>0</v>
      </c>
      <c r="N57" s="18">
        <f t="shared" si="4"/>
        <v>3</v>
      </c>
      <c r="O57" s="18">
        <f>SUMPRODUCT(P57:AI57,Sheet2!$B$3:$U$3)</f>
        <v>709321</v>
      </c>
      <c r="P57" s="18">
        <f>CEILING(INDEX([1]系统模型!$VD:$VD,MATCH(C57,[1]系统模型!$A:$A,0))*POWER(C57/220,3.8)-50+(1000-A57),1)</f>
        <v>15074</v>
      </c>
      <c r="Q57" s="18">
        <f>CEILING(INDEX([1]系统模型!$VE:$VE,MATCH(C57,[1]系统模型!$A:$A,0))*POWER(C57/220,4),1)</f>
        <v>3076</v>
      </c>
      <c r="R57" s="18">
        <f>INT(INDEX([1]系统模型!$VF:$VF,MATCH(C57,[1]系统模型!$A:$A,0))*MAX(POWER(C57/180,4),0.5))</f>
        <v>173596</v>
      </c>
      <c r="S57" s="5">
        <v>1000</v>
      </c>
      <c r="T57" s="25">
        <v>0</v>
      </c>
      <c r="U57" s="25">
        <v>0</v>
      </c>
      <c r="V57" s="25">
        <v>0</v>
      </c>
      <c r="W57" s="25">
        <v>0</v>
      </c>
      <c r="X57" s="25">
        <f t="shared" si="5"/>
        <v>8679</v>
      </c>
      <c r="Y57" s="12">
        <v>0</v>
      </c>
      <c r="Z57" s="25">
        <v>100</v>
      </c>
      <c r="AA57" s="25">
        <v>150</v>
      </c>
      <c r="AB57" s="25">
        <v>0</v>
      </c>
      <c r="AC57" s="25">
        <v>0</v>
      </c>
      <c r="AD57" s="25">
        <v>0</v>
      </c>
      <c r="AE57" s="25">
        <f t="shared" si="6"/>
        <v>482</v>
      </c>
      <c r="AF57" s="25">
        <f t="shared" si="7"/>
        <v>482</v>
      </c>
      <c r="AG57" s="25">
        <v>0</v>
      </c>
      <c r="AH57" s="25">
        <f t="shared" si="8"/>
        <v>9325</v>
      </c>
      <c r="AI57" s="25">
        <f t="shared" si="9"/>
        <v>200</v>
      </c>
      <c r="AJ57" s="25">
        <v>1</v>
      </c>
      <c r="AK57" s="25">
        <v>1000</v>
      </c>
      <c r="AL57" s="25">
        <v>100</v>
      </c>
      <c r="AM57" s="26">
        <v>10</v>
      </c>
      <c r="AN57" s="26">
        <v>10</v>
      </c>
      <c r="AO57" s="22" t="s">
        <v>2211</v>
      </c>
      <c r="AP57" s="26">
        <v>0</v>
      </c>
      <c r="AQ57" s="26">
        <f t="shared" si="10"/>
        <v>950</v>
      </c>
      <c r="AR57" s="18" t="str">
        <f ca="1">CONCATENATE(OFFSET(Sheet1!$A$2,RANDBETWEEN(2,500),0,1,1),OFFSET(Sheet1!$A$2,RANDBETWEEN(2,500),RANDBETWEEN(1,5),1,1))</f>
        <v>布尼安多琳</v>
      </c>
      <c r="AS57">
        <f>SUMPRODUCT(P57:AI57,Sheet2!$B$3:$U$3)</f>
        <v>709321</v>
      </c>
    </row>
    <row r="58" spans="1:45" x14ac:dyDescent="0.15">
      <c r="A58" s="23">
        <v>57</v>
      </c>
      <c r="B58" s="18" t="s">
        <v>443</v>
      </c>
      <c r="C58" s="18">
        <f t="shared" si="0"/>
        <v>241</v>
      </c>
      <c r="D58" s="19">
        <f t="shared" si="1"/>
        <v>3</v>
      </c>
      <c r="E58" s="19">
        <f>VLOOKUP(MOD(A58,4),各职业基础配置!C$32:D$35,2,FALSE)</f>
        <v>3</v>
      </c>
      <c r="F58" s="19">
        <f>IF(A58&lt;900,INDEX(各职业基础配置!C$23:C$28,MOD(ROW(A58),4)+1),0)</f>
        <v>14</v>
      </c>
      <c r="G58" s="19">
        <f t="shared" si="2"/>
        <v>200</v>
      </c>
      <c r="H58" s="27">
        <f t="shared" si="3"/>
        <v>3</v>
      </c>
      <c r="I58" s="6" t="s">
        <v>164</v>
      </c>
      <c r="J58" s="23" t="str">
        <f>VLOOKUP(E58,各职业基础配置!$B$9:$C$12,2,FALSE)</f>
        <v>106|107|108|4201|110</v>
      </c>
      <c r="K58" s="18" t="str">
        <f>VLOOKUP(E58,各职业基础配置!$B$15:$C$18,2,FALSE)</f>
        <v>20|21|22|23</v>
      </c>
      <c r="L58" s="18" t="str">
        <f>VLOOKUP(E58,各职业基础配置!B:C,2,FALSE)</f>
        <v>[{20,1,1},{21,1,1},{22,1,1},{23,1,1},{4,1,1},{5,1,1},{6,1,1}]</v>
      </c>
      <c r="M58" s="18">
        <v>0</v>
      </c>
      <c r="N58" s="18">
        <f t="shared" si="4"/>
        <v>7</v>
      </c>
      <c r="O58" s="18">
        <f>SUMPRODUCT(P58:AI58,Sheet2!$B$3:$U$3)</f>
        <v>709296</v>
      </c>
      <c r="P58" s="18">
        <f>CEILING(INDEX([1]系统模型!$VD:$VD,MATCH(C58,[1]系统模型!$A:$A,0))*POWER(C58/220,3.8)-50+(1000-A58),1)</f>
        <v>15073</v>
      </c>
      <c r="Q58" s="18">
        <f>CEILING(INDEX([1]系统模型!$VE:$VE,MATCH(C58,[1]系统模型!$A:$A,0))*POWER(C58/220,4),1)</f>
        <v>3076</v>
      </c>
      <c r="R58" s="18">
        <f>INT(INDEX([1]系统模型!$VF:$VF,MATCH(C58,[1]系统模型!$A:$A,0))*MAX(POWER(C58/180,4),0.5))</f>
        <v>173596</v>
      </c>
      <c r="S58" s="5">
        <v>1000</v>
      </c>
      <c r="T58" s="25">
        <v>0</v>
      </c>
      <c r="U58" s="25">
        <v>0</v>
      </c>
      <c r="V58" s="25">
        <v>0</v>
      </c>
      <c r="W58" s="25">
        <v>0</v>
      </c>
      <c r="X58" s="25">
        <f t="shared" si="5"/>
        <v>8679</v>
      </c>
      <c r="Y58" s="12">
        <v>0</v>
      </c>
      <c r="Z58" s="25">
        <v>100</v>
      </c>
      <c r="AA58" s="25">
        <v>150</v>
      </c>
      <c r="AB58" s="25">
        <v>0</v>
      </c>
      <c r="AC58" s="25">
        <v>0</v>
      </c>
      <c r="AD58" s="25">
        <v>0</v>
      </c>
      <c r="AE58" s="25">
        <f t="shared" si="6"/>
        <v>482</v>
      </c>
      <c r="AF58" s="25">
        <f t="shared" si="7"/>
        <v>482</v>
      </c>
      <c r="AG58" s="25">
        <v>0</v>
      </c>
      <c r="AH58" s="25">
        <f t="shared" si="8"/>
        <v>9325</v>
      </c>
      <c r="AI58" s="25">
        <f t="shared" si="9"/>
        <v>200</v>
      </c>
      <c r="AJ58" s="25">
        <v>1</v>
      </c>
      <c r="AK58" s="25">
        <v>1000</v>
      </c>
      <c r="AL58" s="25">
        <v>100</v>
      </c>
      <c r="AM58" s="26">
        <v>10</v>
      </c>
      <c r="AN58" s="26">
        <v>10</v>
      </c>
      <c r="AO58" s="22" t="s">
        <v>2211</v>
      </c>
      <c r="AP58" s="26">
        <v>0</v>
      </c>
      <c r="AQ58" s="26">
        <f t="shared" si="10"/>
        <v>950</v>
      </c>
      <c r="AR58" s="18" t="str">
        <f ca="1">CONCATENATE(OFFSET(Sheet1!$A$2,RANDBETWEEN(2,500),0,1,1),OFFSET(Sheet1!$A$2,RANDBETWEEN(2,500),RANDBETWEEN(1,5),1,1))</f>
        <v>丘吉尔记忆</v>
      </c>
      <c r="AS58">
        <f>SUMPRODUCT(P58:AI58,Sheet2!$B$3:$U$3)</f>
        <v>709296</v>
      </c>
    </row>
    <row r="59" spans="1:45" x14ac:dyDescent="0.15">
      <c r="A59" s="18">
        <v>58</v>
      </c>
      <c r="B59" s="18" t="s">
        <v>1147</v>
      </c>
      <c r="C59" s="18">
        <f t="shared" si="0"/>
        <v>241</v>
      </c>
      <c r="D59" s="19">
        <f t="shared" si="1"/>
        <v>2</v>
      </c>
      <c r="E59" s="19">
        <f>VLOOKUP(MOD(A59,4),各职业基础配置!C$32:D$35,2,FALSE)</f>
        <v>6</v>
      </c>
      <c r="F59" s="19">
        <f>IF(A59&lt;900,INDEX(各职业基础配置!C$23:C$28,MOD(ROW(A59),4)+1),0)</f>
        <v>16</v>
      </c>
      <c r="G59" s="19">
        <f t="shared" si="2"/>
        <v>200</v>
      </c>
      <c r="H59" s="27">
        <f t="shared" si="3"/>
        <v>3</v>
      </c>
      <c r="I59" s="6" t="s">
        <v>164</v>
      </c>
      <c r="J59" s="23" t="str">
        <f>VLOOKUP(E59,各职业基础配置!$B$9:$C$12,2,FALSE)</f>
        <v>111|112|113|4201|115</v>
      </c>
      <c r="K59" s="18" t="str">
        <f>VLOOKUP(E59,各职业基础配置!$B$15:$C$18,2,FALSE)</f>
        <v>32|33|34</v>
      </c>
      <c r="L59" s="18" t="str">
        <f>VLOOKUP(E59,各职业基础配置!B:C,2,FALSE)</f>
        <v>[{32,1,1},{33,1,1},{34,1,1},{35,1,1},{7,1,1},{8,1,1},{9,1,1}]</v>
      </c>
      <c r="M59" s="18">
        <v>0</v>
      </c>
      <c r="N59" s="18">
        <f t="shared" si="4"/>
        <v>7</v>
      </c>
      <c r="O59" s="18">
        <f>SUMPRODUCT(P59:AI59,Sheet2!$B$3:$U$3)</f>
        <v>709271</v>
      </c>
      <c r="P59" s="18">
        <f>CEILING(INDEX([1]系统模型!$VD:$VD,MATCH(C59,[1]系统模型!$A:$A,0))*POWER(C59/220,3.8)-50+(1000-A59),1)</f>
        <v>15072</v>
      </c>
      <c r="Q59" s="18">
        <f>CEILING(INDEX([1]系统模型!$VE:$VE,MATCH(C59,[1]系统模型!$A:$A,0))*POWER(C59/220,4),1)</f>
        <v>3076</v>
      </c>
      <c r="R59" s="18">
        <f>INT(INDEX([1]系统模型!$VF:$VF,MATCH(C59,[1]系统模型!$A:$A,0))*MAX(POWER(C59/180,4),0.5))</f>
        <v>173596</v>
      </c>
      <c r="S59" s="5">
        <v>1000</v>
      </c>
      <c r="T59" s="25">
        <v>0</v>
      </c>
      <c r="U59" s="25">
        <v>0</v>
      </c>
      <c r="V59" s="25">
        <v>0</v>
      </c>
      <c r="W59" s="25">
        <v>0</v>
      </c>
      <c r="X59" s="25">
        <f t="shared" si="5"/>
        <v>8679</v>
      </c>
      <c r="Y59" s="12">
        <v>0</v>
      </c>
      <c r="Z59" s="25">
        <v>100</v>
      </c>
      <c r="AA59" s="25">
        <v>150</v>
      </c>
      <c r="AB59" s="25">
        <v>0</v>
      </c>
      <c r="AC59" s="25">
        <v>0</v>
      </c>
      <c r="AD59" s="25">
        <v>0</v>
      </c>
      <c r="AE59" s="25">
        <f t="shared" si="6"/>
        <v>482</v>
      </c>
      <c r="AF59" s="25">
        <f t="shared" si="7"/>
        <v>482</v>
      </c>
      <c r="AG59" s="25">
        <v>0</v>
      </c>
      <c r="AH59" s="25">
        <f t="shared" si="8"/>
        <v>9325</v>
      </c>
      <c r="AI59" s="25">
        <f t="shared" si="9"/>
        <v>200</v>
      </c>
      <c r="AJ59" s="25">
        <v>1</v>
      </c>
      <c r="AK59" s="25">
        <v>1000</v>
      </c>
      <c r="AL59" s="25">
        <v>100</v>
      </c>
      <c r="AM59" s="26">
        <v>10</v>
      </c>
      <c r="AN59" s="26">
        <v>10</v>
      </c>
      <c r="AO59" s="22" t="s">
        <v>2211</v>
      </c>
      <c r="AP59" s="26">
        <v>0</v>
      </c>
      <c r="AQ59" s="26">
        <f t="shared" si="10"/>
        <v>950</v>
      </c>
      <c r="AR59" s="18" t="str">
        <f ca="1">CONCATENATE(OFFSET(Sheet1!$A$2,RANDBETWEEN(2,500),0,1,1),OFFSET(Sheet1!$A$2,RANDBETWEEN(2,500),RANDBETWEEN(1,5),1,1))</f>
        <v>哈姆雷特</v>
      </c>
      <c r="AS59">
        <f>SUMPRODUCT(P59:AI59,Sheet2!$B$3:$U$3)</f>
        <v>709271</v>
      </c>
    </row>
    <row r="60" spans="1:45" x14ac:dyDescent="0.15">
      <c r="A60" s="18">
        <v>59</v>
      </c>
      <c r="B60" s="18" t="s">
        <v>572</v>
      </c>
      <c r="C60" s="18">
        <f t="shared" si="0"/>
        <v>241</v>
      </c>
      <c r="D60" s="19">
        <f t="shared" si="1"/>
        <v>3</v>
      </c>
      <c r="E60" s="19">
        <f>VLOOKUP(MOD(A60,4),各职业基础配置!C$32:D$35,2,FALSE)</f>
        <v>9</v>
      </c>
      <c r="F60" s="19">
        <f>IF(A60&lt;900,INDEX(各职业基础配置!C$23:C$28,MOD(ROW(A60),4)+1),0)</f>
        <v>8</v>
      </c>
      <c r="G60" s="19">
        <f t="shared" si="2"/>
        <v>200</v>
      </c>
      <c r="H60" s="27">
        <f t="shared" si="3"/>
        <v>3</v>
      </c>
      <c r="I60" s="6" t="s">
        <v>164</v>
      </c>
      <c r="J60" s="23" t="str">
        <f>VLOOKUP(E60,各职业基础配置!$B$9:$C$12,2,FALSE)</f>
        <v>116|117|118|4201|120</v>
      </c>
      <c r="K60" s="18" t="str">
        <f>VLOOKUP(E60,各职业基础配置!$B$15:$C$18,2,FALSE)</f>
        <v>28|29|30|31</v>
      </c>
      <c r="L60" s="18" t="str">
        <f>VLOOKUP(E60,各职业基础配置!B:C,2,FALSE)</f>
        <v>[{28,1,1},{29,1,1},{30,1,1},{31,1,1},{10,1,1},{11,1,1},{12,1,1}]</v>
      </c>
      <c r="M60" s="18">
        <v>0</v>
      </c>
      <c r="N60" s="18">
        <f t="shared" si="4"/>
        <v>3</v>
      </c>
      <c r="O60" s="18">
        <f>SUMPRODUCT(P60:AI60,Sheet2!$B$3:$U$3)</f>
        <v>709246</v>
      </c>
      <c r="P60" s="18">
        <f>CEILING(INDEX([1]系统模型!$VD:$VD,MATCH(C60,[1]系统模型!$A:$A,0))*POWER(C60/220,3.8)-50+(1000-A60),1)</f>
        <v>15071</v>
      </c>
      <c r="Q60" s="18">
        <f>CEILING(INDEX([1]系统模型!$VE:$VE,MATCH(C60,[1]系统模型!$A:$A,0))*POWER(C60/220,4),1)</f>
        <v>3076</v>
      </c>
      <c r="R60" s="18">
        <f>INT(INDEX([1]系统模型!$VF:$VF,MATCH(C60,[1]系统模型!$A:$A,0))*MAX(POWER(C60/180,4),0.5))</f>
        <v>173596</v>
      </c>
      <c r="S60" s="5">
        <v>1000</v>
      </c>
      <c r="T60" s="25">
        <v>0</v>
      </c>
      <c r="U60" s="25">
        <v>0</v>
      </c>
      <c r="V60" s="25">
        <v>0</v>
      </c>
      <c r="W60" s="25">
        <v>0</v>
      </c>
      <c r="X60" s="25">
        <f t="shared" si="5"/>
        <v>8679</v>
      </c>
      <c r="Y60" s="12">
        <v>0</v>
      </c>
      <c r="Z60" s="25">
        <v>100</v>
      </c>
      <c r="AA60" s="25">
        <v>150</v>
      </c>
      <c r="AB60" s="25">
        <v>0</v>
      </c>
      <c r="AC60" s="25">
        <v>0</v>
      </c>
      <c r="AD60" s="25">
        <v>0</v>
      </c>
      <c r="AE60" s="25">
        <f t="shared" si="6"/>
        <v>482</v>
      </c>
      <c r="AF60" s="25">
        <f t="shared" si="7"/>
        <v>482</v>
      </c>
      <c r="AG60" s="25">
        <v>0</v>
      </c>
      <c r="AH60" s="25">
        <f t="shared" si="8"/>
        <v>9325</v>
      </c>
      <c r="AI60" s="25">
        <f t="shared" si="9"/>
        <v>200</v>
      </c>
      <c r="AJ60" s="25">
        <v>1</v>
      </c>
      <c r="AK60" s="25">
        <v>1000</v>
      </c>
      <c r="AL60" s="25">
        <v>100</v>
      </c>
      <c r="AM60" s="26">
        <v>10</v>
      </c>
      <c r="AN60" s="26">
        <v>10</v>
      </c>
      <c r="AO60" s="22" t="s">
        <v>2211</v>
      </c>
      <c r="AP60" s="26">
        <v>0</v>
      </c>
      <c r="AQ60" s="26">
        <f t="shared" si="10"/>
        <v>940</v>
      </c>
      <c r="AR60" s="18" t="str">
        <f ca="1">CONCATENATE(OFFSET(Sheet1!$A$2,RANDBETWEEN(2,500),0,1,1),OFFSET(Sheet1!$A$2,RANDBETWEEN(2,500),RANDBETWEEN(1,5),1,1))</f>
        <v>埃维莉娜</v>
      </c>
      <c r="AS60">
        <f>SUMPRODUCT(P60:AI60,Sheet2!$B$3:$U$3)</f>
        <v>709246</v>
      </c>
    </row>
    <row r="61" spans="1:45" x14ac:dyDescent="0.15">
      <c r="A61" s="23">
        <v>60</v>
      </c>
      <c r="B61" s="18" t="s">
        <v>1038</v>
      </c>
      <c r="C61" s="18">
        <f t="shared" si="0"/>
        <v>241</v>
      </c>
      <c r="D61" s="19">
        <f t="shared" si="1"/>
        <v>2</v>
      </c>
      <c r="E61" s="19">
        <f>VLOOKUP(MOD(A61,4),各职业基础配置!C$32:D$35,2,FALSE)</f>
        <v>1</v>
      </c>
      <c r="F61" s="19">
        <f>IF(A61&lt;900,INDEX(各职业基础配置!C$23:C$28,MOD(ROW(A61),4)+1),0)</f>
        <v>13</v>
      </c>
      <c r="G61" s="19">
        <f t="shared" si="2"/>
        <v>200</v>
      </c>
      <c r="H61" s="27">
        <f t="shared" si="3"/>
        <v>3</v>
      </c>
      <c r="I61" s="6" t="s">
        <v>164</v>
      </c>
      <c r="J61" s="23" t="str">
        <f>VLOOKUP(E61,各职业基础配置!$B$9:$C$12,2,FALSE)</f>
        <v>101|102|103|4201|105</v>
      </c>
      <c r="K61" s="18" t="str">
        <f>VLOOKUP(E61,各职业基础配置!$B$15:$C$18,2,FALSE)</f>
        <v>24|25|26|27</v>
      </c>
      <c r="L61" s="18" t="str">
        <f>VLOOKUP(E61,各职业基础配置!B:C,2,FALSE)</f>
        <v>[{24,1,1},{25,1,1},{26,1,1},{27,1,1},{1,1,1},{2,1,1},{3,1,1}]</v>
      </c>
      <c r="M61" s="18">
        <v>0</v>
      </c>
      <c r="N61" s="18">
        <f t="shared" si="4"/>
        <v>3</v>
      </c>
      <c r="O61" s="18">
        <f>SUMPRODUCT(P61:AI61,Sheet2!$B$3:$U$3)</f>
        <v>709221</v>
      </c>
      <c r="P61" s="18">
        <f>CEILING(INDEX([1]系统模型!$VD:$VD,MATCH(C61,[1]系统模型!$A:$A,0))*POWER(C61/220,3.8)-50+(1000-A61),1)</f>
        <v>15070</v>
      </c>
      <c r="Q61" s="18">
        <f>CEILING(INDEX([1]系统模型!$VE:$VE,MATCH(C61,[1]系统模型!$A:$A,0))*POWER(C61/220,4),1)</f>
        <v>3076</v>
      </c>
      <c r="R61" s="18">
        <f>INT(INDEX([1]系统模型!$VF:$VF,MATCH(C61,[1]系统模型!$A:$A,0))*MAX(POWER(C61/180,4),0.5))</f>
        <v>173596</v>
      </c>
      <c r="S61" s="5">
        <v>1000</v>
      </c>
      <c r="T61" s="25">
        <v>0</v>
      </c>
      <c r="U61" s="25">
        <v>0</v>
      </c>
      <c r="V61" s="25">
        <v>0</v>
      </c>
      <c r="W61" s="25">
        <v>0</v>
      </c>
      <c r="X61" s="25">
        <f t="shared" si="5"/>
        <v>8679</v>
      </c>
      <c r="Y61" s="12">
        <v>0</v>
      </c>
      <c r="Z61" s="25">
        <v>100</v>
      </c>
      <c r="AA61" s="25">
        <v>150</v>
      </c>
      <c r="AB61" s="25">
        <v>0</v>
      </c>
      <c r="AC61" s="25">
        <v>0</v>
      </c>
      <c r="AD61" s="25">
        <v>0</v>
      </c>
      <c r="AE61" s="25">
        <f t="shared" si="6"/>
        <v>482</v>
      </c>
      <c r="AF61" s="25">
        <f t="shared" si="7"/>
        <v>482</v>
      </c>
      <c r="AG61" s="25">
        <v>0</v>
      </c>
      <c r="AH61" s="25">
        <f t="shared" si="8"/>
        <v>9325</v>
      </c>
      <c r="AI61" s="25">
        <f t="shared" si="9"/>
        <v>200</v>
      </c>
      <c r="AJ61" s="25">
        <v>1</v>
      </c>
      <c r="AK61" s="25">
        <v>1000</v>
      </c>
      <c r="AL61" s="25">
        <v>100</v>
      </c>
      <c r="AM61" s="26">
        <v>10</v>
      </c>
      <c r="AN61" s="26">
        <v>10</v>
      </c>
      <c r="AO61" s="22" t="s">
        <v>2211</v>
      </c>
      <c r="AP61" s="26">
        <v>0</v>
      </c>
      <c r="AQ61" s="26">
        <f t="shared" si="10"/>
        <v>940</v>
      </c>
      <c r="AR61" s="18" t="str">
        <f ca="1">CONCATENATE(OFFSET(Sheet1!$A$2,RANDBETWEEN(2,500),0,1,1),OFFSET(Sheet1!$A$2,RANDBETWEEN(2,500),RANDBETWEEN(1,5),1,1))</f>
        <v>克伦威尔金百莉</v>
      </c>
      <c r="AS61">
        <f>SUMPRODUCT(P61:AI61,Sheet2!$B$3:$U$3)</f>
        <v>709221</v>
      </c>
    </row>
    <row r="62" spans="1:45" x14ac:dyDescent="0.15">
      <c r="A62" s="18">
        <v>61</v>
      </c>
      <c r="B62" s="18" t="s">
        <v>1856</v>
      </c>
      <c r="C62" s="18">
        <f t="shared" si="0"/>
        <v>240</v>
      </c>
      <c r="D62" s="19">
        <f t="shared" si="1"/>
        <v>3</v>
      </c>
      <c r="E62" s="19">
        <f>VLOOKUP(MOD(A62,4),各职业基础配置!C$32:D$35,2,FALSE)</f>
        <v>3</v>
      </c>
      <c r="F62" s="19">
        <f>IF(A62&lt;900,INDEX(各职业基础配置!C$23:C$28,MOD(ROW(A62),4)+1),0)</f>
        <v>14</v>
      </c>
      <c r="G62" s="19">
        <f t="shared" si="2"/>
        <v>195</v>
      </c>
      <c r="H62" s="27">
        <f t="shared" si="3"/>
        <v>3</v>
      </c>
      <c r="I62" s="6" t="s">
        <v>164</v>
      </c>
      <c r="J62" s="23" t="str">
        <f>VLOOKUP(E62,各职业基础配置!$B$9:$C$12,2,FALSE)</f>
        <v>106|107|108|4201|110</v>
      </c>
      <c r="K62" s="18" t="str">
        <f>VLOOKUP(E62,各职业基础配置!$B$15:$C$18,2,FALSE)</f>
        <v>20|21|22|23</v>
      </c>
      <c r="L62" s="18" t="str">
        <f>VLOOKUP(E62,各职业基础配置!B:C,2,FALSE)</f>
        <v>[{20,1,1},{21,1,1},{22,1,1},{23,1,1},{4,1,1},{5,1,1},{6,1,1}]</v>
      </c>
      <c r="M62" s="18">
        <v>0</v>
      </c>
      <c r="N62" s="18">
        <f t="shared" si="4"/>
        <v>7</v>
      </c>
      <c r="O62" s="18">
        <f>SUMPRODUCT(P62:AI62,Sheet2!$B$3:$U$3)</f>
        <v>692596</v>
      </c>
      <c r="P62" s="18">
        <f>CEILING(INDEX([1]系统模型!$VD:$VD,MATCH(C62,[1]系统模型!$A:$A,0))*POWER(C62/220,3.8)-50+(1000-A62),1)</f>
        <v>14732</v>
      </c>
      <c r="Q62" s="18">
        <f>CEILING(INDEX([1]系统模型!$VE:$VE,MATCH(C62,[1]系统模型!$A:$A,0))*POWER(C62/220,4),1)</f>
        <v>2972</v>
      </c>
      <c r="R62" s="18">
        <f>INT(INDEX([1]系统模型!$VF:$VF,MATCH(C62,[1]系统模型!$A:$A,0))*MAX(POWER(C62/180,4),0.5))</f>
        <v>168596</v>
      </c>
      <c r="S62" s="5">
        <v>1000</v>
      </c>
      <c r="T62" s="25">
        <v>0</v>
      </c>
      <c r="U62" s="25">
        <v>0</v>
      </c>
      <c r="V62" s="25">
        <v>0</v>
      </c>
      <c r="W62" s="25">
        <v>0</v>
      </c>
      <c r="X62" s="25">
        <f t="shared" si="5"/>
        <v>8429</v>
      </c>
      <c r="Y62" s="12">
        <v>0</v>
      </c>
      <c r="Z62" s="25">
        <v>100</v>
      </c>
      <c r="AA62" s="25">
        <v>150</v>
      </c>
      <c r="AB62" s="25">
        <v>0</v>
      </c>
      <c r="AC62" s="25">
        <v>0</v>
      </c>
      <c r="AD62" s="25">
        <v>0</v>
      </c>
      <c r="AE62" s="25">
        <f t="shared" si="6"/>
        <v>480</v>
      </c>
      <c r="AF62" s="25">
        <f t="shared" si="7"/>
        <v>480</v>
      </c>
      <c r="AG62" s="25">
        <v>0</v>
      </c>
      <c r="AH62" s="25">
        <f t="shared" si="8"/>
        <v>9250</v>
      </c>
      <c r="AI62" s="25">
        <f t="shared" si="9"/>
        <v>196</v>
      </c>
      <c r="AJ62" s="25">
        <v>1</v>
      </c>
      <c r="AK62" s="25">
        <v>1000</v>
      </c>
      <c r="AL62" s="25">
        <v>100</v>
      </c>
      <c r="AM62" s="26">
        <v>10</v>
      </c>
      <c r="AN62" s="26">
        <v>10</v>
      </c>
      <c r="AO62" s="22" t="s">
        <v>2211</v>
      </c>
      <c r="AP62" s="26">
        <v>0</v>
      </c>
      <c r="AQ62" s="26">
        <f t="shared" si="10"/>
        <v>940</v>
      </c>
      <c r="AR62" s="18" t="str">
        <f ca="1">CONCATENATE(OFFSET(Sheet1!$A$2,RANDBETWEEN(2,500),0,1,1),OFFSET(Sheet1!$A$2,RANDBETWEEN(2,500),RANDBETWEEN(1,5),1,1))</f>
        <v>赫胥黎</v>
      </c>
      <c r="AS62">
        <f>SUMPRODUCT(P62:AI62,Sheet2!$B$3:$U$3)</f>
        <v>692596</v>
      </c>
    </row>
    <row r="63" spans="1:45" x14ac:dyDescent="0.15">
      <c r="A63" s="18">
        <v>62</v>
      </c>
      <c r="B63" s="18" t="s">
        <v>1208</v>
      </c>
      <c r="C63" s="18">
        <f t="shared" si="0"/>
        <v>240</v>
      </c>
      <c r="D63" s="19">
        <f t="shared" si="1"/>
        <v>2</v>
      </c>
      <c r="E63" s="19">
        <f>VLOOKUP(MOD(A63,4),各职业基础配置!C$32:D$35,2,FALSE)</f>
        <v>6</v>
      </c>
      <c r="F63" s="19">
        <f>IF(A63&lt;900,INDEX(各职业基础配置!C$23:C$28,MOD(ROW(A63),4)+1),0)</f>
        <v>16</v>
      </c>
      <c r="G63" s="19">
        <f t="shared" si="2"/>
        <v>195</v>
      </c>
      <c r="H63" s="27">
        <f t="shared" si="3"/>
        <v>3</v>
      </c>
      <c r="I63" s="6" t="s">
        <v>164</v>
      </c>
      <c r="J63" s="23" t="str">
        <f>VLOOKUP(E63,各职业基础配置!$B$9:$C$12,2,FALSE)</f>
        <v>111|112|113|4201|115</v>
      </c>
      <c r="K63" s="18" t="str">
        <f>VLOOKUP(E63,各职业基础配置!$B$15:$C$18,2,FALSE)</f>
        <v>32|33|34</v>
      </c>
      <c r="L63" s="18" t="str">
        <f>VLOOKUP(E63,各职业基础配置!B:C,2,FALSE)</f>
        <v>[{32,1,1},{33,1,1},{34,1,1},{35,1,1},{7,1,1},{8,1,1},{9,1,1}]</v>
      </c>
      <c r="M63" s="18">
        <v>0</v>
      </c>
      <c r="N63" s="18">
        <f t="shared" si="4"/>
        <v>7</v>
      </c>
      <c r="O63" s="18">
        <f>SUMPRODUCT(P63:AI63,Sheet2!$B$3:$U$3)</f>
        <v>692571</v>
      </c>
      <c r="P63" s="18">
        <f>CEILING(INDEX([1]系统模型!$VD:$VD,MATCH(C63,[1]系统模型!$A:$A,0))*POWER(C63/220,3.8)-50+(1000-A63),1)</f>
        <v>14731</v>
      </c>
      <c r="Q63" s="18">
        <f>CEILING(INDEX([1]系统模型!$VE:$VE,MATCH(C63,[1]系统模型!$A:$A,0))*POWER(C63/220,4),1)</f>
        <v>2972</v>
      </c>
      <c r="R63" s="18">
        <f>INT(INDEX([1]系统模型!$VF:$VF,MATCH(C63,[1]系统模型!$A:$A,0))*MAX(POWER(C63/180,4),0.5))</f>
        <v>168596</v>
      </c>
      <c r="S63" s="5">
        <v>1000</v>
      </c>
      <c r="T63" s="25">
        <v>0</v>
      </c>
      <c r="U63" s="25">
        <v>0</v>
      </c>
      <c r="V63" s="25">
        <v>0</v>
      </c>
      <c r="W63" s="25">
        <v>0</v>
      </c>
      <c r="X63" s="25">
        <f t="shared" si="5"/>
        <v>8429</v>
      </c>
      <c r="Y63" s="12">
        <v>0</v>
      </c>
      <c r="Z63" s="25">
        <v>100</v>
      </c>
      <c r="AA63" s="25">
        <v>150</v>
      </c>
      <c r="AB63" s="25">
        <v>0</v>
      </c>
      <c r="AC63" s="25">
        <v>0</v>
      </c>
      <c r="AD63" s="25">
        <v>0</v>
      </c>
      <c r="AE63" s="25">
        <f t="shared" si="6"/>
        <v>480</v>
      </c>
      <c r="AF63" s="25">
        <f t="shared" si="7"/>
        <v>480</v>
      </c>
      <c r="AG63" s="25">
        <v>0</v>
      </c>
      <c r="AH63" s="25">
        <f t="shared" si="8"/>
        <v>9250</v>
      </c>
      <c r="AI63" s="25">
        <f t="shared" si="9"/>
        <v>196</v>
      </c>
      <c r="AJ63" s="25">
        <v>1</v>
      </c>
      <c r="AK63" s="25">
        <v>1000</v>
      </c>
      <c r="AL63" s="25">
        <v>100</v>
      </c>
      <c r="AM63" s="26">
        <v>10</v>
      </c>
      <c r="AN63" s="26">
        <v>10</v>
      </c>
      <c r="AO63" s="22" t="s">
        <v>2211</v>
      </c>
      <c r="AP63" s="26">
        <v>0</v>
      </c>
      <c r="AQ63" s="26">
        <f t="shared" si="10"/>
        <v>940</v>
      </c>
      <c r="AR63" s="18" t="str">
        <f ca="1">CONCATENATE(OFFSET(Sheet1!$A$2,RANDBETWEEN(2,500),0,1,1),OFFSET(Sheet1!$A$2,RANDBETWEEN(2,500),RANDBETWEEN(1,5),1,1))</f>
        <v>哈罗德</v>
      </c>
      <c r="AS63">
        <f>SUMPRODUCT(P63:AI63,Sheet2!$B$3:$U$3)</f>
        <v>692571</v>
      </c>
    </row>
    <row r="64" spans="1:45" x14ac:dyDescent="0.15">
      <c r="A64" s="23">
        <v>63</v>
      </c>
      <c r="B64" s="18" t="s">
        <v>1273</v>
      </c>
      <c r="C64" s="18">
        <f t="shared" si="0"/>
        <v>240</v>
      </c>
      <c r="D64" s="19">
        <f t="shared" si="1"/>
        <v>3</v>
      </c>
      <c r="E64" s="19">
        <f>VLOOKUP(MOD(A64,4),各职业基础配置!C$32:D$35,2,FALSE)</f>
        <v>9</v>
      </c>
      <c r="F64" s="19">
        <f>IF(A64&lt;900,INDEX(各职业基础配置!C$23:C$28,MOD(ROW(A64),4)+1),0)</f>
        <v>8</v>
      </c>
      <c r="G64" s="19">
        <f t="shared" si="2"/>
        <v>195</v>
      </c>
      <c r="H64" s="27">
        <f t="shared" si="3"/>
        <v>3</v>
      </c>
      <c r="I64" s="6" t="s">
        <v>164</v>
      </c>
      <c r="J64" s="23" t="str">
        <f>VLOOKUP(E64,各职业基础配置!$B$9:$C$12,2,FALSE)</f>
        <v>116|117|118|4201|120</v>
      </c>
      <c r="K64" s="18" t="str">
        <f>VLOOKUP(E64,各职业基础配置!$B$15:$C$18,2,FALSE)</f>
        <v>28|29|30|31</v>
      </c>
      <c r="L64" s="18" t="str">
        <f>VLOOKUP(E64,各职业基础配置!B:C,2,FALSE)</f>
        <v>[{28,1,1},{29,1,1},{30,1,1},{31,1,1},{10,1,1},{11,1,1},{12,1,1}]</v>
      </c>
      <c r="M64" s="18">
        <v>0</v>
      </c>
      <c r="N64" s="18">
        <f t="shared" si="4"/>
        <v>3</v>
      </c>
      <c r="O64" s="18">
        <f>SUMPRODUCT(P64:AI64,Sheet2!$B$3:$U$3)</f>
        <v>692546</v>
      </c>
      <c r="P64" s="18">
        <f>CEILING(INDEX([1]系统模型!$VD:$VD,MATCH(C64,[1]系统模型!$A:$A,0))*POWER(C64/220,3.8)-50+(1000-A64),1)</f>
        <v>14730</v>
      </c>
      <c r="Q64" s="18">
        <f>CEILING(INDEX([1]系统模型!$VE:$VE,MATCH(C64,[1]系统模型!$A:$A,0))*POWER(C64/220,4),1)</f>
        <v>2972</v>
      </c>
      <c r="R64" s="18">
        <f>INT(INDEX([1]系统模型!$VF:$VF,MATCH(C64,[1]系统模型!$A:$A,0))*MAX(POWER(C64/180,4),0.5))</f>
        <v>168596</v>
      </c>
      <c r="S64" s="5">
        <v>1000</v>
      </c>
      <c r="T64" s="25">
        <v>0</v>
      </c>
      <c r="U64" s="25">
        <v>0</v>
      </c>
      <c r="V64" s="25">
        <v>0</v>
      </c>
      <c r="W64" s="25">
        <v>0</v>
      </c>
      <c r="X64" s="25">
        <f t="shared" si="5"/>
        <v>8429</v>
      </c>
      <c r="Y64" s="12">
        <v>0</v>
      </c>
      <c r="Z64" s="25">
        <v>100</v>
      </c>
      <c r="AA64" s="25">
        <v>150</v>
      </c>
      <c r="AB64" s="25">
        <v>0</v>
      </c>
      <c r="AC64" s="25">
        <v>0</v>
      </c>
      <c r="AD64" s="25">
        <v>0</v>
      </c>
      <c r="AE64" s="25">
        <f t="shared" si="6"/>
        <v>480</v>
      </c>
      <c r="AF64" s="25">
        <f t="shared" si="7"/>
        <v>480</v>
      </c>
      <c r="AG64" s="25">
        <v>0</v>
      </c>
      <c r="AH64" s="25">
        <f t="shared" si="8"/>
        <v>9250</v>
      </c>
      <c r="AI64" s="25">
        <f t="shared" si="9"/>
        <v>196</v>
      </c>
      <c r="AJ64" s="25">
        <v>1</v>
      </c>
      <c r="AK64" s="25">
        <v>1000</v>
      </c>
      <c r="AL64" s="25">
        <v>100</v>
      </c>
      <c r="AM64" s="26">
        <v>10</v>
      </c>
      <c r="AN64" s="26">
        <v>10</v>
      </c>
      <c r="AO64" s="22" t="s">
        <v>2211</v>
      </c>
      <c r="AP64" s="26">
        <v>0</v>
      </c>
      <c r="AQ64" s="26">
        <f t="shared" si="10"/>
        <v>940</v>
      </c>
      <c r="AR64" s="18" t="str">
        <f ca="1">CONCATENATE(OFFSET(Sheet1!$A$2,RANDBETWEEN(2,500),0,1,1),OFFSET(Sheet1!$A$2,RANDBETWEEN(2,500),RANDBETWEEN(1,5),1,1))</f>
        <v>安娜</v>
      </c>
      <c r="AS64">
        <f>SUMPRODUCT(P64:AI64,Sheet2!$B$3:$U$3)</f>
        <v>692546</v>
      </c>
    </row>
    <row r="65" spans="1:45" x14ac:dyDescent="0.15">
      <c r="A65" s="18">
        <v>64</v>
      </c>
      <c r="B65" s="18" t="s">
        <v>1029</v>
      </c>
      <c r="C65" s="18">
        <f t="shared" si="0"/>
        <v>240</v>
      </c>
      <c r="D65" s="19">
        <f t="shared" si="1"/>
        <v>2</v>
      </c>
      <c r="E65" s="19">
        <f>VLOOKUP(MOD(A65,4),各职业基础配置!C$32:D$35,2,FALSE)</f>
        <v>1</v>
      </c>
      <c r="F65" s="19">
        <f>IF(A65&lt;900,INDEX(各职业基础配置!C$23:C$28,MOD(ROW(A65),4)+1),0)</f>
        <v>13</v>
      </c>
      <c r="G65" s="19">
        <f t="shared" si="2"/>
        <v>195</v>
      </c>
      <c r="H65" s="27">
        <f t="shared" si="3"/>
        <v>3</v>
      </c>
      <c r="I65" s="6" t="s">
        <v>164</v>
      </c>
      <c r="J65" s="23" t="str">
        <f>VLOOKUP(E65,各职业基础配置!$B$9:$C$12,2,FALSE)</f>
        <v>101|102|103|4201|105</v>
      </c>
      <c r="K65" s="18" t="str">
        <f>VLOOKUP(E65,各职业基础配置!$B$15:$C$18,2,FALSE)</f>
        <v>24|25|26|27</v>
      </c>
      <c r="L65" s="18" t="str">
        <f>VLOOKUP(E65,各职业基础配置!B:C,2,FALSE)</f>
        <v>[{24,1,1},{25,1,1},{26,1,1},{27,1,1},{1,1,1},{2,1,1},{3,1,1}]</v>
      </c>
      <c r="M65" s="18">
        <v>0</v>
      </c>
      <c r="N65" s="18">
        <f t="shared" si="4"/>
        <v>3</v>
      </c>
      <c r="O65" s="18">
        <f>SUMPRODUCT(P65:AI65,Sheet2!$B$3:$U$3)</f>
        <v>692521</v>
      </c>
      <c r="P65" s="18">
        <f>CEILING(INDEX([1]系统模型!$VD:$VD,MATCH(C65,[1]系统模型!$A:$A,0))*POWER(C65/220,3.8)-50+(1000-A65),1)</f>
        <v>14729</v>
      </c>
      <c r="Q65" s="18">
        <f>CEILING(INDEX([1]系统模型!$VE:$VE,MATCH(C65,[1]系统模型!$A:$A,0))*POWER(C65/220,4),1)</f>
        <v>2972</v>
      </c>
      <c r="R65" s="18">
        <f>INT(INDEX([1]系统模型!$VF:$VF,MATCH(C65,[1]系统模型!$A:$A,0))*MAX(POWER(C65/180,4),0.5))</f>
        <v>168596</v>
      </c>
      <c r="S65" s="5">
        <v>1000</v>
      </c>
      <c r="T65" s="25">
        <v>0</v>
      </c>
      <c r="U65" s="25">
        <v>0</v>
      </c>
      <c r="V65" s="25">
        <v>0</v>
      </c>
      <c r="W65" s="25">
        <v>0</v>
      </c>
      <c r="X65" s="25">
        <f t="shared" si="5"/>
        <v>8429</v>
      </c>
      <c r="Y65" s="12">
        <v>0</v>
      </c>
      <c r="Z65" s="25">
        <v>100</v>
      </c>
      <c r="AA65" s="25">
        <v>150</v>
      </c>
      <c r="AB65" s="25">
        <v>0</v>
      </c>
      <c r="AC65" s="25">
        <v>0</v>
      </c>
      <c r="AD65" s="25">
        <v>0</v>
      </c>
      <c r="AE65" s="25">
        <f t="shared" si="6"/>
        <v>480</v>
      </c>
      <c r="AF65" s="25">
        <f t="shared" si="7"/>
        <v>480</v>
      </c>
      <c r="AG65" s="25">
        <v>0</v>
      </c>
      <c r="AH65" s="25">
        <f t="shared" si="8"/>
        <v>9250</v>
      </c>
      <c r="AI65" s="25">
        <f t="shared" si="9"/>
        <v>196</v>
      </c>
      <c r="AJ65" s="25">
        <v>1</v>
      </c>
      <c r="AK65" s="25">
        <v>1000</v>
      </c>
      <c r="AL65" s="25">
        <v>100</v>
      </c>
      <c r="AM65" s="26">
        <v>10</v>
      </c>
      <c r="AN65" s="26">
        <v>10</v>
      </c>
      <c r="AO65" s="22" t="s">
        <v>2211</v>
      </c>
      <c r="AP65" s="26">
        <v>0</v>
      </c>
      <c r="AQ65" s="26">
        <f t="shared" si="10"/>
        <v>940</v>
      </c>
      <c r="AR65" s="18" t="str">
        <f ca="1">CONCATENATE(OFFSET(Sheet1!$A$2,RANDBETWEEN(2,500),0,1,1),OFFSET(Sheet1!$A$2,RANDBETWEEN(2,500),RANDBETWEEN(1,5),1,1))</f>
        <v>加西亚完美</v>
      </c>
      <c r="AS65">
        <f>SUMPRODUCT(P65:AI65,Sheet2!$B$3:$U$3)</f>
        <v>692521</v>
      </c>
    </row>
    <row r="66" spans="1:45" x14ac:dyDescent="0.15">
      <c r="A66" s="18">
        <v>65</v>
      </c>
      <c r="B66" s="18" t="s">
        <v>356</v>
      </c>
      <c r="C66" s="18">
        <f t="shared" si="0"/>
        <v>240</v>
      </c>
      <c r="D66" s="19">
        <f t="shared" si="1"/>
        <v>3</v>
      </c>
      <c r="E66" s="19">
        <f>VLOOKUP(MOD(A66,4),各职业基础配置!C$32:D$35,2,FALSE)</f>
        <v>3</v>
      </c>
      <c r="F66" s="19">
        <f>IF(A66&lt;900,INDEX(各职业基础配置!C$23:C$28,MOD(ROW(A66),4)+1),0)</f>
        <v>14</v>
      </c>
      <c r="G66" s="19">
        <f t="shared" si="2"/>
        <v>195</v>
      </c>
      <c r="H66" s="27">
        <f t="shared" si="3"/>
        <v>3</v>
      </c>
      <c r="I66" s="6" t="s">
        <v>164</v>
      </c>
      <c r="J66" s="23" t="str">
        <f>VLOOKUP(E66,各职业基础配置!$B$9:$C$12,2,FALSE)</f>
        <v>106|107|108|4201|110</v>
      </c>
      <c r="K66" s="18" t="str">
        <f>VLOOKUP(E66,各职业基础配置!$B$15:$C$18,2,FALSE)</f>
        <v>20|21|22|23</v>
      </c>
      <c r="L66" s="18" t="str">
        <f>VLOOKUP(E66,各职业基础配置!B:C,2,FALSE)</f>
        <v>[{20,1,1},{21,1,1},{22,1,1},{23,1,1},{4,1,1},{5,1,1},{6,1,1}]</v>
      </c>
      <c r="M66" s="18">
        <v>0</v>
      </c>
      <c r="N66" s="18">
        <f t="shared" si="4"/>
        <v>7</v>
      </c>
      <c r="O66" s="18">
        <f>SUMPRODUCT(P66:AI66,Sheet2!$B$3:$U$3)</f>
        <v>692496</v>
      </c>
      <c r="P66" s="18">
        <f>CEILING(INDEX([1]系统模型!$VD:$VD,MATCH(C66,[1]系统模型!$A:$A,0))*POWER(C66/220,3.8)-50+(1000-A66),1)</f>
        <v>14728</v>
      </c>
      <c r="Q66" s="18">
        <f>CEILING(INDEX([1]系统模型!$VE:$VE,MATCH(C66,[1]系统模型!$A:$A,0))*POWER(C66/220,4),1)</f>
        <v>2972</v>
      </c>
      <c r="R66" s="18">
        <f>INT(INDEX([1]系统模型!$VF:$VF,MATCH(C66,[1]系统模型!$A:$A,0))*MAX(POWER(C66/180,4),0.5))</f>
        <v>168596</v>
      </c>
      <c r="S66" s="5">
        <v>1000</v>
      </c>
      <c r="T66" s="25">
        <v>0</v>
      </c>
      <c r="U66" s="25">
        <v>0</v>
      </c>
      <c r="V66" s="25">
        <v>0</v>
      </c>
      <c r="W66" s="25">
        <v>0</v>
      </c>
      <c r="X66" s="25">
        <f t="shared" si="5"/>
        <v>8429</v>
      </c>
      <c r="Y66" s="12">
        <v>0</v>
      </c>
      <c r="Z66" s="25">
        <v>100</v>
      </c>
      <c r="AA66" s="25">
        <v>150</v>
      </c>
      <c r="AB66" s="25">
        <v>0</v>
      </c>
      <c r="AC66" s="25">
        <v>0</v>
      </c>
      <c r="AD66" s="25">
        <v>0</v>
      </c>
      <c r="AE66" s="25">
        <f t="shared" si="6"/>
        <v>480</v>
      </c>
      <c r="AF66" s="25">
        <f t="shared" si="7"/>
        <v>480</v>
      </c>
      <c r="AG66" s="25">
        <v>0</v>
      </c>
      <c r="AH66" s="25">
        <f t="shared" si="8"/>
        <v>9250</v>
      </c>
      <c r="AI66" s="25">
        <f t="shared" si="9"/>
        <v>196</v>
      </c>
      <c r="AJ66" s="25">
        <v>1</v>
      </c>
      <c r="AK66" s="25">
        <v>1000</v>
      </c>
      <c r="AL66" s="25">
        <v>100</v>
      </c>
      <c r="AM66" s="26">
        <v>10</v>
      </c>
      <c r="AN66" s="26">
        <v>10</v>
      </c>
      <c r="AO66" s="22" t="s">
        <v>2211</v>
      </c>
      <c r="AP66" s="26">
        <v>0</v>
      </c>
      <c r="AQ66" s="26">
        <f t="shared" si="10"/>
        <v>940</v>
      </c>
      <c r="AR66" s="18" t="str">
        <f ca="1">CONCATENATE(OFFSET(Sheet1!$A$2,RANDBETWEEN(2,500),0,1,1),OFFSET(Sheet1!$A$2,RANDBETWEEN(2,500),RANDBETWEEN(1,5),1,1))</f>
        <v>琼</v>
      </c>
      <c r="AS66">
        <f>SUMPRODUCT(P66:AI66,Sheet2!$B$3:$U$3)</f>
        <v>692496</v>
      </c>
    </row>
    <row r="67" spans="1:45" x14ac:dyDescent="0.15">
      <c r="A67" s="23">
        <v>66</v>
      </c>
      <c r="B67" s="18" t="s">
        <v>1857</v>
      </c>
      <c r="C67" s="18">
        <f t="shared" ref="C67:C130" si="11">INT(250-(150-2)/1000*A67)</f>
        <v>240</v>
      </c>
      <c r="D67" s="19">
        <f t="shared" ref="D67:D130" si="12">MOD(A67,2)+2</f>
        <v>2</v>
      </c>
      <c r="E67" s="19">
        <f>VLOOKUP(MOD(A67,4),各职业基础配置!C$32:D$35,2,FALSE)</f>
        <v>6</v>
      </c>
      <c r="F67" s="19">
        <f>IF(A67&lt;900,INDEX(各职业基础配置!C$23:C$28,MOD(ROW(A67),4)+1),0)</f>
        <v>16</v>
      </c>
      <c r="G67" s="19">
        <f t="shared" ref="G67:G130" si="13">INT(C67*POWER(C67/250,5))</f>
        <v>195</v>
      </c>
      <c r="H67" s="27">
        <f t="shared" ref="H67:H130" si="14">CEILING(C67/75,1)-1</f>
        <v>3</v>
      </c>
      <c r="I67" s="6" t="s">
        <v>164</v>
      </c>
      <c r="J67" s="23" t="str">
        <f>VLOOKUP(E67,各职业基础配置!$B$9:$C$12,2,FALSE)</f>
        <v>111|112|113|4201|115</v>
      </c>
      <c r="K67" s="18" t="str">
        <f>VLOOKUP(E67,各职业基础配置!$B$15:$C$18,2,FALSE)</f>
        <v>32|33|34</v>
      </c>
      <c r="L67" s="18" t="str">
        <f>VLOOKUP(E67,各职业基础配置!B:C,2,FALSE)</f>
        <v>[{32,1,1},{33,1,1},{34,1,1},{35,1,1},{7,1,1},{8,1,1},{9,1,1}]</v>
      </c>
      <c r="M67" s="18">
        <v>0</v>
      </c>
      <c r="N67" s="18">
        <f t="shared" ref="N67:N130" si="15">IF(OR(E67=3,E67=6),7,3)</f>
        <v>7</v>
      </c>
      <c r="O67" s="18">
        <f>SUMPRODUCT(P67:AI67,Sheet2!$B$3:$U$3)</f>
        <v>692471</v>
      </c>
      <c r="P67" s="18">
        <f>CEILING(INDEX([1]系统模型!$VD:$VD,MATCH(C67,[1]系统模型!$A:$A,0))*POWER(C67/220,3.8)-50+(1000-A67),1)</f>
        <v>14727</v>
      </c>
      <c r="Q67" s="18">
        <f>CEILING(INDEX([1]系统模型!$VE:$VE,MATCH(C67,[1]系统模型!$A:$A,0))*POWER(C67/220,4),1)</f>
        <v>2972</v>
      </c>
      <c r="R67" s="18">
        <f>INT(INDEX([1]系统模型!$VF:$VF,MATCH(C67,[1]系统模型!$A:$A,0))*MAX(POWER(C67/180,4),0.5))</f>
        <v>168596</v>
      </c>
      <c r="S67" s="5">
        <v>1000</v>
      </c>
      <c r="T67" s="25">
        <v>0</v>
      </c>
      <c r="U67" s="25">
        <v>0</v>
      </c>
      <c r="V67" s="25">
        <v>0</v>
      </c>
      <c r="W67" s="25">
        <v>0</v>
      </c>
      <c r="X67" s="25">
        <f t="shared" ref="X67:X130" si="16">INT(R67/20)</f>
        <v>8429</v>
      </c>
      <c r="Y67" s="12">
        <v>0</v>
      </c>
      <c r="Z67" s="25">
        <v>100</v>
      </c>
      <c r="AA67" s="25">
        <v>150</v>
      </c>
      <c r="AB67" s="25">
        <v>0</v>
      </c>
      <c r="AC67" s="25">
        <v>0</v>
      </c>
      <c r="AD67" s="25">
        <v>0</v>
      </c>
      <c r="AE67" s="25">
        <f t="shared" ref="AE67:AE130" si="17">C67*2</f>
        <v>480</v>
      </c>
      <c r="AF67" s="25">
        <f t="shared" ref="AF67:AF130" si="18">C67*2</f>
        <v>480</v>
      </c>
      <c r="AG67" s="25">
        <v>0</v>
      </c>
      <c r="AH67" s="25">
        <f t="shared" ref="AH67:AH130" si="19">MAX(10000-(250-C67)*75,0)</f>
        <v>9250</v>
      </c>
      <c r="AI67" s="25">
        <f t="shared" ref="AI67:AI130" si="20">INT(P67/75)</f>
        <v>196</v>
      </c>
      <c r="AJ67" s="25">
        <v>1</v>
      </c>
      <c r="AK67" s="25">
        <v>1000</v>
      </c>
      <c r="AL67" s="25">
        <v>100</v>
      </c>
      <c r="AM67" s="26">
        <v>10</v>
      </c>
      <c r="AN67" s="26">
        <v>10</v>
      </c>
      <c r="AO67" s="22" t="s">
        <v>2211</v>
      </c>
      <c r="AP67" s="26">
        <v>0</v>
      </c>
      <c r="AQ67" s="26">
        <f t="shared" ref="AQ67:AQ130" si="21">MAX(CEILING(1000-A67*1.02,10),0)</f>
        <v>940</v>
      </c>
      <c r="AR67" s="18" t="str">
        <f ca="1">CONCATENATE(OFFSET(Sheet1!$A$2,RANDBETWEEN(2,500),0,1,1),OFFSET(Sheet1!$A$2,RANDBETWEEN(2,500),RANDBETWEEN(1,5),1,1))</f>
        <v>格斯恋</v>
      </c>
      <c r="AS67">
        <f>SUMPRODUCT(P67:AI67,Sheet2!$B$3:$U$3)</f>
        <v>692471</v>
      </c>
    </row>
    <row r="68" spans="1:45" x14ac:dyDescent="0.15">
      <c r="A68" s="18">
        <v>67</v>
      </c>
      <c r="B68" s="18" t="s">
        <v>1073</v>
      </c>
      <c r="C68" s="18">
        <f t="shared" si="11"/>
        <v>240</v>
      </c>
      <c r="D68" s="19">
        <f t="shared" si="12"/>
        <v>3</v>
      </c>
      <c r="E68" s="19">
        <f>VLOOKUP(MOD(A68,4),各职业基础配置!C$32:D$35,2,FALSE)</f>
        <v>9</v>
      </c>
      <c r="F68" s="19">
        <f>IF(A68&lt;900,INDEX(各职业基础配置!C$23:C$28,MOD(ROW(A68),4)+1),0)</f>
        <v>8</v>
      </c>
      <c r="G68" s="19">
        <f t="shared" si="13"/>
        <v>195</v>
      </c>
      <c r="H68" s="27">
        <f t="shared" si="14"/>
        <v>3</v>
      </c>
      <c r="I68" s="6" t="s">
        <v>164</v>
      </c>
      <c r="J68" s="23" t="str">
        <f>VLOOKUP(E68,各职业基础配置!$B$9:$C$12,2,FALSE)</f>
        <v>116|117|118|4201|120</v>
      </c>
      <c r="K68" s="18" t="str">
        <f>VLOOKUP(E68,各职业基础配置!$B$15:$C$18,2,FALSE)</f>
        <v>28|29|30|31</v>
      </c>
      <c r="L68" s="18" t="str">
        <f>VLOOKUP(E68,各职业基础配置!B:C,2,FALSE)</f>
        <v>[{28,1,1},{29,1,1},{30,1,1},{31,1,1},{10,1,1},{11,1,1},{12,1,1}]</v>
      </c>
      <c r="M68" s="18">
        <v>0</v>
      </c>
      <c r="N68" s="18">
        <f t="shared" si="15"/>
        <v>3</v>
      </c>
      <c r="O68" s="18">
        <f>SUMPRODUCT(P68:AI68,Sheet2!$B$3:$U$3)</f>
        <v>692446</v>
      </c>
      <c r="P68" s="18">
        <f>CEILING(INDEX([1]系统模型!$VD:$VD,MATCH(C68,[1]系统模型!$A:$A,0))*POWER(C68/220,3.8)-50+(1000-A68),1)</f>
        <v>14726</v>
      </c>
      <c r="Q68" s="18">
        <f>CEILING(INDEX([1]系统模型!$VE:$VE,MATCH(C68,[1]系统模型!$A:$A,0))*POWER(C68/220,4),1)</f>
        <v>2972</v>
      </c>
      <c r="R68" s="18">
        <f>INT(INDEX([1]系统模型!$VF:$VF,MATCH(C68,[1]系统模型!$A:$A,0))*MAX(POWER(C68/180,4),0.5))</f>
        <v>168596</v>
      </c>
      <c r="S68" s="5">
        <v>1000</v>
      </c>
      <c r="T68" s="25">
        <v>0</v>
      </c>
      <c r="U68" s="25">
        <v>0</v>
      </c>
      <c r="V68" s="25">
        <v>0</v>
      </c>
      <c r="W68" s="25">
        <v>0</v>
      </c>
      <c r="X68" s="25">
        <f t="shared" si="16"/>
        <v>8429</v>
      </c>
      <c r="Y68" s="12">
        <v>0</v>
      </c>
      <c r="Z68" s="25">
        <v>100</v>
      </c>
      <c r="AA68" s="25">
        <v>150</v>
      </c>
      <c r="AB68" s="25">
        <v>0</v>
      </c>
      <c r="AC68" s="25">
        <v>0</v>
      </c>
      <c r="AD68" s="25">
        <v>0</v>
      </c>
      <c r="AE68" s="25">
        <f t="shared" si="17"/>
        <v>480</v>
      </c>
      <c r="AF68" s="25">
        <f t="shared" si="18"/>
        <v>480</v>
      </c>
      <c r="AG68" s="25">
        <v>0</v>
      </c>
      <c r="AH68" s="25">
        <f t="shared" si="19"/>
        <v>9250</v>
      </c>
      <c r="AI68" s="25">
        <f t="shared" si="20"/>
        <v>196</v>
      </c>
      <c r="AJ68" s="25">
        <v>1</v>
      </c>
      <c r="AK68" s="25">
        <v>1000</v>
      </c>
      <c r="AL68" s="25">
        <v>100</v>
      </c>
      <c r="AM68" s="26">
        <v>10</v>
      </c>
      <c r="AN68" s="26">
        <v>10</v>
      </c>
      <c r="AO68" s="22" t="s">
        <v>2211</v>
      </c>
      <c r="AP68" s="26">
        <v>0</v>
      </c>
      <c r="AQ68" s="26">
        <f t="shared" si="21"/>
        <v>940</v>
      </c>
      <c r="AR68" s="18" t="str">
        <f ca="1">CONCATENATE(OFFSET(Sheet1!$A$2,RANDBETWEEN(2,500),0,1,1),OFFSET(Sheet1!$A$2,RANDBETWEEN(2,500),RANDBETWEEN(1,5),1,1))</f>
        <v>克赖顿</v>
      </c>
      <c r="AS68">
        <f>SUMPRODUCT(P68:AI68,Sheet2!$B$3:$U$3)</f>
        <v>692446</v>
      </c>
    </row>
    <row r="69" spans="1:45" x14ac:dyDescent="0.15">
      <c r="A69" s="18">
        <v>68</v>
      </c>
      <c r="B69" s="18" t="s">
        <v>585</v>
      </c>
      <c r="C69" s="18">
        <f t="shared" si="11"/>
        <v>239</v>
      </c>
      <c r="D69" s="19">
        <f t="shared" si="12"/>
        <v>2</v>
      </c>
      <c r="E69" s="19">
        <f>VLOOKUP(MOD(A69,4),各职业基础配置!C$32:D$35,2,FALSE)</f>
        <v>1</v>
      </c>
      <c r="F69" s="19">
        <f>IF(A69&lt;900,INDEX(各职业基础配置!C$23:C$28,MOD(ROW(A69),4)+1),0)</f>
        <v>13</v>
      </c>
      <c r="G69" s="19">
        <f t="shared" si="13"/>
        <v>190</v>
      </c>
      <c r="H69" s="27">
        <f t="shared" si="14"/>
        <v>3</v>
      </c>
      <c r="I69" s="6" t="s">
        <v>164</v>
      </c>
      <c r="J69" s="23" t="str">
        <f>VLOOKUP(E69,各职业基础配置!$B$9:$C$12,2,FALSE)</f>
        <v>101|102|103|4201|105</v>
      </c>
      <c r="K69" s="18" t="str">
        <f>VLOOKUP(E69,各职业基础配置!$B$15:$C$18,2,FALSE)</f>
        <v>24|25|26|27</v>
      </c>
      <c r="L69" s="18" t="str">
        <f>VLOOKUP(E69,各职业基础配置!B:C,2,FALSE)</f>
        <v>[{24,1,1},{25,1,1},{26,1,1},{27,1,1},{1,1,1},{2,1,1},{3,1,1}]</v>
      </c>
      <c r="M69" s="18">
        <v>0</v>
      </c>
      <c r="N69" s="18">
        <f t="shared" si="15"/>
        <v>3</v>
      </c>
      <c r="O69" s="18">
        <f>SUMPRODUCT(P69:AI69,Sheet2!$B$3:$U$3)</f>
        <v>675785</v>
      </c>
      <c r="P69" s="18">
        <f>CEILING(INDEX([1]系统模型!$VD:$VD,MATCH(C69,[1]系统模型!$A:$A,0))*POWER(C69/220,3.8)-50+(1000-A69),1)</f>
        <v>14363</v>
      </c>
      <c r="Q69" s="18">
        <f>CEILING(INDEX([1]系统模型!$VE:$VE,MATCH(C69,[1]系统模型!$A:$A,0))*POWER(C69/220,4),1)</f>
        <v>2874</v>
      </c>
      <c r="R69" s="18">
        <f>INT(INDEX([1]系统模型!$VF:$VF,MATCH(C69,[1]系统模型!$A:$A,0))*MAX(POWER(C69/180,4),0.5))</f>
        <v>164060</v>
      </c>
      <c r="S69" s="5">
        <v>1000</v>
      </c>
      <c r="T69" s="25">
        <v>0</v>
      </c>
      <c r="U69" s="25">
        <v>0</v>
      </c>
      <c r="V69" s="25">
        <v>0</v>
      </c>
      <c r="W69" s="25">
        <v>0</v>
      </c>
      <c r="X69" s="25">
        <f t="shared" si="16"/>
        <v>8203</v>
      </c>
      <c r="Y69" s="12">
        <v>0</v>
      </c>
      <c r="Z69" s="25">
        <v>100</v>
      </c>
      <c r="AA69" s="25">
        <v>150</v>
      </c>
      <c r="AB69" s="25">
        <v>0</v>
      </c>
      <c r="AC69" s="25">
        <v>0</v>
      </c>
      <c r="AD69" s="25">
        <v>0</v>
      </c>
      <c r="AE69" s="25">
        <f t="shared" si="17"/>
        <v>478</v>
      </c>
      <c r="AF69" s="25">
        <f t="shared" si="18"/>
        <v>478</v>
      </c>
      <c r="AG69" s="25">
        <v>0</v>
      </c>
      <c r="AH69" s="25">
        <f t="shared" si="19"/>
        <v>9175</v>
      </c>
      <c r="AI69" s="25">
        <f t="shared" si="20"/>
        <v>191</v>
      </c>
      <c r="AJ69" s="25">
        <v>1</v>
      </c>
      <c r="AK69" s="25">
        <v>1000</v>
      </c>
      <c r="AL69" s="25">
        <v>100</v>
      </c>
      <c r="AM69" s="26">
        <v>10</v>
      </c>
      <c r="AN69" s="26">
        <v>10</v>
      </c>
      <c r="AO69" s="22" t="s">
        <v>2211</v>
      </c>
      <c r="AP69" s="26">
        <v>0</v>
      </c>
      <c r="AQ69" s="26">
        <f t="shared" si="21"/>
        <v>940</v>
      </c>
      <c r="AR69" s="18" t="str">
        <f ca="1">CONCATENATE(OFFSET(Sheet1!$A$2,RANDBETWEEN(2,500),0,1,1),OFFSET(Sheet1!$A$2,RANDBETWEEN(2,500),RANDBETWEEN(1,5),1,1))</f>
        <v>弗雷德里克</v>
      </c>
      <c r="AS69">
        <f>SUMPRODUCT(P69:AI69,Sheet2!$B$3:$U$3)</f>
        <v>675785</v>
      </c>
    </row>
    <row r="70" spans="1:45" x14ac:dyDescent="0.15">
      <c r="A70" s="23">
        <v>69</v>
      </c>
      <c r="B70" s="18" t="s">
        <v>814</v>
      </c>
      <c r="C70" s="18">
        <f t="shared" si="11"/>
        <v>239</v>
      </c>
      <c r="D70" s="19">
        <f t="shared" si="12"/>
        <v>3</v>
      </c>
      <c r="E70" s="19">
        <f>VLOOKUP(MOD(A70,4),各职业基础配置!C$32:D$35,2,FALSE)</f>
        <v>3</v>
      </c>
      <c r="F70" s="19">
        <f>IF(A70&lt;900,INDEX(各职业基础配置!C$23:C$28,MOD(ROW(A70),4)+1),0)</f>
        <v>14</v>
      </c>
      <c r="G70" s="19">
        <f t="shared" si="13"/>
        <v>190</v>
      </c>
      <c r="H70" s="27">
        <f t="shared" si="14"/>
        <v>3</v>
      </c>
      <c r="I70" s="6" t="s">
        <v>164</v>
      </c>
      <c r="J70" s="23" t="str">
        <f>VLOOKUP(E70,各职业基础配置!$B$9:$C$12,2,FALSE)</f>
        <v>106|107|108|4201|110</v>
      </c>
      <c r="K70" s="18" t="str">
        <f>VLOOKUP(E70,各职业基础配置!$B$15:$C$18,2,FALSE)</f>
        <v>20|21|22|23</v>
      </c>
      <c r="L70" s="18" t="str">
        <f>VLOOKUP(E70,各职业基础配置!B:C,2,FALSE)</f>
        <v>[{20,1,1},{21,1,1},{22,1,1},{23,1,1},{4,1,1},{5,1,1},{6,1,1}]</v>
      </c>
      <c r="M70" s="18">
        <v>0</v>
      </c>
      <c r="N70" s="18">
        <f t="shared" si="15"/>
        <v>7</v>
      </c>
      <c r="O70" s="18">
        <f>SUMPRODUCT(P70:AI70,Sheet2!$B$3:$U$3)</f>
        <v>675760</v>
      </c>
      <c r="P70" s="18">
        <f>CEILING(INDEX([1]系统模型!$VD:$VD,MATCH(C70,[1]系统模型!$A:$A,0))*POWER(C70/220,3.8)-50+(1000-A70),1)</f>
        <v>14362</v>
      </c>
      <c r="Q70" s="18">
        <f>CEILING(INDEX([1]系统模型!$VE:$VE,MATCH(C70,[1]系统模型!$A:$A,0))*POWER(C70/220,4),1)</f>
        <v>2874</v>
      </c>
      <c r="R70" s="18">
        <f>INT(INDEX([1]系统模型!$VF:$VF,MATCH(C70,[1]系统模型!$A:$A,0))*MAX(POWER(C70/180,4),0.5))</f>
        <v>164060</v>
      </c>
      <c r="S70" s="5">
        <v>1000</v>
      </c>
      <c r="T70" s="25">
        <v>0</v>
      </c>
      <c r="U70" s="25">
        <v>0</v>
      </c>
      <c r="V70" s="25">
        <v>0</v>
      </c>
      <c r="W70" s="25">
        <v>0</v>
      </c>
      <c r="X70" s="25">
        <f t="shared" si="16"/>
        <v>8203</v>
      </c>
      <c r="Y70" s="12">
        <v>0</v>
      </c>
      <c r="Z70" s="25">
        <v>100</v>
      </c>
      <c r="AA70" s="25">
        <v>150</v>
      </c>
      <c r="AB70" s="25">
        <v>0</v>
      </c>
      <c r="AC70" s="25">
        <v>0</v>
      </c>
      <c r="AD70" s="25">
        <v>0</v>
      </c>
      <c r="AE70" s="25">
        <f t="shared" si="17"/>
        <v>478</v>
      </c>
      <c r="AF70" s="25">
        <f t="shared" si="18"/>
        <v>478</v>
      </c>
      <c r="AG70" s="25">
        <v>0</v>
      </c>
      <c r="AH70" s="25">
        <f t="shared" si="19"/>
        <v>9175</v>
      </c>
      <c r="AI70" s="25">
        <f t="shared" si="20"/>
        <v>191</v>
      </c>
      <c r="AJ70" s="25">
        <v>1</v>
      </c>
      <c r="AK70" s="25">
        <v>1000</v>
      </c>
      <c r="AL70" s="25">
        <v>100</v>
      </c>
      <c r="AM70" s="26">
        <v>10</v>
      </c>
      <c r="AN70" s="26">
        <v>10</v>
      </c>
      <c r="AO70" s="22" t="s">
        <v>2211</v>
      </c>
      <c r="AP70" s="26">
        <v>0</v>
      </c>
      <c r="AQ70" s="26">
        <f t="shared" si="21"/>
        <v>930</v>
      </c>
      <c r="AR70" s="18" t="str">
        <f ca="1">CONCATENATE(OFFSET(Sheet1!$A$2,RANDBETWEEN(2,500),0,1,1),OFFSET(Sheet1!$A$2,RANDBETWEEN(2,500),RANDBETWEEN(1,5),1,1))</f>
        <v>布劳</v>
      </c>
      <c r="AS70">
        <f>SUMPRODUCT(P70:AI70,Sheet2!$B$3:$U$3)</f>
        <v>675760</v>
      </c>
    </row>
    <row r="71" spans="1:45" x14ac:dyDescent="0.15">
      <c r="A71" s="18">
        <v>70</v>
      </c>
      <c r="B71" s="18" t="s">
        <v>1179</v>
      </c>
      <c r="C71" s="18">
        <f t="shared" si="11"/>
        <v>239</v>
      </c>
      <c r="D71" s="19">
        <f t="shared" si="12"/>
        <v>2</v>
      </c>
      <c r="E71" s="19">
        <f>VLOOKUP(MOD(A71,4),各职业基础配置!C$32:D$35,2,FALSE)</f>
        <v>6</v>
      </c>
      <c r="F71" s="19">
        <f>IF(A71&lt;900,INDEX(各职业基础配置!C$23:C$28,MOD(ROW(A71),4)+1),0)</f>
        <v>16</v>
      </c>
      <c r="G71" s="19">
        <f t="shared" si="13"/>
        <v>190</v>
      </c>
      <c r="H71" s="27">
        <f t="shared" si="14"/>
        <v>3</v>
      </c>
      <c r="I71" s="6" t="s">
        <v>164</v>
      </c>
      <c r="J71" s="23" t="str">
        <f>VLOOKUP(E71,各职业基础配置!$B$9:$C$12,2,FALSE)</f>
        <v>111|112|113|4201|115</v>
      </c>
      <c r="K71" s="18" t="str">
        <f>VLOOKUP(E71,各职业基础配置!$B$15:$C$18,2,FALSE)</f>
        <v>32|33|34</v>
      </c>
      <c r="L71" s="18" t="str">
        <f>VLOOKUP(E71,各职业基础配置!B:C,2,FALSE)</f>
        <v>[{32,1,1},{33,1,1},{34,1,1},{35,1,1},{7,1,1},{8,1,1},{9,1,1}]</v>
      </c>
      <c r="M71" s="18">
        <v>0</v>
      </c>
      <c r="N71" s="18">
        <f t="shared" si="15"/>
        <v>7</v>
      </c>
      <c r="O71" s="18">
        <f>SUMPRODUCT(P71:AI71,Sheet2!$B$3:$U$3)</f>
        <v>675735</v>
      </c>
      <c r="P71" s="18">
        <f>CEILING(INDEX([1]系统模型!$VD:$VD,MATCH(C71,[1]系统模型!$A:$A,0))*POWER(C71/220,3.8)-50+(1000-A71),1)</f>
        <v>14361</v>
      </c>
      <c r="Q71" s="18">
        <f>CEILING(INDEX([1]系统模型!$VE:$VE,MATCH(C71,[1]系统模型!$A:$A,0))*POWER(C71/220,4),1)</f>
        <v>2874</v>
      </c>
      <c r="R71" s="18">
        <f>INT(INDEX([1]系统模型!$VF:$VF,MATCH(C71,[1]系统模型!$A:$A,0))*MAX(POWER(C71/180,4),0.5))</f>
        <v>164060</v>
      </c>
      <c r="S71" s="5">
        <v>1000</v>
      </c>
      <c r="T71" s="25">
        <v>0</v>
      </c>
      <c r="U71" s="25">
        <v>0</v>
      </c>
      <c r="V71" s="25">
        <v>0</v>
      </c>
      <c r="W71" s="25">
        <v>0</v>
      </c>
      <c r="X71" s="25">
        <f t="shared" si="16"/>
        <v>8203</v>
      </c>
      <c r="Y71" s="12">
        <v>0</v>
      </c>
      <c r="Z71" s="25">
        <v>100</v>
      </c>
      <c r="AA71" s="25">
        <v>150</v>
      </c>
      <c r="AB71" s="25">
        <v>0</v>
      </c>
      <c r="AC71" s="25">
        <v>0</v>
      </c>
      <c r="AD71" s="25">
        <v>0</v>
      </c>
      <c r="AE71" s="25">
        <f t="shared" si="17"/>
        <v>478</v>
      </c>
      <c r="AF71" s="25">
        <f t="shared" si="18"/>
        <v>478</v>
      </c>
      <c r="AG71" s="25">
        <v>0</v>
      </c>
      <c r="AH71" s="25">
        <f t="shared" si="19"/>
        <v>9175</v>
      </c>
      <c r="AI71" s="25">
        <f t="shared" si="20"/>
        <v>191</v>
      </c>
      <c r="AJ71" s="25">
        <v>1</v>
      </c>
      <c r="AK71" s="25">
        <v>1000</v>
      </c>
      <c r="AL71" s="25">
        <v>100</v>
      </c>
      <c r="AM71" s="26">
        <v>10</v>
      </c>
      <c r="AN71" s="26">
        <v>10</v>
      </c>
      <c r="AO71" s="22" t="s">
        <v>2211</v>
      </c>
      <c r="AP71" s="26">
        <v>0</v>
      </c>
      <c r="AQ71" s="26">
        <f t="shared" si="21"/>
        <v>930</v>
      </c>
      <c r="AR71" s="18" t="str">
        <f ca="1">CONCATENATE(OFFSET(Sheet1!$A$2,RANDBETWEEN(2,500),0,1,1),OFFSET(Sheet1!$A$2,RANDBETWEEN(2,500),RANDBETWEEN(1,5),1,1))</f>
        <v>巴雷特维吉妮亚</v>
      </c>
      <c r="AS71">
        <f>SUMPRODUCT(P71:AI71,Sheet2!$B$3:$U$3)</f>
        <v>675735</v>
      </c>
    </row>
    <row r="72" spans="1:45" x14ac:dyDescent="0.15">
      <c r="A72" s="18">
        <v>71</v>
      </c>
      <c r="B72" s="18" t="s">
        <v>1858</v>
      </c>
      <c r="C72" s="18">
        <f t="shared" si="11"/>
        <v>239</v>
      </c>
      <c r="D72" s="19">
        <f t="shared" si="12"/>
        <v>3</v>
      </c>
      <c r="E72" s="19">
        <f>VLOOKUP(MOD(A72,4),各职业基础配置!C$32:D$35,2,FALSE)</f>
        <v>9</v>
      </c>
      <c r="F72" s="19">
        <f>IF(A72&lt;900,INDEX(各职业基础配置!C$23:C$28,MOD(ROW(A72),4)+1),0)</f>
        <v>8</v>
      </c>
      <c r="G72" s="19">
        <f t="shared" si="13"/>
        <v>190</v>
      </c>
      <c r="H72" s="27">
        <f t="shared" si="14"/>
        <v>3</v>
      </c>
      <c r="I72" s="6" t="s">
        <v>164</v>
      </c>
      <c r="J72" s="23" t="str">
        <f>VLOOKUP(E72,各职业基础配置!$B$9:$C$12,2,FALSE)</f>
        <v>116|117|118|4201|120</v>
      </c>
      <c r="K72" s="18" t="str">
        <f>VLOOKUP(E72,各职业基础配置!$B$15:$C$18,2,FALSE)</f>
        <v>28|29|30|31</v>
      </c>
      <c r="L72" s="18" t="str">
        <f>VLOOKUP(E72,各职业基础配置!B:C,2,FALSE)</f>
        <v>[{28,1,1},{29,1,1},{30,1,1},{31,1,1},{10,1,1},{11,1,1},{12,1,1}]</v>
      </c>
      <c r="M72" s="18">
        <v>0</v>
      </c>
      <c r="N72" s="18">
        <f t="shared" si="15"/>
        <v>3</v>
      </c>
      <c r="O72" s="18">
        <f>SUMPRODUCT(P72:AI72,Sheet2!$B$3:$U$3)</f>
        <v>675710</v>
      </c>
      <c r="P72" s="18">
        <f>CEILING(INDEX([1]系统模型!$VD:$VD,MATCH(C72,[1]系统模型!$A:$A,0))*POWER(C72/220,3.8)-50+(1000-A72),1)</f>
        <v>14360</v>
      </c>
      <c r="Q72" s="18">
        <f>CEILING(INDEX([1]系统模型!$VE:$VE,MATCH(C72,[1]系统模型!$A:$A,0))*POWER(C72/220,4),1)</f>
        <v>2874</v>
      </c>
      <c r="R72" s="18">
        <f>INT(INDEX([1]系统模型!$VF:$VF,MATCH(C72,[1]系统模型!$A:$A,0))*MAX(POWER(C72/180,4),0.5))</f>
        <v>164060</v>
      </c>
      <c r="S72" s="5">
        <v>1000</v>
      </c>
      <c r="T72" s="25">
        <v>0</v>
      </c>
      <c r="U72" s="25">
        <v>0</v>
      </c>
      <c r="V72" s="25">
        <v>0</v>
      </c>
      <c r="W72" s="25">
        <v>0</v>
      </c>
      <c r="X72" s="25">
        <f t="shared" si="16"/>
        <v>8203</v>
      </c>
      <c r="Y72" s="12">
        <v>0</v>
      </c>
      <c r="Z72" s="25">
        <v>100</v>
      </c>
      <c r="AA72" s="25">
        <v>150</v>
      </c>
      <c r="AB72" s="25">
        <v>0</v>
      </c>
      <c r="AC72" s="25">
        <v>0</v>
      </c>
      <c r="AD72" s="25">
        <v>0</v>
      </c>
      <c r="AE72" s="25">
        <f t="shared" si="17"/>
        <v>478</v>
      </c>
      <c r="AF72" s="25">
        <f t="shared" si="18"/>
        <v>478</v>
      </c>
      <c r="AG72" s="25">
        <v>0</v>
      </c>
      <c r="AH72" s="25">
        <f t="shared" si="19"/>
        <v>9175</v>
      </c>
      <c r="AI72" s="25">
        <f t="shared" si="20"/>
        <v>191</v>
      </c>
      <c r="AJ72" s="25">
        <v>1</v>
      </c>
      <c r="AK72" s="25">
        <v>1000</v>
      </c>
      <c r="AL72" s="25">
        <v>100</v>
      </c>
      <c r="AM72" s="26">
        <v>10</v>
      </c>
      <c r="AN72" s="26">
        <v>10</v>
      </c>
      <c r="AO72" s="22" t="s">
        <v>2211</v>
      </c>
      <c r="AP72" s="26">
        <v>0</v>
      </c>
      <c r="AQ72" s="26">
        <f t="shared" si="21"/>
        <v>930</v>
      </c>
      <c r="AR72" s="18" t="str">
        <f ca="1">CONCATENATE(OFFSET(Sheet1!$A$2,RANDBETWEEN(2,500),0,1,1),OFFSET(Sheet1!$A$2,RANDBETWEEN(2,500),RANDBETWEEN(1,5),1,1))</f>
        <v>盖洛普</v>
      </c>
      <c r="AS72">
        <f>SUMPRODUCT(P72:AI72,Sheet2!$B$3:$U$3)</f>
        <v>675710</v>
      </c>
    </row>
    <row r="73" spans="1:45" x14ac:dyDescent="0.15">
      <c r="A73" s="23">
        <v>72</v>
      </c>
      <c r="B73" s="18" t="s">
        <v>1027</v>
      </c>
      <c r="C73" s="18">
        <f t="shared" si="11"/>
        <v>239</v>
      </c>
      <c r="D73" s="19">
        <f t="shared" si="12"/>
        <v>2</v>
      </c>
      <c r="E73" s="19">
        <f>VLOOKUP(MOD(A73,4),各职业基础配置!C$32:D$35,2,FALSE)</f>
        <v>1</v>
      </c>
      <c r="F73" s="19">
        <f>IF(A73&lt;900,INDEX(各职业基础配置!C$23:C$28,MOD(ROW(A73),4)+1),0)</f>
        <v>13</v>
      </c>
      <c r="G73" s="19">
        <f t="shared" si="13"/>
        <v>190</v>
      </c>
      <c r="H73" s="27">
        <f t="shared" si="14"/>
        <v>3</v>
      </c>
      <c r="I73" s="6" t="s">
        <v>164</v>
      </c>
      <c r="J73" s="23" t="str">
        <f>VLOOKUP(E73,各职业基础配置!$B$9:$C$12,2,FALSE)</f>
        <v>101|102|103|4201|105</v>
      </c>
      <c r="K73" s="18" t="str">
        <f>VLOOKUP(E73,各职业基础配置!$B$15:$C$18,2,FALSE)</f>
        <v>24|25|26|27</v>
      </c>
      <c r="L73" s="18" t="str">
        <f>VLOOKUP(E73,各职业基础配置!B:C,2,FALSE)</f>
        <v>[{24,1,1},{25,1,1},{26,1,1},{27,1,1},{1,1,1},{2,1,1},{3,1,1}]</v>
      </c>
      <c r="M73" s="18">
        <v>0</v>
      </c>
      <c r="N73" s="18">
        <f t="shared" si="15"/>
        <v>3</v>
      </c>
      <c r="O73" s="18">
        <f>SUMPRODUCT(P73:AI73,Sheet2!$B$3:$U$3)</f>
        <v>675685</v>
      </c>
      <c r="P73" s="18">
        <f>CEILING(INDEX([1]系统模型!$VD:$VD,MATCH(C73,[1]系统模型!$A:$A,0))*POWER(C73/220,3.8)-50+(1000-A73),1)</f>
        <v>14359</v>
      </c>
      <c r="Q73" s="18">
        <f>CEILING(INDEX([1]系统模型!$VE:$VE,MATCH(C73,[1]系统模型!$A:$A,0))*POWER(C73/220,4),1)</f>
        <v>2874</v>
      </c>
      <c r="R73" s="18">
        <f>INT(INDEX([1]系统模型!$VF:$VF,MATCH(C73,[1]系统模型!$A:$A,0))*MAX(POWER(C73/180,4),0.5))</f>
        <v>164060</v>
      </c>
      <c r="S73" s="5">
        <v>1000</v>
      </c>
      <c r="T73" s="25">
        <v>0</v>
      </c>
      <c r="U73" s="25">
        <v>0</v>
      </c>
      <c r="V73" s="25">
        <v>0</v>
      </c>
      <c r="W73" s="25">
        <v>0</v>
      </c>
      <c r="X73" s="25">
        <f t="shared" si="16"/>
        <v>8203</v>
      </c>
      <c r="Y73" s="12">
        <v>0</v>
      </c>
      <c r="Z73" s="25">
        <v>100</v>
      </c>
      <c r="AA73" s="25">
        <v>150</v>
      </c>
      <c r="AB73" s="25">
        <v>0</v>
      </c>
      <c r="AC73" s="25">
        <v>0</v>
      </c>
      <c r="AD73" s="25">
        <v>0</v>
      </c>
      <c r="AE73" s="25">
        <f t="shared" si="17"/>
        <v>478</v>
      </c>
      <c r="AF73" s="25">
        <f t="shared" si="18"/>
        <v>478</v>
      </c>
      <c r="AG73" s="25">
        <v>0</v>
      </c>
      <c r="AH73" s="25">
        <f t="shared" si="19"/>
        <v>9175</v>
      </c>
      <c r="AI73" s="25">
        <f t="shared" si="20"/>
        <v>191</v>
      </c>
      <c r="AJ73" s="25">
        <v>1</v>
      </c>
      <c r="AK73" s="25">
        <v>1000</v>
      </c>
      <c r="AL73" s="25">
        <v>100</v>
      </c>
      <c r="AM73" s="26">
        <v>10</v>
      </c>
      <c r="AN73" s="26">
        <v>10</v>
      </c>
      <c r="AO73" s="22" t="s">
        <v>2211</v>
      </c>
      <c r="AP73" s="26">
        <v>0</v>
      </c>
      <c r="AQ73" s="26">
        <f t="shared" si="21"/>
        <v>930</v>
      </c>
      <c r="AR73" s="18" t="str">
        <f ca="1">CONCATENATE(OFFSET(Sheet1!$A$2,RANDBETWEEN(2,500),0,1,1),OFFSET(Sheet1!$A$2,RANDBETWEEN(2,500),RANDBETWEEN(1,5),1,1))</f>
        <v>多丽丝</v>
      </c>
      <c r="AS73">
        <f>SUMPRODUCT(P73:AI73,Sheet2!$B$3:$U$3)</f>
        <v>675685</v>
      </c>
    </row>
    <row r="74" spans="1:45" x14ac:dyDescent="0.15">
      <c r="A74" s="18">
        <v>73</v>
      </c>
      <c r="B74" s="18" t="s">
        <v>1859</v>
      </c>
      <c r="C74" s="18">
        <f t="shared" si="11"/>
        <v>239</v>
      </c>
      <c r="D74" s="19">
        <f t="shared" si="12"/>
        <v>3</v>
      </c>
      <c r="E74" s="19">
        <f>VLOOKUP(MOD(A74,4),各职业基础配置!C$32:D$35,2,FALSE)</f>
        <v>3</v>
      </c>
      <c r="F74" s="19">
        <f>IF(A74&lt;900,INDEX(各职业基础配置!C$23:C$28,MOD(ROW(A74),4)+1),0)</f>
        <v>14</v>
      </c>
      <c r="G74" s="19">
        <f t="shared" si="13"/>
        <v>190</v>
      </c>
      <c r="H74" s="27">
        <f t="shared" si="14"/>
        <v>3</v>
      </c>
      <c r="I74" s="6" t="s">
        <v>164</v>
      </c>
      <c r="J74" s="23" t="str">
        <f>VLOOKUP(E74,各职业基础配置!$B$9:$C$12,2,FALSE)</f>
        <v>106|107|108|4201|110</v>
      </c>
      <c r="K74" s="18" t="str">
        <f>VLOOKUP(E74,各职业基础配置!$B$15:$C$18,2,FALSE)</f>
        <v>20|21|22|23</v>
      </c>
      <c r="L74" s="18" t="str">
        <f>VLOOKUP(E74,各职业基础配置!B:C,2,FALSE)</f>
        <v>[{20,1,1},{21,1,1},{22,1,1},{23,1,1},{4,1,1},{5,1,1},{6,1,1}]</v>
      </c>
      <c r="M74" s="18">
        <v>0</v>
      </c>
      <c r="N74" s="18">
        <f t="shared" si="15"/>
        <v>7</v>
      </c>
      <c r="O74" s="18">
        <f>SUMPRODUCT(P74:AI74,Sheet2!$B$3:$U$3)</f>
        <v>675660</v>
      </c>
      <c r="P74" s="18">
        <f>CEILING(INDEX([1]系统模型!$VD:$VD,MATCH(C74,[1]系统模型!$A:$A,0))*POWER(C74/220,3.8)-50+(1000-A74),1)</f>
        <v>14358</v>
      </c>
      <c r="Q74" s="18">
        <f>CEILING(INDEX([1]系统模型!$VE:$VE,MATCH(C74,[1]系统模型!$A:$A,0))*POWER(C74/220,4),1)</f>
        <v>2874</v>
      </c>
      <c r="R74" s="18">
        <f>INT(INDEX([1]系统模型!$VF:$VF,MATCH(C74,[1]系统模型!$A:$A,0))*MAX(POWER(C74/180,4),0.5))</f>
        <v>164060</v>
      </c>
      <c r="S74" s="5">
        <v>1000</v>
      </c>
      <c r="T74" s="25">
        <v>0</v>
      </c>
      <c r="U74" s="25">
        <v>0</v>
      </c>
      <c r="V74" s="25">
        <v>0</v>
      </c>
      <c r="W74" s="25">
        <v>0</v>
      </c>
      <c r="X74" s="25">
        <f t="shared" si="16"/>
        <v>8203</v>
      </c>
      <c r="Y74" s="12">
        <v>0</v>
      </c>
      <c r="Z74" s="25">
        <v>100</v>
      </c>
      <c r="AA74" s="25">
        <v>150</v>
      </c>
      <c r="AB74" s="25">
        <v>0</v>
      </c>
      <c r="AC74" s="25">
        <v>0</v>
      </c>
      <c r="AD74" s="25">
        <v>0</v>
      </c>
      <c r="AE74" s="25">
        <f t="shared" si="17"/>
        <v>478</v>
      </c>
      <c r="AF74" s="25">
        <f t="shared" si="18"/>
        <v>478</v>
      </c>
      <c r="AG74" s="25">
        <v>0</v>
      </c>
      <c r="AH74" s="25">
        <f t="shared" si="19"/>
        <v>9175</v>
      </c>
      <c r="AI74" s="25">
        <f t="shared" si="20"/>
        <v>191</v>
      </c>
      <c r="AJ74" s="25">
        <v>1</v>
      </c>
      <c r="AK74" s="25">
        <v>1000</v>
      </c>
      <c r="AL74" s="25">
        <v>100</v>
      </c>
      <c r="AM74" s="26">
        <v>10</v>
      </c>
      <c r="AN74" s="26">
        <v>10</v>
      </c>
      <c r="AO74" s="22" t="s">
        <v>2211</v>
      </c>
      <c r="AP74" s="26">
        <v>0</v>
      </c>
      <c r="AQ74" s="26">
        <f t="shared" si="21"/>
        <v>930</v>
      </c>
      <c r="AR74" s="18" t="str">
        <f ca="1">CONCATENATE(OFFSET(Sheet1!$A$2,RANDBETWEEN(2,500),0,1,1),OFFSET(Sheet1!$A$2,RANDBETWEEN(2,500),RANDBETWEEN(1,5),1,1))</f>
        <v>菲尔丁</v>
      </c>
      <c r="AS74">
        <f>SUMPRODUCT(P74:AI74,Sheet2!$B$3:$U$3)</f>
        <v>675660</v>
      </c>
    </row>
    <row r="75" spans="1:45" x14ac:dyDescent="0.15">
      <c r="A75" s="18">
        <v>74</v>
      </c>
      <c r="B75" s="18" t="s">
        <v>1860</v>
      </c>
      <c r="C75" s="18">
        <f t="shared" si="11"/>
        <v>239</v>
      </c>
      <c r="D75" s="19">
        <f t="shared" si="12"/>
        <v>2</v>
      </c>
      <c r="E75" s="19">
        <f>VLOOKUP(MOD(A75,4),各职业基础配置!C$32:D$35,2,FALSE)</f>
        <v>6</v>
      </c>
      <c r="F75" s="19">
        <f>IF(A75&lt;900,INDEX(各职业基础配置!C$23:C$28,MOD(ROW(A75),4)+1),0)</f>
        <v>16</v>
      </c>
      <c r="G75" s="19">
        <f t="shared" si="13"/>
        <v>190</v>
      </c>
      <c r="H75" s="27">
        <f t="shared" si="14"/>
        <v>3</v>
      </c>
      <c r="I75" s="6" t="s">
        <v>164</v>
      </c>
      <c r="J75" s="23" t="str">
        <f>VLOOKUP(E75,各职业基础配置!$B$9:$C$12,2,FALSE)</f>
        <v>111|112|113|4201|115</v>
      </c>
      <c r="K75" s="18" t="str">
        <f>VLOOKUP(E75,各职业基础配置!$B$15:$C$18,2,FALSE)</f>
        <v>32|33|34</v>
      </c>
      <c r="L75" s="18" t="str">
        <f>VLOOKUP(E75,各职业基础配置!B:C,2,FALSE)</f>
        <v>[{32,1,1},{33,1,1},{34,1,1},{35,1,1},{7,1,1},{8,1,1},{9,1,1}]</v>
      </c>
      <c r="M75" s="18">
        <v>0</v>
      </c>
      <c r="N75" s="18">
        <f t="shared" si="15"/>
        <v>7</v>
      </c>
      <c r="O75" s="18">
        <f>SUMPRODUCT(P75:AI75,Sheet2!$B$3:$U$3)</f>
        <v>675635</v>
      </c>
      <c r="P75" s="18">
        <f>CEILING(INDEX([1]系统模型!$VD:$VD,MATCH(C75,[1]系统模型!$A:$A,0))*POWER(C75/220,3.8)-50+(1000-A75),1)</f>
        <v>14357</v>
      </c>
      <c r="Q75" s="18">
        <f>CEILING(INDEX([1]系统模型!$VE:$VE,MATCH(C75,[1]系统模型!$A:$A,0))*POWER(C75/220,4),1)</f>
        <v>2874</v>
      </c>
      <c r="R75" s="18">
        <f>INT(INDEX([1]系统模型!$VF:$VF,MATCH(C75,[1]系统模型!$A:$A,0))*MAX(POWER(C75/180,4),0.5))</f>
        <v>164060</v>
      </c>
      <c r="S75" s="5">
        <v>1000</v>
      </c>
      <c r="T75" s="25">
        <v>0</v>
      </c>
      <c r="U75" s="25">
        <v>0</v>
      </c>
      <c r="V75" s="25">
        <v>0</v>
      </c>
      <c r="W75" s="25">
        <v>0</v>
      </c>
      <c r="X75" s="25">
        <f t="shared" si="16"/>
        <v>8203</v>
      </c>
      <c r="Y75" s="12">
        <v>0</v>
      </c>
      <c r="Z75" s="25">
        <v>100</v>
      </c>
      <c r="AA75" s="25">
        <v>150</v>
      </c>
      <c r="AB75" s="25">
        <v>0</v>
      </c>
      <c r="AC75" s="25">
        <v>0</v>
      </c>
      <c r="AD75" s="25">
        <v>0</v>
      </c>
      <c r="AE75" s="25">
        <f t="shared" si="17"/>
        <v>478</v>
      </c>
      <c r="AF75" s="25">
        <f t="shared" si="18"/>
        <v>478</v>
      </c>
      <c r="AG75" s="25">
        <v>0</v>
      </c>
      <c r="AH75" s="25">
        <f t="shared" si="19"/>
        <v>9175</v>
      </c>
      <c r="AI75" s="25">
        <f t="shared" si="20"/>
        <v>191</v>
      </c>
      <c r="AJ75" s="25">
        <v>1</v>
      </c>
      <c r="AK75" s="25">
        <v>1000</v>
      </c>
      <c r="AL75" s="25">
        <v>100</v>
      </c>
      <c r="AM75" s="26">
        <v>10</v>
      </c>
      <c r="AN75" s="26">
        <v>10</v>
      </c>
      <c r="AO75" s="22" t="s">
        <v>2211</v>
      </c>
      <c r="AP75" s="26">
        <v>0</v>
      </c>
      <c r="AQ75" s="26">
        <f t="shared" si="21"/>
        <v>930</v>
      </c>
      <c r="AR75" s="18" t="str">
        <f ca="1">CONCATENATE(OFFSET(Sheet1!$A$2,RANDBETWEEN(2,500),0,1,1),OFFSET(Sheet1!$A$2,RANDBETWEEN(2,500),RANDBETWEEN(1,5),1,1))</f>
        <v>休谟</v>
      </c>
      <c r="AS75">
        <f>SUMPRODUCT(P75:AI75,Sheet2!$B$3:$U$3)</f>
        <v>675635</v>
      </c>
    </row>
    <row r="76" spans="1:45" x14ac:dyDescent="0.15">
      <c r="A76" s="23">
        <v>75</v>
      </c>
      <c r="B76" s="18" t="s">
        <v>1861</v>
      </c>
      <c r="C76" s="18">
        <f t="shared" si="11"/>
        <v>238</v>
      </c>
      <c r="D76" s="19">
        <f t="shared" si="12"/>
        <v>3</v>
      </c>
      <c r="E76" s="19">
        <f>VLOOKUP(MOD(A76,4),各职业基础配置!C$32:D$35,2,FALSE)</f>
        <v>9</v>
      </c>
      <c r="F76" s="19">
        <f>IF(A76&lt;900,INDEX(各职业基础配置!C$23:C$28,MOD(ROW(A76),4)+1),0)</f>
        <v>8</v>
      </c>
      <c r="G76" s="19">
        <f t="shared" si="13"/>
        <v>186</v>
      </c>
      <c r="H76" s="27">
        <f t="shared" si="14"/>
        <v>3</v>
      </c>
      <c r="I76" s="6" t="s">
        <v>164</v>
      </c>
      <c r="J76" s="23" t="str">
        <f>VLOOKUP(E76,各职业基础配置!$B$9:$C$12,2,FALSE)</f>
        <v>116|117|118|4201|120</v>
      </c>
      <c r="K76" s="18" t="str">
        <f>VLOOKUP(E76,各职业基础配置!$B$15:$C$18,2,FALSE)</f>
        <v>28|29|30|31</v>
      </c>
      <c r="L76" s="18" t="str">
        <f>VLOOKUP(E76,各职业基础配置!B:C,2,FALSE)</f>
        <v>[{28,1,1},{29,1,1},{30,1,1},{31,1,1},{10,1,1},{11,1,1},{12,1,1}]</v>
      </c>
      <c r="M76" s="18">
        <v>0</v>
      </c>
      <c r="N76" s="18">
        <f t="shared" si="15"/>
        <v>3</v>
      </c>
      <c r="O76" s="18">
        <f>SUMPRODUCT(P76:AI76,Sheet2!$B$3:$U$3)</f>
        <v>658714</v>
      </c>
      <c r="P76" s="18">
        <f>CEILING(INDEX([1]系统模型!$VD:$VD,MATCH(C76,[1]系统模型!$A:$A,0))*POWER(C76/220,3.8)-50+(1000-A76),1)</f>
        <v>13932</v>
      </c>
      <c r="Q76" s="18">
        <f>CEILING(INDEX([1]系统模型!$VE:$VE,MATCH(C76,[1]系统模型!$A:$A,0))*POWER(C76/220,4),1)</f>
        <v>2804</v>
      </c>
      <c r="R76" s="18">
        <f>INT(INDEX([1]系统模型!$VF:$VF,MATCH(C76,[1]系统模型!$A:$A,0))*MAX(POWER(C76/180,4),0.5))</f>
        <v>160139</v>
      </c>
      <c r="S76" s="5">
        <v>1000</v>
      </c>
      <c r="T76" s="25">
        <v>0</v>
      </c>
      <c r="U76" s="25">
        <v>0</v>
      </c>
      <c r="V76" s="25">
        <v>0</v>
      </c>
      <c r="W76" s="25">
        <v>0</v>
      </c>
      <c r="X76" s="25">
        <f t="shared" si="16"/>
        <v>8006</v>
      </c>
      <c r="Y76" s="12">
        <v>0</v>
      </c>
      <c r="Z76" s="25">
        <v>100</v>
      </c>
      <c r="AA76" s="25">
        <v>150</v>
      </c>
      <c r="AB76" s="25">
        <v>0</v>
      </c>
      <c r="AC76" s="25">
        <v>0</v>
      </c>
      <c r="AD76" s="25">
        <v>0</v>
      </c>
      <c r="AE76" s="25">
        <f t="shared" si="17"/>
        <v>476</v>
      </c>
      <c r="AF76" s="25">
        <f t="shared" si="18"/>
        <v>476</v>
      </c>
      <c r="AG76" s="25">
        <v>0</v>
      </c>
      <c r="AH76" s="25">
        <f t="shared" si="19"/>
        <v>9100</v>
      </c>
      <c r="AI76" s="25">
        <f t="shared" si="20"/>
        <v>185</v>
      </c>
      <c r="AJ76" s="25">
        <v>1</v>
      </c>
      <c r="AK76" s="25">
        <v>1000</v>
      </c>
      <c r="AL76" s="25">
        <v>100</v>
      </c>
      <c r="AM76" s="26">
        <v>10</v>
      </c>
      <c r="AN76" s="26">
        <v>10</v>
      </c>
      <c r="AO76" s="22" t="s">
        <v>2211</v>
      </c>
      <c r="AP76" s="26">
        <v>0</v>
      </c>
      <c r="AQ76" s="26">
        <f t="shared" si="21"/>
        <v>930</v>
      </c>
      <c r="AR76" s="18" t="str">
        <f ca="1">CONCATENATE(OFFSET(Sheet1!$A$2,RANDBETWEEN(2,500),0,1,1),OFFSET(Sheet1!$A$2,RANDBETWEEN(2,500),RANDBETWEEN(1,5),1,1))</f>
        <v>格雷西娜</v>
      </c>
      <c r="AS76">
        <f>SUMPRODUCT(P76:AI76,Sheet2!$B$3:$U$3)</f>
        <v>658714</v>
      </c>
    </row>
    <row r="77" spans="1:45" x14ac:dyDescent="0.15">
      <c r="A77" s="18">
        <v>76</v>
      </c>
      <c r="B77" s="18" t="s">
        <v>1862</v>
      </c>
      <c r="C77" s="18">
        <f t="shared" si="11"/>
        <v>238</v>
      </c>
      <c r="D77" s="19">
        <f t="shared" si="12"/>
        <v>2</v>
      </c>
      <c r="E77" s="19">
        <f>VLOOKUP(MOD(A77,4),各职业基础配置!C$32:D$35,2,FALSE)</f>
        <v>1</v>
      </c>
      <c r="F77" s="19">
        <f>IF(A77&lt;900,INDEX(各职业基础配置!C$23:C$28,MOD(ROW(A77),4)+1),0)</f>
        <v>13</v>
      </c>
      <c r="G77" s="19">
        <f t="shared" si="13"/>
        <v>186</v>
      </c>
      <c r="H77" s="27">
        <f t="shared" si="14"/>
        <v>3</v>
      </c>
      <c r="I77" s="6" t="s">
        <v>164</v>
      </c>
      <c r="J77" s="23" t="str">
        <f>VLOOKUP(E77,各职业基础配置!$B$9:$C$12,2,FALSE)</f>
        <v>101|102|103|4201|105</v>
      </c>
      <c r="K77" s="18" t="str">
        <f>VLOOKUP(E77,各职业基础配置!$B$15:$C$18,2,FALSE)</f>
        <v>24|25|26|27</v>
      </c>
      <c r="L77" s="18" t="str">
        <f>VLOOKUP(E77,各职业基础配置!B:C,2,FALSE)</f>
        <v>[{24,1,1},{25,1,1},{26,1,1},{27,1,1},{1,1,1},{2,1,1},{3,1,1}]</v>
      </c>
      <c r="M77" s="18">
        <v>0</v>
      </c>
      <c r="N77" s="18">
        <f t="shared" si="15"/>
        <v>3</v>
      </c>
      <c r="O77" s="18">
        <f>SUMPRODUCT(P77:AI77,Sheet2!$B$3:$U$3)</f>
        <v>658689</v>
      </c>
      <c r="P77" s="18">
        <f>CEILING(INDEX([1]系统模型!$VD:$VD,MATCH(C77,[1]系统模型!$A:$A,0))*POWER(C77/220,3.8)-50+(1000-A77),1)</f>
        <v>13931</v>
      </c>
      <c r="Q77" s="18">
        <f>CEILING(INDEX([1]系统模型!$VE:$VE,MATCH(C77,[1]系统模型!$A:$A,0))*POWER(C77/220,4),1)</f>
        <v>2804</v>
      </c>
      <c r="R77" s="18">
        <f>INT(INDEX([1]系统模型!$VF:$VF,MATCH(C77,[1]系统模型!$A:$A,0))*MAX(POWER(C77/180,4),0.5))</f>
        <v>160139</v>
      </c>
      <c r="S77" s="5">
        <v>1000</v>
      </c>
      <c r="T77" s="25">
        <v>0</v>
      </c>
      <c r="U77" s="25">
        <v>0</v>
      </c>
      <c r="V77" s="25">
        <v>0</v>
      </c>
      <c r="W77" s="25">
        <v>0</v>
      </c>
      <c r="X77" s="25">
        <f t="shared" si="16"/>
        <v>8006</v>
      </c>
      <c r="Y77" s="12">
        <v>0</v>
      </c>
      <c r="Z77" s="25">
        <v>100</v>
      </c>
      <c r="AA77" s="25">
        <v>150</v>
      </c>
      <c r="AB77" s="25">
        <v>0</v>
      </c>
      <c r="AC77" s="25">
        <v>0</v>
      </c>
      <c r="AD77" s="25">
        <v>0</v>
      </c>
      <c r="AE77" s="25">
        <f t="shared" si="17"/>
        <v>476</v>
      </c>
      <c r="AF77" s="25">
        <f t="shared" si="18"/>
        <v>476</v>
      </c>
      <c r="AG77" s="25">
        <v>0</v>
      </c>
      <c r="AH77" s="25">
        <f t="shared" si="19"/>
        <v>9100</v>
      </c>
      <c r="AI77" s="25">
        <f t="shared" si="20"/>
        <v>185</v>
      </c>
      <c r="AJ77" s="25">
        <v>1</v>
      </c>
      <c r="AK77" s="25">
        <v>1000</v>
      </c>
      <c r="AL77" s="25">
        <v>100</v>
      </c>
      <c r="AM77" s="26">
        <v>10</v>
      </c>
      <c r="AN77" s="26">
        <v>10</v>
      </c>
      <c r="AO77" s="22" t="s">
        <v>2211</v>
      </c>
      <c r="AP77" s="26">
        <v>0</v>
      </c>
      <c r="AQ77" s="26">
        <f t="shared" si="21"/>
        <v>930</v>
      </c>
      <c r="AR77" s="18" t="str">
        <f ca="1">CONCATENATE(OFFSET(Sheet1!$A$2,RANDBETWEEN(2,500),0,1,1),OFFSET(Sheet1!$A$2,RANDBETWEEN(2,500),RANDBETWEEN(1,5),1,1))</f>
        <v>坎伯兰</v>
      </c>
      <c r="AS77">
        <f>SUMPRODUCT(P77:AI77,Sheet2!$B$3:$U$3)</f>
        <v>658689</v>
      </c>
    </row>
    <row r="78" spans="1:45" x14ac:dyDescent="0.15">
      <c r="A78" s="18">
        <v>77</v>
      </c>
      <c r="B78" s="18" t="s">
        <v>1863</v>
      </c>
      <c r="C78" s="18">
        <f t="shared" si="11"/>
        <v>238</v>
      </c>
      <c r="D78" s="19">
        <f t="shared" si="12"/>
        <v>3</v>
      </c>
      <c r="E78" s="19">
        <f>VLOOKUP(MOD(A78,4),各职业基础配置!C$32:D$35,2,FALSE)</f>
        <v>3</v>
      </c>
      <c r="F78" s="19">
        <f>IF(A78&lt;900,INDEX(各职业基础配置!C$23:C$28,MOD(ROW(A78),4)+1),0)</f>
        <v>14</v>
      </c>
      <c r="G78" s="19">
        <f t="shared" si="13"/>
        <v>186</v>
      </c>
      <c r="H78" s="27">
        <f t="shared" si="14"/>
        <v>3</v>
      </c>
      <c r="I78" s="6" t="s">
        <v>164</v>
      </c>
      <c r="J78" s="23" t="str">
        <f>VLOOKUP(E78,各职业基础配置!$B$9:$C$12,2,FALSE)</f>
        <v>106|107|108|4201|110</v>
      </c>
      <c r="K78" s="18" t="str">
        <f>VLOOKUP(E78,各职业基础配置!$B$15:$C$18,2,FALSE)</f>
        <v>20|21|22|23</v>
      </c>
      <c r="L78" s="18" t="str">
        <f>VLOOKUP(E78,各职业基础配置!B:C,2,FALSE)</f>
        <v>[{20,1,1},{21,1,1},{22,1,1},{23,1,1},{4,1,1},{5,1,1},{6,1,1}]</v>
      </c>
      <c r="M78" s="18">
        <v>0</v>
      </c>
      <c r="N78" s="18">
        <f t="shared" si="15"/>
        <v>7</v>
      </c>
      <c r="O78" s="18">
        <f>SUMPRODUCT(P78:AI78,Sheet2!$B$3:$U$3)</f>
        <v>658664</v>
      </c>
      <c r="P78" s="18">
        <f>CEILING(INDEX([1]系统模型!$VD:$VD,MATCH(C78,[1]系统模型!$A:$A,0))*POWER(C78/220,3.8)-50+(1000-A78),1)</f>
        <v>13930</v>
      </c>
      <c r="Q78" s="18">
        <f>CEILING(INDEX([1]系统模型!$VE:$VE,MATCH(C78,[1]系统模型!$A:$A,0))*POWER(C78/220,4),1)</f>
        <v>2804</v>
      </c>
      <c r="R78" s="18">
        <f>INT(INDEX([1]系统模型!$VF:$VF,MATCH(C78,[1]系统模型!$A:$A,0))*MAX(POWER(C78/180,4),0.5))</f>
        <v>160139</v>
      </c>
      <c r="S78" s="5">
        <v>1000</v>
      </c>
      <c r="T78" s="25">
        <v>0</v>
      </c>
      <c r="U78" s="25">
        <v>0</v>
      </c>
      <c r="V78" s="25">
        <v>0</v>
      </c>
      <c r="W78" s="25">
        <v>0</v>
      </c>
      <c r="X78" s="25">
        <f t="shared" si="16"/>
        <v>8006</v>
      </c>
      <c r="Y78" s="12">
        <v>0</v>
      </c>
      <c r="Z78" s="25">
        <v>100</v>
      </c>
      <c r="AA78" s="25">
        <v>150</v>
      </c>
      <c r="AB78" s="25">
        <v>0</v>
      </c>
      <c r="AC78" s="25">
        <v>0</v>
      </c>
      <c r="AD78" s="25">
        <v>0</v>
      </c>
      <c r="AE78" s="25">
        <f t="shared" si="17"/>
        <v>476</v>
      </c>
      <c r="AF78" s="25">
        <f t="shared" si="18"/>
        <v>476</v>
      </c>
      <c r="AG78" s="25">
        <v>0</v>
      </c>
      <c r="AH78" s="25">
        <f t="shared" si="19"/>
        <v>9100</v>
      </c>
      <c r="AI78" s="25">
        <f t="shared" si="20"/>
        <v>185</v>
      </c>
      <c r="AJ78" s="25">
        <v>1</v>
      </c>
      <c r="AK78" s="25">
        <v>1000</v>
      </c>
      <c r="AL78" s="25">
        <v>100</v>
      </c>
      <c r="AM78" s="26">
        <v>10</v>
      </c>
      <c r="AN78" s="26">
        <v>10</v>
      </c>
      <c r="AO78" s="22" t="s">
        <v>2211</v>
      </c>
      <c r="AP78" s="26">
        <v>0</v>
      </c>
      <c r="AQ78" s="26">
        <f t="shared" si="21"/>
        <v>930</v>
      </c>
      <c r="AR78" s="18" t="str">
        <f ca="1">CONCATENATE(OFFSET(Sheet1!$A$2,RANDBETWEEN(2,500),0,1,1),OFFSET(Sheet1!$A$2,RANDBETWEEN(2,500),RANDBETWEEN(1,5),1,1))</f>
        <v>赫伯特</v>
      </c>
      <c r="AS78">
        <f>SUMPRODUCT(P78:AI78,Sheet2!$B$3:$U$3)</f>
        <v>658664</v>
      </c>
    </row>
    <row r="79" spans="1:45" x14ac:dyDescent="0.15">
      <c r="A79" s="23">
        <v>78</v>
      </c>
      <c r="B79" s="18" t="s">
        <v>1864</v>
      </c>
      <c r="C79" s="18">
        <f t="shared" si="11"/>
        <v>238</v>
      </c>
      <c r="D79" s="19">
        <f t="shared" si="12"/>
        <v>2</v>
      </c>
      <c r="E79" s="19">
        <f>VLOOKUP(MOD(A79,4),各职业基础配置!C$32:D$35,2,FALSE)</f>
        <v>6</v>
      </c>
      <c r="F79" s="19">
        <f>IF(A79&lt;900,INDEX(各职业基础配置!C$23:C$28,MOD(ROW(A79),4)+1),0)</f>
        <v>16</v>
      </c>
      <c r="G79" s="19">
        <f t="shared" si="13"/>
        <v>186</v>
      </c>
      <c r="H79" s="27">
        <f t="shared" si="14"/>
        <v>3</v>
      </c>
      <c r="I79" s="6" t="s">
        <v>164</v>
      </c>
      <c r="J79" s="23" t="str">
        <f>VLOOKUP(E79,各职业基础配置!$B$9:$C$12,2,FALSE)</f>
        <v>111|112|113|4201|115</v>
      </c>
      <c r="K79" s="18" t="str">
        <f>VLOOKUP(E79,各职业基础配置!$B$15:$C$18,2,FALSE)</f>
        <v>32|33|34</v>
      </c>
      <c r="L79" s="18" t="str">
        <f>VLOOKUP(E79,各职业基础配置!B:C,2,FALSE)</f>
        <v>[{32,1,1},{33,1,1},{34,1,1},{35,1,1},{7,1,1},{8,1,1},{9,1,1}]</v>
      </c>
      <c r="M79" s="18">
        <v>0</v>
      </c>
      <c r="N79" s="18">
        <f t="shared" si="15"/>
        <v>7</v>
      </c>
      <c r="O79" s="18">
        <f>SUMPRODUCT(P79:AI79,Sheet2!$B$3:$U$3)</f>
        <v>658639</v>
      </c>
      <c r="P79" s="18">
        <f>CEILING(INDEX([1]系统模型!$VD:$VD,MATCH(C79,[1]系统模型!$A:$A,0))*POWER(C79/220,3.8)-50+(1000-A79),1)</f>
        <v>13929</v>
      </c>
      <c r="Q79" s="18">
        <f>CEILING(INDEX([1]系统模型!$VE:$VE,MATCH(C79,[1]系统模型!$A:$A,0))*POWER(C79/220,4),1)</f>
        <v>2804</v>
      </c>
      <c r="R79" s="18">
        <f>INT(INDEX([1]系统模型!$VF:$VF,MATCH(C79,[1]系统模型!$A:$A,0))*MAX(POWER(C79/180,4),0.5))</f>
        <v>160139</v>
      </c>
      <c r="S79" s="5">
        <v>1000</v>
      </c>
      <c r="T79" s="25">
        <v>0</v>
      </c>
      <c r="U79" s="25">
        <v>0</v>
      </c>
      <c r="V79" s="25">
        <v>0</v>
      </c>
      <c r="W79" s="25">
        <v>0</v>
      </c>
      <c r="X79" s="25">
        <f t="shared" si="16"/>
        <v>8006</v>
      </c>
      <c r="Y79" s="12">
        <v>0</v>
      </c>
      <c r="Z79" s="25">
        <v>100</v>
      </c>
      <c r="AA79" s="25">
        <v>150</v>
      </c>
      <c r="AB79" s="25">
        <v>0</v>
      </c>
      <c r="AC79" s="25">
        <v>0</v>
      </c>
      <c r="AD79" s="25">
        <v>0</v>
      </c>
      <c r="AE79" s="25">
        <f t="shared" si="17"/>
        <v>476</v>
      </c>
      <c r="AF79" s="25">
        <f t="shared" si="18"/>
        <v>476</v>
      </c>
      <c r="AG79" s="25">
        <v>0</v>
      </c>
      <c r="AH79" s="25">
        <f t="shared" si="19"/>
        <v>9100</v>
      </c>
      <c r="AI79" s="25">
        <f t="shared" si="20"/>
        <v>185</v>
      </c>
      <c r="AJ79" s="25">
        <v>1</v>
      </c>
      <c r="AK79" s="25">
        <v>1000</v>
      </c>
      <c r="AL79" s="25">
        <v>100</v>
      </c>
      <c r="AM79" s="26">
        <v>10</v>
      </c>
      <c r="AN79" s="26">
        <v>10</v>
      </c>
      <c r="AO79" s="22" t="s">
        <v>2211</v>
      </c>
      <c r="AP79" s="26">
        <v>0</v>
      </c>
      <c r="AQ79" s="26">
        <f t="shared" si="21"/>
        <v>930</v>
      </c>
      <c r="AR79" s="18" t="str">
        <f ca="1">CONCATENATE(OFFSET(Sheet1!$A$2,RANDBETWEEN(2,500),0,1,1),OFFSET(Sheet1!$A$2,RANDBETWEEN(2,500),RANDBETWEEN(1,5),1,1))</f>
        <v>布朗</v>
      </c>
      <c r="AS79">
        <f>SUMPRODUCT(P79:AI79,Sheet2!$B$3:$U$3)</f>
        <v>658639</v>
      </c>
    </row>
    <row r="80" spans="1:45" x14ac:dyDescent="0.15">
      <c r="A80" s="18">
        <v>79</v>
      </c>
      <c r="B80" s="18" t="s">
        <v>1865</v>
      </c>
      <c r="C80" s="18">
        <f t="shared" si="11"/>
        <v>238</v>
      </c>
      <c r="D80" s="19">
        <f t="shared" si="12"/>
        <v>3</v>
      </c>
      <c r="E80" s="19">
        <f>VLOOKUP(MOD(A80,4),各职业基础配置!C$32:D$35,2,FALSE)</f>
        <v>9</v>
      </c>
      <c r="F80" s="19">
        <f>IF(A80&lt;900,INDEX(各职业基础配置!C$23:C$28,MOD(ROW(A80),4)+1),0)</f>
        <v>8</v>
      </c>
      <c r="G80" s="19">
        <f t="shared" si="13"/>
        <v>186</v>
      </c>
      <c r="H80" s="27">
        <f t="shared" si="14"/>
        <v>3</v>
      </c>
      <c r="I80" s="6" t="s">
        <v>164</v>
      </c>
      <c r="J80" s="23" t="str">
        <f>VLOOKUP(E80,各职业基础配置!$B$9:$C$12,2,FALSE)</f>
        <v>116|117|118|4201|120</v>
      </c>
      <c r="K80" s="18" t="str">
        <f>VLOOKUP(E80,各职业基础配置!$B$15:$C$18,2,FALSE)</f>
        <v>28|29|30|31</v>
      </c>
      <c r="L80" s="18" t="str">
        <f>VLOOKUP(E80,各职业基础配置!B:C,2,FALSE)</f>
        <v>[{28,1,1},{29,1,1},{30,1,1},{31,1,1},{10,1,1},{11,1,1},{12,1,1}]</v>
      </c>
      <c r="M80" s="18">
        <v>0</v>
      </c>
      <c r="N80" s="18">
        <f t="shared" si="15"/>
        <v>3</v>
      </c>
      <c r="O80" s="18">
        <f>SUMPRODUCT(P80:AI80,Sheet2!$B$3:$U$3)</f>
        <v>658614</v>
      </c>
      <c r="P80" s="18">
        <f>CEILING(INDEX([1]系统模型!$VD:$VD,MATCH(C80,[1]系统模型!$A:$A,0))*POWER(C80/220,3.8)-50+(1000-A80),1)</f>
        <v>13928</v>
      </c>
      <c r="Q80" s="18">
        <f>CEILING(INDEX([1]系统模型!$VE:$VE,MATCH(C80,[1]系统模型!$A:$A,0))*POWER(C80/220,4),1)</f>
        <v>2804</v>
      </c>
      <c r="R80" s="18">
        <f>INT(INDEX([1]系统模型!$VF:$VF,MATCH(C80,[1]系统模型!$A:$A,0))*MAX(POWER(C80/180,4),0.5))</f>
        <v>160139</v>
      </c>
      <c r="S80" s="5">
        <v>1000</v>
      </c>
      <c r="T80" s="25">
        <v>0</v>
      </c>
      <c r="U80" s="25">
        <v>0</v>
      </c>
      <c r="V80" s="25">
        <v>0</v>
      </c>
      <c r="W80" s="25">
        <v>0</v>
      </c>
      <c r="X80" s="25">
        <f t="shared" si="16"/>
        <v>8006</v>
      </c>
      <c r="Y80" s="12">
        <v>0</v>
      </c>
      <c r="Z80" s="25">
        <v>100</v>
      </c>
      <c r="AA80" s="25">
        <v>150</v>
      </c>
      <c r="AB80" s="25">
        <v>0</v>
      </c>
      <c r="AC80" s="25">
        <v>0</v>
      </c>
      <c r="AD80" s="25">
        <v>0</v>
      </c>
      <c r="AE80" s="25">
        <f t="shared" si="17"/>
        <v>476</v>
      </c>
      <c r="AF80" s="25">
        <f t="shared" si="18"/>
        <v>476</v>
      </c>
      <c r="AG80" s="25">
        <v>0</v>
      </c>
      <c r="AH80" s="25">
        <f t="shared" si="19"/>
        <v>9100</v>
      </c>
      <c r="AI80" s="25">
        <f t="shared" si="20"/>
        <v>185</v>
      </c>
      <c r="AJ80" s="25">
        <v>1</v>
      </c>
      <c r="AK80" s="25">
        <v>1000</v>
      </c>
      <c r="AL80" s="25">
        <v>100</v>
      </c>
      <c r="AM80" s="26">
        <v>10</v>
      </c>
      <c r="AN80" s="26">
        <v>10</v>
      </c>
      <c r="AO80" s="22" t="s">
        <v>2211</v>
      </c>
      <c r="AP80" s="26">
        <v>0</v>
      </c>
      <c r="AQ80" s="26">
        <f t="shared" si="21"/>
        <v>920</v>
      </c>
      <c r="AR80" s="18" t="str">
        <f ca="1">CONCATENATE(OFFSET(Sheet1!$A$2,RANDBETWEEN(2,500),0,1,1),OFFSET(Sheet1!$A$2,RANDBETWEEN(2,500),RANDBETWEEN(1,5),1,1))</f>
        <v>约翰斯顿玛西亚</v>
      </c>
      <c r="AS80">
        <f>SUMPRODUCT(P80:AI80,Sheet2!$B$3:$U$3)</f>
        <v>658614</v>
      </c>
    </row>
    <row r="81" spans="1:45" x14ac:dyDescent="0.15">
      <c r="A81" s="18">
        <v>80</v>
      </c>
      <c r="B81" s="18" t="s">
        <v>1228</v>
      </c>
      <c r="C81" s="18">
        <f t="shared" si="11"/>
        <v>238</v>
      </c>
      <c r="D81" s="19">
        <f t="shared" si="12"/>
        <v>2</v>
      </c>
      <c r="E81" s="19">
        <f>VLOOKUP(MOD(A81,4),各职业基础配置!C$32:D$35,2,FALSE)</f>
        <v>1</v>
      </c>
      <c r="F81" s="19">
        <f>IF(A81&lt;900,INDEX(各职业基础配置!C$23:C$28,MOD(ROW(A81),4)+1),0)</f>
        <v>13</v>
      </c>
      <c r="G81" s="19">
        <f t="shared" si="13"/>
        <v>186</v>
      </c>
      <c r="H81" s="27">
        <f t="shared" si="14"/>
        <v>3</v>
      </c>
      <c r="I81" s="6" t="s">
        <v>164</v>
      </c>
      <c r="J81" s="23" t="str">
        <f>VLOOKUP(E81,各职业基础配置!$B$9:$C$12,2,FALSE)</f>
        <v>101|102|103|4201|105</v>
      </c>
      <c r="K81" s="18" t="str">
        <f>VLOOKUP(E81,各职业基础配置!$B$15:$C$18,2,FALSE)</f>
        <v>24|25|26|27</v>
      </c>
      <c r="L81" s="18" t="str">
        <f>VLOOKUP(E81,各职业基础配置!B:C,2,FALSE)</f>
        <v>[{24,1,1},{25,1,1},{26,1,1},{27,1,1},{1,1,1},{2,1,1},{3,1,1}]</v>
      </c>
      <c r="M81" s="18">
        <v>0</v>
      </c>
      <c r="N81" s="18">
        <f t="shared" si="15"/>
        <v>3</v>
      </c>
      <c r="O81" s="18">
        <f>SUMPRODUCT(P81:AI81,Sheet2!$B$3:$U$3)</f>
        <v>658589</v>
      </c>
      <c r="P81" s="18">
        <f>CEILING(INDEX([1]系统模型!$VD:$VD,MATCH(C81,[1]系统模型!$A:$A,0))*POWER(C81/220,3.8)-50+(1000-A81),1)</f>
        <v>13927</v>
      </c>
      <c r="Q81" s="18">
        <f>CEILING(INDEX([1]系统模型!$VE:$VE,MATCH(C81,[1]系统模型!$A:$A,0))*POWER(C81/220,4),1)</f>
        <v>2804</v>
      </c>
      <c r="R81" s="18">
        <f>INT(INDEX([1]系统模型!$VF:$VF,MATCH(C81,[1]系统模型!$A:$A,0))*MAX(POWER(C81/180,4),0.5))</f>
        <v>160139</v>
      </c>
      <c r="S81" s="5">
        <v>1000</v>
      </c>
      <c r="T81" s="25">
        <v>0</v>
      </c>
      <c r="U81" s="25">
        <v>0</v>
      </c>
      <c r="V81" s="25">
        <v>0</v>
      </c>
      <c r="W81" s="25">
        <v>0</v>
      </c>
      <c r="X81" s="25">
        <f t="shared" si="16"/>
        <v>8006</v>
      </c>
      <c r="Y81" s="12">
        <v>0</v>
      </c>
      <c r="Z81" s="25">
        <v>100</v>
      </c>
      <c r="AA81" s="25">
        <v>150</v>
      </c>
      <c r="AB81" s="25">
        <v>0</v>
      </c>
      <c r="AC81" s="25">
        <v>0</v>
      </c>
      <c r="AD81" s="25">
        <v>0</v>
      </c>
      <c r="AE81" s="25">
        <f t="shared" si="17"/>
        <v>476</v>
      </c>
      <c r="AF81" s="25">
        <f t="shared" si="18"/>
        <v>476</v>
      </c>
      <c r="AG81" s="25">
        <v>0</v>
      </c>
      <c r="AH81" s="25">
        <f t="shared" si="19"/>
        <v>9100</v>
      </c>
      <c r="AI81" s="25">
        <f t="shared" si="20"/>
        <v>185</v>
      </c>
      <c r="AJ81" s="25">
        <v>1</v>
      </c>
      <c r="AK81" s="25">
        <v>1000</v>
      </c>
      <c r="AL81" s="25">
        <v>100</v>
      </c>
      <c r="AM81" s="26">
        <v>10</v>
      </c>
      <c r="AN81" s="26">
        <v>10</v>
      </c>
      <c r="AO81" s="22" t="s">
        <v>2211</v>
      </c>
      <c r="AP81" s="26">
        <v>0</v>
      </c>
      <c r="AQ81" s="26">
        <f t="shared" si="21"/>
        <v>920</v>
      </c>
      <c r="AR81" s="18" t="str">
        <f ca="1">CONCATENATE(OFFSET(Sheet1!$A$2,RANDBETWEEN(2,500),0,1,1),OFFSET(Sheet1!$A$2,RANDBETWEEN(2,500),RANDBETWEEN(1,5),1,1))</f>
        <v>格林</v>
      </c>
      <c r="AS81">
        <f>SUMPRODUCT(P81:AI81,Sheet2!$B$3:$U$3)</f>
        <v>658589</v>
      </c>
    </row>
    <row r="82" spans="1:45" x14ac:dyDescent="0.15">
      <c r="A82" s="23">
        <v>81</v>
      </c>
      <c r="B82" s="18" t="s">
        <v>1866</v>
      </c>
      <c r="C82" s="18">
        <f t="shared" si="11"/>
        <v>238</v>
      </c>
      <c r="D82" s="19">
        <f t="shared" si="12"/>
        <v>3</v>
      </c>
      <c r="E82" s="19">
        <f>VLOOKUP(MOD(A82,4),各职业基础配置!C$32:D$35,2,FALSE)</f>
        <v>3</v>
      </c>
      <c r="F82" s="19">
        <f>IF(A82&lt;900,INDEX(各职业基础配置!C$23:C$28,MOD(ROW(A82),4)+1),0)</f>
        <v>14</v>
      </c>
      <c r="G82" s="19">
        <f t="shared" si="13"/>
        <v>186</v>
      </c>
      <c r="H82" s="27">
        <f t="shared" si="14"/>
        <v>3</v>
      </c>
      <c r="I82" s="6" t="s">
        <v>164</v>
      </c>
      <c r="J82" s="23" t="str">
        <f>VLOOKUP(E82,各职业基础配置!$B$9:$C$12,2,FALSE)</f>
        <v>106|107|108|4201|110</v>
      </c>
      <c r="K82" s="18" t="str">
        <f>VLOOKUP(E82,各职业基础配置!$B$15:$C$18,2,FALSE)</f>
        <v>20|21|22|23</v>
      </c>
      <c r="L82" s="18" t="str">
        <f>VLOOKUP(E82,各职业基础配置!B:C,2,FALSE)</f>
        <v>[{20,1,1},{21,1,1},{22,1,1},{23,1,1},{4,1,1},{5,1,1},{6,1,1}]</v>
      </c>
      <c r="M82" s="18">
        <v>0</v>
      </c>
      <c r="N82" s="18">
        <f t="shared" si="15"/>
        <v>7</v>
      </c>
      <c r="O82" s="18">
        <f>SUMPRODUCT(P82:AI82,Sheet2!$B$3:$U$3)</f>
        <v>658564</v>
      </c>
      <c r="P82" s="18">
        <f>CEILING(INDEX([1]系统模型!$VD:$VD,MATCH(C82,[1]系统模型!$A:$A,0))*POWER(C82/220,3.8)-50+(1000-A82),1)</f>
        <v>13926</v>
      </c>
      <c r="Q82" s="18">
        <f>CEILING(INDEX([1]系统模型!$VE:$VE,MATCH(C82,[1]系统模型!$A:$A,0))*POWER(C82/220,4),1)</f>
        <v>2804</v>
      </c>
      <c r="R82" s="18">
        <f>INT(INDEX([1]系统模型!$VF:$VF,MATCH(C82,[1]系统模型!$A:$A,0))*MAX(POWER(C82/180,4),0.5))</f>
        <v>160139</v>
      </c>
      <c r="S82" s="5">
        <v>1000</v>
      </c>
      <c r="T82" s="25">
        <v>0</v>
      </c>
      <c r="U82" s="25">
        <v>0</v>
      </c>
      <c r="V82" s="25">
        <v>0</v>
      </c>
      <c r="W82" s="25">
        <v>0</v>
      </c>
      <c r="X82" s="25">
        <f t="shared" si="16"/>
        <v>8006</v>
      </c>
      <c r="Y82" s="12">
        <v>0</v>
      </c>
      <c r="Z82" s="25">
        <v>100</v>
      </c>
      <c r="AA82" s="25">
        <v>150</v>
      </c>
      <c r="AB82" s="25">
        <v>0</v>
      </c>
      <c r="AC82" s="25">
        <v>0</v>
      </c>
      <c r="AD82" s="25">
        <v>0</v>
      </c>
      <c r="AE82" s="25">
        <f t="shared" si="17"/>
        <v>476</v>
      </c>
      <c r="AF82" s="25">
        <f t="shared" si="18"/>
        <v>476</v>
      </c>
      <c r="AG82" s="25">
        <v>0</v>
      </c>
      <c r="AH82" s="25">
        <f t="shared" si="19"/>
        <v>9100</v>
      </c>
      <c r="AI82" s="25">
        <f t="shared" si="20"/>
        <v>185</v>
      </c>
      <c r="AJ82" s="25">
        <v>1</v>
      </c>
      <c r="AK82" s="25">
        <v>1000</v>
      </c>
      <c r="AL82" s="25">
        <v>100</v>
      </c>
      <c r="AM82" s="26">
        <v>10</v>
      </c>
      <c r="AN82" s="26">
        <v>10</v>
      </c>
      <c r="AO82" s="22" t="s">
        <v>2211</v>
      </c>
      <c r="AP82" s="26">
        <v>0</v>
      </c>
      <c r="AQ82" s="26">
        <f t="shared" si="21"/>
        <v>920</v>
      </c>
      <c r="AR82" s="18" t="str">
        <f ca="1">CONCATENATE(OFFSET(Sheet1!$A$2,RANDBETWEEN(2,500),0,1,1),OFFSET(Sheet1!$A$2,RANDBETWEEN(2,500),RANDBETWEEN(1,5),1,1))</f>
        <v>福克斯</v>
      </c>
      <c r="AS82">
        <f>SUMPRODUCT(P82:AI82,Sheet2!$B$3:$U$3)</f>
        <v>658564</v>
      </c>
    </row>
    <row r="83" spans="1:45" x14ac:dyDescent="0.15">
      <c r="A83" s="18">
        <v>82</v>
      </c>
      <c r="B83" s="18" t="s">
        <v>1867</v>
      </c>
      <c r="C83" s="18">
        <f t="shared" si="11"/>
        <v>237</v>
      </c>
      <c r="D83" s="19">
        <f t="shared" si="12"/>
        <v>2</v>
      </c>
      <c r="E83" s="19">
        <f>VLOOKUP(MOD(A83,4),各职业基础配置!C$32:D$35,2,FALSE)</f>
        <v>6</v>
      </c>
      <c r="F83" s="19">
        <f>IF(A83&lt;900,INDEX(各职业基础配置!C$23:C$28,MOD(ROW(A83),4)+1),0)</f>
        <v>16</v>
      </c>
      <c r="G83" s="19">
        <f t="shared" si="13"/>
        <v>181</v>
      </c>
      <c r="H83" s="27">
        <f t="shared" si="14"/>
        <v>3</v>
      </c>
      <c r="I83" s="6" t="s">
        <v>164</v>
      </c>
      <c r="J83" s="23" t="str">
        <f>VLOOKUP(E83,各职业基础配置!$B$9:$C$12,2,FALSE)</f>
        <v>111|112|113|4201|115</v>
      </c>
      <c r="K83" s="18" t="str">
        <f>VLOOKUP(E83,各职业基础配置!$B$15:$C$18,2,FALSE)</f>
        <v>32|33|34</v>
      </c>
      <c r="L83" s="18" t="str">
        <f>VLOOKUP(E83,各职业基础配置!B:C,2,FALSE)</f>
        <v>[{32,1,1},{33,1,1},{34,1,1},{35,1,1},{7,1,1},{8,1,1},{9,1,1}]</v>
      </c>
      <c r="M83" s="18">
        <v>0</v>
      </c>
      <c r="N83" s="18">
        <f t="shared" si="15"/>
        <v>7</v>
      </c>
      <c r="O83" s="18">
        <f>SUMPRODUCT(P83:AI83,Sheet2!$B$3:$U$3)</f>
        <v>645776</v>
      </c>
      <c r="P83" s="18">
        <f>CEILING(INDEX([1]系统模型!$VD:$VD,MATCH(C83,[1]系统模型!$A:$A,0))*POWER(C83/220,3.8)-50+(1000-A83),1)</f>
        <v>13648</v>
      </c>
      <c r="Q83" s="18">
        <f>CEILING(INDEX([1]系统模型!$VE:$VE,MATCH(C83,[1]系统模型!$A:$A,0))*POWER(C83/220,4),1)</f>
        <v>2737</v>
      </c>
      <c r="R83" s="18">
        <f>INT(INDEX([1]系统模型!$VF:$VF,MATCH(C83,[1]系统模型!$A:$A,0))*MAX(POWER(C83/180,4),0.5))</f>
        <v>156551</v>
      </c>
      <c r="S83" s="5">
        <v>1000</v>
      </c>
      <c r="T83" s="25">
        <v>0</v>
      </c>
      <c r="U83" s="25">
        <v>0</v>
      </c>
      <c r="V83" s="25">
        <v>0</v>
      </c>
      <c r="W83" s="25">
        <v>0</v>
      </c>
      <c r="X83" s="25">
        <f t="shared" si="16"/>
        <v>7827</v>
      </c>
      <c r="Y83" s="12">
        <v>0</v>
      </c>
      <c r="Z83" s="25">
        <v>100</v>
      </c>
      <c r="AA83" s="25">
        <v>150</v>
      </c>
      <c r="AB83" s="25">
        <v>0</v>
      </c>
      <c r="AC83" s="25">
        <v>0</v>
      </c>
      <c r="AD83" s="25">
        <v>0</v>
      </c>
      <c r="AE83" s="25">
        <f t="shared" si="17"/>
        <v>474</v>
      </c>
      <c r="AF83" s="25">
        <f t="shared" si="18"/>
        <v>474</v>
      </c>
      <c r="AG83" s="25">
        <v>0</v>
      </c>
      <c r="AH83" s="25">
        <f t="shared" si="19"/>
        <v>9025</v>
      </c>
      <c r="AI83" s="25">
        <f t="shared" si="20"/>
        <v>181</v>
      </c>
      <c r="AJ83" s="25">
        <v>1</v>
      </c>
      <c r="AK83" s="25">
        <v>1000</v>
      </c>
      <c r="AL83" s="25">
        <v>100</v>
      </c>
      <c r="AM83" s="26">
        <v>10</v>
      </c>
      <c r="AN83" s="26">
        <v>10</v>
      </c>
      <c r="AO83" s="22" t="s">
        <v>2211</v>
      </c>
      <c r="AP83" s="26">
        <v>0</v>
      </c>
      <c r="AQ83" s="26">
        <f t="shared" si="21"/>
        <v>920</v>
      </c>
      <c r="AR83" s="18" t="str">
        <f ca="1">CONCATENATE(OFFSET(Sheet1!$A$2,RANDBETWEEN(2,500),0,1,1),OFFSET(Sheet1!$A$2,RANDBETWEEN(2,500),RANDBETWEEN(1,5),1,1))</f>
        <v>戴维</v>
      </c>
      <c r="AS83">
        <f>SUMPRODUCT(P83:AI83,Sheet2!$B$3:$U$3)</f>
        <v>645776</v>
      </c>
    </row>
    <row r="84" spans="1:45" x14ac:dyDescent="0.15">
      <c r="A84" s="18">
        <v>83</v>
      </c>
      <c r="B84" s="18" t="s">
        <v>1868</v>
      </c>
      <c r="C84" s="18">
        <f t="shared" si="11"/>
        <v>237</v>
      </c>
      <c r="D84" s="19">
        <f t="shared" si="12"/>
        <v>3</v>
      </c>
      <c r="E84" s="19">
        <f>VLOOKUP(MOD(A84,4),各职业基础配置!C$32:D$35,2,FALSE)</f>
        <v>9</v>
      </c>
      <c r="F84" s="19">
        <f>IF(A84&lt;900,INDEX(各职业基础配置!C$23:C$28,MOD(ROW(A84),4)+1),0)</f>
        <v>8</v>
      </c>
      <c r="G84" s="19">
        <f t="shared" si="13"/>
        <v>181</v>
      </c>
      <c r="H84" s="27">
        <f t="shared" si="14"/>
        <v>3</v>
      </c>
      <c r="I84" s="6" t="s">
        <v>164</v>
      </c>
      <c r="J84" s="23" t="str">
        <f>VLOOKUP(E84,各职业基础配置!$B$9:$C$12,2,FALSE)</f>
        <v>116|117|118|4201|120</v>
      </c>
      <c r="K84" s="18" t="str">
        <f>VLOOKUP(E84,各职业基础配置!$B$15:$C$18,2,FALSE)</f>
        <v>28|29|30|31</v>
      </c>
      <c r="L84" s="18" t="str">
        <f>VLOOKUP(E84,各职业基础配置!B:C,2,FALSE)</f>
        <v>[{28,1,1},{29,1,1},{30,1,1},{31,1,1},{10,1,1},{11,1,1},{12,1,1}]</v>
      </c>
      <c r="M84" s="18">
        <v>0</v>
      </c>
      <c r="N84" s="18">
        <f t="shared" si="15"/>
        <v>3</v>
      </c>
      <c r="O84" s="18">
        <f>SUMPRODUCT(P84:AI84,Sheet2!$B$3:$U$3)</f>
        <v>645751</v>
      </c>
      <c r="P84" s="18">
        <f>CEILING(INDEX([1]系统模型!$VD:$VD,MATCH(C84,[1]系统模型!$A:$A,0))*POWER(C84/220,3.8)-50+(1000-A84),1)</f>
        <v>13647</v>
      </c>
      <c r="Q84" s="18">
        <f>CEILING(INDEX([1]系统模型!$VE:$VE,MATCH(C84,[1]系统模型!$A:$A,0))*POWER(C84/220,4),1)</f>
        <v>2737</v>
      </c>
      <c r="R84" s="18">
        <f>INT(INDEX([1]系统模型!$VF:$VF,MATCH(C84,[1]系统模型!$A:$A,0))*MAX(POWER(C84/180,4),0.5))</f>
        <v>156551</v>
      </c>
      <c r="S84" s="5">
        <v>1000</v>
      </c>
      <c r="T84" s="25">
        <v>0</v>
      </c>
      <c r="U84" s="25">
        <v>0</v>
      </c>
      <c r="V84" s="25">
        <v>0</v>
      </c>
      <c r="W84" s="25">
        <v>0</v>
      </c>
      <c r="X84" s="25">
        <f t="shared" si="16"/>
        <v>7827</v>
      </c>
      <c r="Y84" s="12">
        <v>0</v>
      </c>
      <c r="Z84" s="25">
        <v>100</v>
      </c>
      <c r="AA84" s="25">
        <v>150</v>
      </c>
      <c r="AB84" s="25">
        <v>0</v>
      </c>
      <c r="AC84" s="25">
        <v>0</v>
      </c>
      <c r="AD84" s="25">
        <v>0</v>
      </c>
      <c r="AE84" s="25">
        <f t="shared" si="17"/>
        <v>474</v>
      </c>
      <c r="AF84" s="25">
        <f t="shared" si="18"/>
        <v>474</v>
      </c>
      <c r="AG84" s="25">
        <v>0</v>
      </c>
      <c r="AH84" s="25">
        <f t="shared" si="19"/>
        <v>9025</v>
      </c>
      <c r="AI84" s="25">
        <f t="shared" si="20"/>
        <v>181</v>
      </c>
      <c r="AJ84" s="25">
        <v>1</v>
      </c>
      <c r="AK84" s="25">
        <v>1000</v>
      </c>
      <c r="AL84" s="25">
        <v>100</v>
      </c>
      <c r="AM84" s="26">
        <v>10</v>
      </c>
      <c r="AN84" s="26">
        <v>10</v>
      </c>
      <c r="AO84" s="22" t="s">
        <v>2211</v>
      </c>
      <c r="AP84" s="26">
        <v>0</v>
      </c>
      <c r="AQ84" s="26">
        <f t="shared" si="21"/>
        <v>920</v>
      </c>
      <c r="AR84" s="18" t="str">
        <f ca="1">CONCATENATE(OFFSET(Sheet1!$A$2,RANDBETWEEN(2,500),0,1,1),OFFSET(Sheet1!$A$2,RANDBETWEEN(2,500),RANDBETWEEN(1,5),1,1))</f>
        <v>埃兰娜</v>
      </c>
      <c r="AS84">
        <f>SUMPRODUCT(P84:AI84,Sheet2!$B$3:$U$3)</f>
        <v>645751</v>
      </c>
    </row>
    <row r="85" spans="1:45" x14ac:dyDescent="0.15">
      <c r="A85" s="23">
        <v>84</v>
      </c>
      <c r="B85" s="18" t="s">
        <v>1869</v>
      </c>
      <c r="C85" s="18">
        <f t="shared" si="11"/>
        <v>237</v>
      </c>
      <c r="D85" s="19">
        <f t="shared" si="12"/>
        <v>2</v>
      </c>
      <c r="E85" s="19">
        <f>VLOOKUP(MOD(A85,4),各职业基础配置!C$32:D$35,2,FALSE)</f>
        <v>1</v>
      </c>
      <c r="F85" s="19">
        <f>IF(A85&lt;900,INDEX(各职业基础配置!C$23:C$28,MOD(ROW(A85),4)+1),0)</f>
        <v>13</v>
      </c>
      <c r="G85" s="19">
        <f t="shared" si="13"/>
        <v>181</v>
      </c>
      <c r="H85" s="27">
        <f t="shared" si="14"/>
        <v>3</v>
      </c>
      <c r="I85" s="6" t="s">
        <v>164</v>
      </c>
      <c r="J85" s="23" t="str">
        <f>VLOOKUP(E85,各职业基础配置!$B$9:$C$12,2,FALSE)</f>
        <v>101|102|103|4201|105</v>
      </c>
      <c r="K85" s="18" t="str">
        <f>VLOOKUP(E85,各职业基础配置!$B$15:$C$18,2,FALSE)</f>
        <v>24|25|26|27</v>
      </c>
      <c r="L85" s="18" t="str">
        <f>VLOOKUP(E85,各职业基础配置!B:C,2,FALSE)</f>
        <v>[{24,1,1},{25,1,1},{26,1,1},{27,1,1},{1,1,1},{2,1,1},{3,1,1}]</v>
      </c>
      <c r="M85" s="18">
        <v>0</v>
      </c>
      <c r="N85" s="18">
        <f t="shared" si="15"/>
        <v>3</v>
      </c>
      <c r="O85" s="18">
        <f>SUMPRODUCT(P85:AI85,Sheet2!$B$3:$U$3)</f>
        <v>645726</v>
      </c>
      <c r="P85" s="18">
        <f>CEILING(INDEX([1]系统模型!$VD:$VD,MATCH(C85,[1]系统模型!$A:$A,0))*POWER(C85/220,3.8)-50+(1000-A85),1)</f>
        <v>13646</v>
      </c>
      <c r="Q85" s="18">
        <f>CEILING(INDEX([1]系统模型!$VE:$VE,MATCH(C85,[1]系统模型!$A:$A,0))*POWER(C85/220,4),1)</f>
        <v>2737</v>
      </c>
      <c r="R85" s="18">
        <f>INT(INDEX([1]系统模型!$VF:$VF,MATCH(C85,[1]系统模型!$A:$A,0))*MAX(POWER(C85/180,4),0.5))</f>
        <v>156551</v>
      </c>
      <c r="S85" s="5">
        <v>1000</v>
      </c>
      <c r="T85" s="25">
        <v>0</v>
      </c>
      <c r="U85" s="25">
        <v>0</v>
      </c>
      <c r="V85" s="25">
        <v>0</v>
      </c>
      <c r="W85" s="25">
        <v>0</v>
      </c>
      <c r="X85" s="25">
        <f t="shared" si="16"/>
        <v>7827</v>
      </c>
      <c r="Y85" s="12">
        <v>0</v>
      </c>
      <c r="Z85" s="25">
        <v>100</v>
      </c>
      <c r="AA85" s="25">
        <v>150</v>
      </c>
      <c r="AB85" s="25">
        <v>0</v>
      </c>
      <c r="AC85" s="25">
        <v>0</v>
      </c>
      <c r="AD85" s="25">
        <v>0</v>
      </c>
      <c r="AE85" s="25">
        <f t="shared" si="17"/>
        <v>474</v>
      </c>
      <c r="AF85" s="25">
        <f t="shared" si="18"/>
        <v>474</v>
      </c>
      <c r="AG85" s="25">
        <v>0</v>
      </c>
      <c r="AH85" s="25">
        <f t="shared" si="19"/>
        <v>9025</v>
      </c>
      <c r="AI85" s="25">
        <f t="shared" si="20"/>
        <v>181</v>
      </c>
      <c r="AJ85" s="25">
        <v>1</v>
      </c>
      <c r="AK85" s="25">
        <v>1000</v>
      </c>
      <c r="AL85" s="25">
        <v>100</v>
      </c>
      <c r="AM85" s="26">
        <v>10</v>
      </c>
      <c r="AN85" s="26">
        <v>10</v>
      </c>
      <c r="AO85" s="22" t="s">
        <v>2211</v>
      </c>
      <c r="AP85" s="26">
        <v>0</v>
      </c>
      <c r="AQ85" s="26">
        <f t="shared" si="21"/>
        <v>920</v>
      </c>
      <c r="AR85" s="18" t="str">
        <f ca="1">CONCATENATE(OFFSET(Sheet1!$A$2,RANDBETWEEN(2,500),0,1,1),OFFSET(Sheet1!$A$2,RANDBETWEEN(2,500),RANDBETWEEN(1,5),1,1))</f>
        <v>多萝西娅</v>
      </c>
      <c r="AS85">
        <f>SUMPRODUCT(P85:AI85,Sheet2!$B$3:$U$3)</f>
        <v>645726</v>
      </c>
    </row>
    <row r="86" spans="1:45" x14ac:dyDescent="0.15">
      <c r="A86" s="18">
        <v>85</v>
      </c>
      <c r="B86" s="18" t="s">
        <v>1870</v>
      </c>
      <c r="C86" s="18">
        <f t="shared" si="11"/>
        <v>237</v>
      </c>
      <c r="D86" s="19">
        <f t="shared" si="12"/>
        <v>3</v>
      </c>
      <c r="E86" s="19">
        <f>VLOOKUP(MOD(A86,4),各职业基础配置!C$32:D$35,2,FALSE)</f>
        <v>3</v>
      </c>
      <c r="F86" s="19">
        <f>IF(A86&lt;900,INDEX(各职业基础配置!C$23:C$28,MOD(ROW(A86),4)+1),0)</f>
        <v>14</v>
      </c>
      <c r="G86" s="19">
        <f t="shared" si="13"/>
        <v>181</v>
      </c>
      <c r="H86" s="27">
        <f t="shared" si="14"/>
        <v>3</v>
      </c>
      <c r="I86" s="6" t="s">
        <v>164</v>
      </c>
      <c r="J86" s="23" t="str">
        <f>VLOOKUP(E86,各职业基础配置!$B$9:$C$12,2,FALSE)</f>
        <v>106|107|108|4201|110</v>
      </c>
      <c r="K86" s="18" t="str">
        <f>VLOOKUP(E86,各职业基础配置!$B$15:$C$18,2,FALSE)</f>
        <v>20|21|22|23</v>
      </c>
      <c r="L86" s="18" t="str">
        <f>VLOOKUP(E86,各职业基础配置!B:C,2,FALSE)</f>
        <v>[{20,1,1},{21,1,1},{22,1,1},{23,1,1},{4,1,1},{5,1,1},{6,1,1}]</v>
      </c>
      <c r="M86" s="18">
        <v>0</v>
      </c>
      <c r="N86" s="18">
        <f t="shared" si="15"/>
        <v>7</v>
      </c>
      <c r="O86" s="18">
        <f>SUMPRODUCT(P86:AI86,Sheet2!$B$3:$U$3)</f>
        <v>645701</v>
      </c>
      <c r="P86" s="18">
        <f>CEILING(INDEX([1]系统模型!$VD:$VD,MATCH(C86,[1]系统模型!$A:$A,0))*POWER(C86/220,3.8)-50+(1000-A86),1)</f>
        <v>13645</v>
      </c>
      <c r="Q86" s="18">
        <f>CEILING(INDEX([1]系统模型!$VE:$VE,MATCH(C86,[1]系统模型!$A:$A,0))*POWER(C86/220,4),1)</f>
        <v>2737</v>
      </c>
      <c r="R86" s="18">
        <f>INT(INDEX([1]系统模型!$VF:$VF,MATCH(C86,[1]系统模型!$A:$A,0))*MAX(POWER(C86/180,4),0.5))</f>
        <v>156551</v>
      </c>
      <c r="S86" s="5">
        <v>1000</v>
      </c>
      <c r="T86" s="25">
        <v>0</v>
      </c>
      <c r="U86" s="25">
        <v>0</v>
      </c>
      <c r="V86" s="25">
        <v>0</v>
      </c>
      <c r="W86" s="25">
        <v>0</v>
      </c>
      <c r="X86" s="25">
        <f t="shared" si="16"/>
        <v>7827</v>
      </c>
      <c r="Y86" s="12">
        <v>0</v>
      </c>
      <c r="Z86" s="25">
        <v>100</v>
      </c>
      <c r="AA86" s="25">
        <v>150</v>
      </c>
      <c r="AB86" s="25">
        <v>0</v>
      </c>
      <c r="AC86" s="25">
        <v>0</v>
      </c>
      <c r="AD86" s="25">
        <v>0</v>
      </c>
      <c r="AE86" s="25">
        <f t="shared" si="17"/>
        <v>474</v>
      </c>
      <c r="AF86" s="25">
        <f t="shared" si="18"/>
        <v>474</v>
      </c>
      <c r="AG86" s="25">
        <v>0</v>
      </c>
      <c r="AH86" s="25">
        <f t="shared" si="19"/>
        <v>9025</v>
      </c>
      <c r="AI86" s="25">
        <f t="shared" si="20"/>
        <v>181</v>
      </c>
      <c r="AJ86" s="25">
        <v>1</v>
      </c>
      <c r="AK86" s="25">
        <v>1000</v>
      </c>
      <c r="AL86" s="25">
        <v>100</v>
      </c>
      <c r="AM86" s="26">
        <v>10</v>
      </c>
      <c r="AN86" s="26">
        <v>10</v>
      </c>
      <c r="AO86" s="22" t="s">
        <v>2211</v>
      </c>
      <c r="AP86" s="26">
        <v>0</v>
      </c>
      <c r="AQ86" s="26">
        <f t="shared" si="21"/>
        <v>920</v>
      </c>
      <c r="AR86" s="18" t="str">
        <f ca="1">CONCATENATE(OFFSET(Sheet1!$A$2,RANDBETWEEN(2,500),0,1,1),OFFSET(Sheet1!$A$2,RANDBETWEEN(2,500),RANDBETWEEN(1,5),1,1))</f>
        <v>布雷</v>
      </c>
      <c r="AS86">
        <f>SUMPRODUCT(P86:AI86,Sheet2!$B$3:$U$3)</f>
        <v>645701</v>
      </c>
    </row>
    <row r="87" spans="1:45" x14ac:dyDescent="0.15">
      <c r="A87" s="18">
        <v>86</v>
      </c>
      <c r="B87" s="18" t="s">
        <v>1307</v>
      </c>
      <c r="C87" s="18">
        <f t="shared" si="11"/>
        <v>237</v>
      </c>
      <c r="D87" s="19">
        <f t="shared" si="12"/>
        <v>2</v>
      </c>
      <c r="E87" s="19">
        <f>VLOOKUP(MOD(A87,4),各职业基础配置!C$32:D$35,2,FALSE)</f>
        <v>6</v>
      </c>
      <c r="F87" s="19">
        <f>IF(A87&lt;900,INDEX(各职业基础配置!C$23:C$28,MOD(ROW(A87),4)+1),0)</f>
        <v>16</v>
      </c>
      <c r="G87" s="19">
        <f t="shared" si="13"/>
        <v>181</v>
      </c>
      <c r="H87" s="27">
        <f t="shared" si="14"/>
        <v>3</v>
      </c>
      <c r="I87" s="6" t="s">
        <v>164</v>
      </c>
      <c r="J87" s="23" t="str">
        <f>VLOOKUP(E87,各职业基础配置!$B$9:$C$12,2,FALSE)</f>
        <v>111|112|113|4201|115</v>
      </c>
      <c r="K87" s="18" t="str">
        <f>VLOOKUP(E87,各职业基础配置!$B$15:$C$18,2,FALSE)</f>
        <v>32|33|34</v>
      </c>
      <c r="L87" s="18" t="str">
        <f>VLOOKUP(E87,各职业基础配置!B:C,2,FALSE)</f>
        <v>[{32,1,1},{33,1,1},{34,1,1},{35,1,1},{7,1,1},{8,1,1},{9,1,1}]</v>
      </c>
      <c r="M87" s="18">
        <v>0</v>
      </c>
      <c r="N87" s="18">
        <f t="shared" si="15"/>
        <v>7</v>
      </c>
      <c r="O87" s="18">
        <f>SUMPRODUCT(P87:AI87,Sheet2!$B$3:$U$3)</f>
        <v>645676</v>
      </c>
      <c r="P87" s="18">
        <f>CEILING(INDEX([1]系统模型!$VD:$VD,MATCH(C87,[1]系统模型!$A:$A,0))*POWER(C87/220,3.8)-50+(1000-A87),1)</f>
        <v>13644</v>
      </c>
      <c r="Q87" s="18">
        <f>CEILING(INDEX([1]系统模型!$VE:$VE,MATCH(C87,[1]系统模型!$A:$A,0))*POWER(C87/220,4),1)</f>
        <v>2737</v>
      </c>
      <c r="R87" s="18">
        <f>INT(INDEX([1]系统模型!$VF:$VF,MATCH(C87,[1]系统模型!$A:$A,0))*MAX(POWER(C87/180,4),0.5))</f>
        <v>156551</v>
      </c>
      <c r="S87" s="5">
        <v>1000</v>
      </c>
      <c r="T87" s="25">
        <v>0</v>
      </c>
      <c r="U87" s="25">
        <v>0</v>
      </c>
      <c r="V87" s="25">
        <v>0</v>
      </c>
      <c r="W87" s="25">
        <v>0</v>
      </c>
      <c r="X87" s="25">
        <f t="shared" si="16"/>
        <v>7827</v>
      </c>
      <c r="Y87" s="12">
        <v>0</v>
      </c>
      <c r="Z87" s="25">
        <v>100</v>
      </c>
      <c r="AA87" s="25">
        <v>150</v>
      </c>
      <c r="AB87" s="25">
        <v>0</v>
      </c>
      <c r="AC87" s="25">
        <v>0</v>
      </c>
      <c r="AD87" s="25">
        <v>0</v>
      </c>
      <c r="AE87" s="25">
        <f t="shared" si="17"/>
        <v>474</v>
      </c>
      <c r="AF87" s="25">
        <f t="shared" si="18"/>
        <v>474</v>
      </c>
      <c r="AG87" s="25">
        <v>0</v>
      </c>
      <c r="AH87" s="25">
        <f t="shared" si="19"/>
        <v>9025</v>
      </c>
      <c r="AI87" s="25">
        <f t="shared" si="20"/>
        <v>181</v>
      </c>
      <c r="AJ87" s="25">
        <v>1</v>
      </c>
      <c r="AK87" s="25">
        <v>1000</v>
      </c>
      <c r="AL87" s="25">
        <v>100</v>
      </c>
      <c r="AM87" s="26">
        <v>10</v>
      </c>
      <c r="AN87" s="26">
        <v>10</v>
      </c>
      <c r="AO87" s="22" t="s">
        <v>2211</v>
      </c>
      <c r="AP87" s="26">
        <v>0</v>
      </c>
      <c r="AQ87" s="26">
        <f t="shared" si="21"/>
        <v>920</v>
      </c>
      <c r="AR87" s="18" t="str">
        <f ca="1">CONCATENATE(OFFSET(Sheet1!$A$2,RANDBETWEEN(2,500),0,1,1),OFFSET(Sheet1!$A$2,RANDBETWEEN(2,500),RANDBETWEEN(1,5),1,1))</f>
        <v>凯雷</v>
      </c>
      <c r="AS87">
        <f>SUMPRODUCT(P87:AI87,Sheet2!$B$3:$U$3)</f>
        <v>645676</v>
      </c>
    </row>
    <row r="88" spans="1:45" x14ac:dyDescent="0.15">
      <c r="A88" s="23">
        <v>87</v>
      </c>
      <c r="B88" s="18" t="s">
        <v>410</v>
      </c>
      <c r="C88" s="18">
        <f t="shared" si="11"/>
        <v>237</v>
      </c>
      <c r="D88" s="19">
        <f t="shared" si="12"/>
        <v>3</v>
      </c>
      <c r="E88" s="19">
        <f>VLOOKUP(MOD(A88,4),各职业基础配置!C$32:D$35,2,FALSE)</f>
        <v>9</v>
      </c>
      <c r="F88" s="19">
        <f>IF(A88&lt;900,INDEX(各职业基础配置!C$23:C$28,MOD(ROW(A88),4)+1),0)</f>
        <v>8</v>
      </c>
      <c r="G88" s="19">
        <f t="shared" si="13"/>
        <v>181</v>
      </c>
      <c r="H88" s="27">
        <f t="shared" si="14"/>
        <v>3</v>
      </c>
      <c r="I88" s="6" t="s">
        <v>164</v>
      </c>
      <c r="J88" s="23" t="str">
        <f>VLOOKUP(E88,各职业基础配置!$B$9:$C$12,2,FALSE)</f>
        <v>116|117|118|4201|120</v>
      </c>
      <c r="K88" s="18" t="str">
        <f>VLOOKUP(E88,各职业基础配置!$B$15:$C$18,2,FALSE)</f>
        <v>28|29|30|31</v>
      </c>
      <c r="L88" s="18" t="str">
        <f>VLOOKUP(E88,各职业基础配置!B:C,2,FALSE)</f>
        <v>[{28,1,1},{29,1,1},{30,1,1},{31,1,1},{10,1,1},{11,1,1},{12,1,1}]</v>
      </c>
      <c r="M88" s="18">
        <v>0</v>
      </c>
      <c r="N88" s="18">
        <f t="shared" si="15"/>
        <v>3</v>
      </c>
      <c r="O88" s="18">
        <f>SUMPRODUCT(P88:AI88,Sheet2!$B$3:$U$3)</f>
        <v>645651</v>
      </c>
      <c r="P88" s="18">
        <f>CEILING(INDEX([1]系统模型!$VD:$VD,MATCH(C88,[1]系统模型!$A:$A,0))*POWER(C88/220,3.8)-50+(1000-A88),1)</f>
        <v>13643</v>
      </c>
      <c r="Q88" s="18">
        <f>CEILING(INDEX([1]系统模型!$VE:$VE,MATCH(C88,[1]系统模型!$A:$A,0))*POWER(C88/220,4),1)</f>
        <v>2737</v>
      </c>
      <c r="R88" s="18">
        <f>INT(INDEX([1]系统模型!$VF:$VF,MATCH(C88,[1]系统模型!$A:$A,0))*MAX(POWER(C88/180,4),0.5))</f>
        <v>156551</v>
      </c>
      <c r="S88" s="5">
        <v>1000</v>
      </c>
      <c r="T88" s="25">
        <v>0</v>
      </c>
      <c r="U88" s="25">
        <v>0</v>
      </c>
      <c r="V88" s="25">
        <v>0</v>
      </c>
      <c r="W88" s="25">
        <v>0</v>
      </c>
      <c r="X88" s="25">
        <f t="shared" si="16"/>
        <v>7827</v>
      </c>
      <c r="Y88" s="12">
        <v>0</v>
      </c>
      <c r="Z88" s="25">
        <v>100</v>
      </c>
      <c r="AA88" s="25">
        <v>150</v>
      </c>
      <c r="AB88" s="25">
        <v>0</v>
      </c>
      <c r="AC88" s="25">
        <v>0</v>
      </c>
      <c r="AD88" s="25">
        <v>0</v>
      </c>
      <c r="AE88" s="25">
        <f t="shared" si="17"/>
        <v>474</v>
      </c>
      <c r="AF88" s="25">
        <f t="shared" si="18"/>
        <v>474</v>
      </c>
      <c r="AG88" s="25">
        <v>0</v>
      </c>
      <c r="AH88" s="25">
        <f t="shared" si="19"/>
        <v>9025</v>
      </c>
      <c r="AI88" s="25">
        <f t="shared" si="20"/>
        <v>181</v>
      </c>
      <c r="AJ88" s="25">
        <v>1</v>
      </c>
      <c r="AK88" s="25">
        <v>1000</v>
      </c>
      <c r="AL88" s="25">
        <v>100</v>
      </c>
      <c r="AM88" s="26">
        <v>10</v>
      </c>
      <c r="AN88" s="26">
        <v>10</v>
      </c>
      <c r="AO88" s="22" t="s">
        <v>2211</v>
      </c>
      <c r="AP88" s="26">
        <v>0</v>
      </c>
      <c r="AQ88" s="26">
        <f t="shared" si="21"/>
        <v>920</v>
      </c>
      <c r="AR88" s="18" t="str">
        <f ca="1">CONCATENATE(OFFSET(Sheet1!$A$2,RANDBETWEEN(2,500),0,1,1),OFFSET(Sheet1!$A$2,RANDBETWEEN(2,500),RANDBETWEEN(1,5),1,1))</f>
        <v>芬克</v>
      </c>
      <c r="AS88">
        <f>SUMPRODUCT(P88:AI88,Sheet2!$B$3:$U$3)</f>
        <v>645651</v>
      </c>
    </row>
    <row r="89" spans="1:45" x14ac:dyDescent="0.15">
      <c r="A89" s="18">
        <v>88</v>
      </c>
      <c r="B89" s="18" t="s">
        <v>1871</v>
      </c>
      <c r="C89" s="18">
        <f t="shared" si="11"/>
        <v>236</v>
      </c>
      <c r="D89" s="19">
        <f t="shared" si="12"/>
        <v>2</v>
      </c>
      <c r="E89" s="19">
        <f>VLOOKUP(MOD(A89,4),各职业基础配置!C$32:D$35,2,FALSE)</f>
        <v>1</v>
      </c>
      <c r="F89" s="19">
        <f>IF(A89&lt;900,INDEX(各职业基础配置!C$23:C$28,MOD(ROW(A89),4)+1),0)</f>
        <v>13</v>
      </c>
      <c r="G89" s="19">
        <f t="shared" si="13"/>
        <v>176</v>
      </c>
      <c r="H89" s="27">
        <f t="shared" si="14"/>
        <v>3</v>
      </c>
      <c r="I89" s="6" t="s">
        <v>164</v>
      </c>
      <c r="J89" s="23" t="str">
        <f>VLOOKUP(E89,各职业基础配置!$B$9:$C$12,2,FALSE)</f>
        <v>101|102|103|4201|105</v>
      </c>
      <c r="K89" s="18" t="str">
        <f>VLOOKUP(E89,各职业基础配置!$B$15:$C$18,2,FALSE)</f>
        <v>24|25|26|27</v>
      </c>
      <c r="L89" s="18" t="str">
        <f>VLOOKUP(E89,各职业基础配置!B:C,2,FALSE)</f>
        <v>[{24,1,1},{25,1,1},{26,1,1},{27,1,1},{1,1,1},{2,1,1},{3,1,1}]</v>
      </c>
      <c r="M89" s="18">
        <v>0</v>
      </c>
      <c r="N89" s="18">
        <f t="shared" si="15"/>
        <v>3</v>
      </c>
      <c r="O89" s="18">
        <f>SUMPRODUCT(P89:AI89,Sheet2!$B$3:$U$3)</f>
        <v>632123</v>
      </c>
      <c r="P89" s="18">
        <f>CEILING(INDEX([1]系统模型!$VD:$VD,MATCH(C89,[1]系统模型!$A:$A,0))*POWER(C89/220,3.8)-50+(1000-A89),1)</f>
        <v>13340</v>
      </c>
      <c r="Q89" s="18">
        <f>CEILING(INDEX([1]系统模型!$VE:$VE,MATCH(C89,[1]系统模型!$A:$A,0))*POWER(C89/220,4),1)</f>
        <v>2675</v>
      </c>
      <c r="R89" s="18">
        <f>INT(INDEX([1]系统模型!$VF:$VF,MATCH(C89,[1]系统模型!$A:$A,0))*MAX(POWER(C89/180,4),0.5))</f>
        <v>152723</v>
      </c>
      <c r="S89" s="5">
        <v>1000</v>
      </c>
      <c r="T89" s="25">
        <v>0</v>
      </c>
      <c r="U89" s="25">
        <v>0</v>
      </c>
      <c r="V89" s="25">
        <v>0</v>
      </c>
      <c r="W89" s="25">
        <v>0</v>
      </c>
      <c r="X89" s="25">
        <f t="shared" si="16"/>
        <v>7636</v>
      </c>
      <c r="Y89" s="12">
        <v>0</v>
      </c>
      <c r="Z89" s="25">
        <v>100</v>
      </c>
      <c r="AA89" s="25">
        <v>150</v>
      </c>
      <c r="AB89" s="25">
        <v>0</v>
      </c>
      <c r="AC89" s="25">
        <v>0</v>
      </c>
      <c r="AD89" s="25">
        <v>0</v>
      </c>
      <c r="AE89" s="25">
        <f t="shared" si="17"/>
        <v>472</v>
      </c>
      <c r="AF89" s="25">
        <f t="shared" si="18"/>
        <v>472</v>
      </c>
      <c r="AG89" s="25">
        <v>0</v>
      </c>
      <c r="AH89" s="25">
        <f t="shared" si="19"/>
        <v>8950</v>
      </c>
      <c r="AI89" s="25">
        <f t="shared" si="20"/>
        <v>177</v>
      </c>
      <c r="AJ89" s="25">
        <v>1</v>
      </c>
      <c r="AK89" s="25">
        <v>1000</v>
      </c>
      <c r="AL89" s="25">
        <v>100</v>
      </c>
      <c r="AM89" s="26">
        <v>10</v>
      </c>
      <c r="AN89" s="26">
        <v>10</v>
      </c>
      <c r="AO89" s="22" t="s">
        <v>2211</v>
      </c>
      <c r="AP89" s="26">
        <v>0</v>
      </c>
      <c r="AQ89" s="26">
        <f t="shared" si="21"/>
        <v>920</v>
      </c>
      <c r="AR89" s="18" t="str">
        <f ca="1">CONCATENATE(OFFSET(Sheet1!$A$2,RANDBETWEEN(2,500),0,1,1),OFFSET(Sheet1!$A$2,RANDBETWEEN(2,500),RANDBETWEEN(1,5),1,1))</f>
        <v>多宾</v>
      </c>
      <c r="AS89">
        <f>SUMPRODUCT(P89:AI89,Sheet2!$B$3:$U$3)</f>
        <v>632123</v>
      </c>
    </row>
    <row r="90" spans="1:45" x14ac:dyDescent="0.15">
      <c r="A90" s="18">
        <v>89</v>
      </c>
      <c r="B90" s="18" t="s">
        <v>1872</v>
      </c>
      <c r="C90" s="18">
        <f t="shared" si="11"/>
        <v>236</v>
      </c>
      <c r="D90" s="19">
        <f t="shared" si="12"/>
        <v>3</v>
      </c>
      <c r="E90" s="19">
        <f>VLOOKUP(MOD(A90,4),各职业基础配置!C$32:D$35,2,FALSE)</f>
        <v>3</v>
      </c>
      <c r="F90" s="19">
        <f>IF(A90&lt;900,INDEX(各职业基础配置!C$23:C$28,MOD(ROW(A90),4)+1),0)</f>
        <v>14</v>
      </c>
      <c r="G90" s="19">
        <f t="shared" si="13"/>
        <v>176</v>
      </c>
      <c r="H90" s="27">
        <f t="shared" si="14"/>
        <v>3</v>
      </c>
      <c r="I90" s="6" t="s">
        <v>164</v>
      </c>
      <c r="J90" s="23" t="str">
        <f>VLOOKUP(E90,各职业基础配置!$B$9:$C$12,2,FALSE)</f>
        <v>106|107|108|4201|110</v>
      </c>
      <c r="K90" s="18" t="str">
        <f>VLOOKUP(E90,各职业基础配置!$B$15:$C$18,2,FALSE)</f>
        <v>20|21|22|23</v>
      </c>
      <c r="L90" s="18" t="str">
        <f>VLOOKUP(E90,各职业基础配置!B:C,2,FALSE)</f>
        <v>[{20,1,1},{21,1,1},{22,1,1},{23,1,1},{4,1,1},{5,1,1},{6,1,1}]</v>
      </c>
      <c r="M90" s="18">
        <v>0</v>
      </c>
      <c r="N90" s="18">
        <f t="shared" si="15"/>
        <v>7</v>
      </c>
      <c r="O90" s="18">
        <f>SUMPRODUCT(P90:AI90,Sheet2!$B$3:$U$3)</f>
        <v>632098</v>
      </c>
      <c r="P90" s="18">
        <f>CEILING(INDEX([1]系统模型!$VD:$VD,MATCH(C90,[1]系统模型!$A:$A,0))*POWER(C90/220,3.8)-50+(1000-A90),1)</f>
        <v>13339</v>
      </c>
      <c r="Q90" s="18">
        <f>CEILING(INDEX([1]系统模型!$VE:$VE,MATCH(C90,[1]系统模型!$A:$A,0))*POWER(C90/220,4),1)</f>
        <v>2675</v>
      </c>
      <c r="R90" s="18">
        <f>INT(INDEX([1]系统模型!$VF:$VF,MATCH(C90,[1]系统模型!$A:$A,0))*MAX(POWER(C90/180,4),0.5))</f>
        <v>152723</v>
      </c>
      <c r="S90" s="5">
        <v>1000</v>
      </c>
      <c r="T90" s="25">
        <v>0</v>
      </c>
      <c r="U90" s="25">
        <v>0</v>
      </c>
      <c r="V90" s="25">
        <v>0</v>
      </c>
      <c r="W90" s="25">
        <v>0</v>
      </c>
      <c r="X90" s="25">
        <f t="shared" si="16"/>
        <v>7636</v>
      </c>
      <c r="Y90" s="12">
        <v>0</v>
      </c>
      <c r="Z90" s="25">
        <v>100</v>
      </c>
      <c r="AA90" s="25">
        <v>150</v>
      </c>
      <c r="AB90" s="25">
        <v>0</v>
      </c>
      <c r="AC90" s="25">
        <v>0</v>
      </c>
      <c r="AD90" s="25">
        <v>0</v>
      </c>
      <c r="AE90" s="25">
        <f t="shared" si="17"/>
        <v>472</v>
      </c>
      <c r="AF90" s="25">
        <f t="shared" si="18"/>
        <v>472</v>
      </c>
      <c r="AG90" s="25">
        <v>0</v>
      </c>
      <c r="AH90" s="25">
        <f t="shared" si="19"/>
        <v>8950</v>
      </c>
      <c r="AI90" s="25">
        <f t="shared" si="20"/>
        <v>177</v>
      </c>
      <c r="AJ90" s="25">
        <v>1</v>
      </c>
      <c r="AK90" s="25">
        <v>1000</v>
      </c>
      <c r="AL90" s="25">
        <v>100</v>
      </c>
      <c r="AM90" s="26">
        <v>10</v>
      </c>
      <c r="AN90" s="26">
        <v>10</v>
      </c>
      <c r="AO90" s="22" t="s">
        <v>2211</v>
      </c>
      <c r="AP90" s="26">
        <v>0</v>
      </c>
      <c r="AQ90" s="26">
        <f t="shared" si="21"/>
        <v>910</v>
      </c>
      <c r="AR90" s="18" t="str">
        <f ca="1">CONCATENATE(OFFSET(Sheet1!$A$2,RANDBETWEEN(2,500),0,1,1),OFFSET(Sheet1!$A$2,RANDBETWEEN(2,500),RANDBETWEEN(1,5),1,1))</f>
        <v>休姆妮蒂亚</v>
      </c>
      <c r="AS90">
        <f>SUMPRODUCT(P90:AI90,Sheet2!$B$3:$U$3)</f>
        <v>632098</v>
      </c>
    </row>
    <row r="91" spans="1:45" x14ac:dyDescent="0.15">
      <c r="A91" s="23">
        <v>90</v>
      </c>
      <c r="B91" s="18" t="s">
        <v>1309</v>
      </c>
      <c r="C91" s="18">
        <f t="shared" si="11"/>
        <v>236</v>
      </c>
      <c r="D91" s="19">
        <f t="shared" si="12"/>
        <v>2</v>
      </c>
      <c r="E91" s="19">
        <f>VLOOKUP(MOD(A91,4),各职业基础配置!C$32:D$35,2,FALSE)</f>
        <v>6</v>
      </c>
      <c r="F91" s="19">
        <f>IF(A91&lt;900,INDEX(各职业基础配置!C$23:C$28,MOD(ROW(A91),4)+1),0)</f>
        <v>16</v>
      </c>
      <c r="G91" s="19">
        <f t="shared" si="13"/>
        <v>176</v>
      </c>
      <c r="H91" s="27">
        <f t="shared" si="14"/>
        <v>3</v>
      </c>
      <c r="I91" s="6" t="s">
        <v>164</v>
      </c>
      <c r="J91" s="23" t="str">
        <f>VLOOKUP(E91,各职业基础配置!$B$9:$C$12,2,FALSE)</f>
        <v>111|112|113|4201|115</v>
      </c>
      <c r="K91" s="18" t="str">
        <f>VLOOKUP(E91,各职业基础配置!$B$15:$C$18,2,FALSE)</f>
        <v>32|33|34</v>
      </c>
      <c r="L91" s="18" t="str">
        <f>VLOOKUP(E91,各职业基础配置!B:C,2,FALSE)</f>
        <v>[{32,1,1},{33,1,1},{34,1,1},{35,1,1},{7,1,1},{8,1,1},{9,1,1}]</v>
      </c>
      <c r="M91" s="18">
        <v>0</v>
      </c>
      <c r="N91" s="18">
        <f t="shared" si="15"/>
        <v>7</v>
      </c>
      <c r="O91" s="18">
        <f>SUMPRODUCT(P91:AI91,Sheet2!$B$3:$U$3)</f>
        <v>632073</v>
      </c>
      <c r="P91" s="18">
        <f>CEILING(INDEX([1]系统模型!$VD:$VD,MATCH(C91,[1]系统模型!$A:$A,0))*POWER(C91/220,3.8)-50+(1000-A91),1)</f>
        <v>13338</v>
      </c>
      <c r="Q91" s="18">
        <f>CEILING(INDEX([1]系统模型!$VE:$VE,MATCH(C91,[1]系统模型!$A:$A,0))*POWER(C91/220,4),1)</f>
        <v>2675</v>
      </c>
      <c r="R91" s="18">
        <f>INT(INDEX([1]系统模型!$VF:$VF,MATCH(C91,[1]系统模型!$A:$A,0))*MAX(POWER(C91/180,4),0.5))</f>
        <v>152723</v>
      </c>
      <c r="S91" s="5">
        <v>1000</v>
      </c>
      <c r="T91" s="25">
        <v>0</v>
      </c>
      <c r="U91" s="25">
        <v>0</v>
      </c>
      <c r="V91" s="25">
        <v>0</v>
      </c>
      <c r="W91" s="25">
        <v>0</v>
      </c>
      <c r="X91" s="25">
        <f t="shared" si="16"/>
        <v>7636</v>
      </c>
      <c r="Y91" s="12">
        <v>0</v>
      </c>
      <c r="Z91" s="25">
        <v>100</v>
      </c>
      <c r="AA91" s="25">
        <v>150</v>
      </c>
      <c r="AB91" s="25">
        <v>0</v>
      </c>
      <c r="AC91" s="25">
        <v>0</v>
      </c>
      <c r="AD91" s="25">
        <v>0</v>
      </c>
      <c r="AE91" s="25">
        <f t="shared" si="17"/>
        <v>472</v>
      </c>
      <c r="AF91" s="25">
        <f t="shared" si="18"/>
        <v>472</v>
      </c>
      <c r="AG91" s="25">
        <v>0</v>
      </c>
      <c r="AH91" s="25">
        <f t="shared" si="19"/>
        <v>8950</v>
      </c>
      <c r="AI91" s="25">
        <f t="shared" si="20"/>
        <v>177</v>
      </c>
      <c r="AJ91" s="25">
        <v>1</v>
      </c>
      <c r="AK91" s="25">
        <v>1000</v>
      </c>
      <c r="AL91" s="25">
        <v>100</v>
      </c>
      <c r="AM91" s="26">
        <v>10</v>
      </c>
      <c r="AN91" s="26">
        <v>10</v>
      </c>
      <c r="AO91" s="22" t="s">
        <v>2211</v>
      </c>
      <c r="AP91" s="26">
        <v>0</v>
      </c>
      <c r="AQ91" s="26">
        <f t="shared" si="21"/>
        <v>910</v>
      </c>
      <c r="AR91" s="18" t="str">
        <f ca="1">CONCATENATE(OFFSET(Sheet1!$A$2,RANDBETWEEN(2,500),0,1,1),OFFSET(Sheet1!$A$2,RANDBETWEEN(2,500),RANDBETWEEN(1,5),1,1))</f>
        <v>尤菲米娅</v>
      </c>
      <c r="AS91">
        <f>SUMPRODUCT(P91:AI91,Sheet2!$B$3:$U$3)</f>
        <v>632073</v>
      </c>
    </row>
    <row r="92" spans="1:45" x14ac:dyDescent="0.15">
      <c r="A92" s="18">
        <v>91</v>
      </c>
      <c r="B92" s="18" t="s">
        <v>1255</v>
      </c>
      <c r="C92" s="18">
        <f t="shared" si="11"/>
        <v>236</v>
      </c>
      <c r="D92" s="19">
        <f t="shared" si="12"/>
        <v>3</v>
      </c>
      <c r="E92" s="19">
        <f>VLOOKUP(MOD(A92,4),各职业基础配置!C$32:D$35,2,FALSE)</f>
        <v>9</v>
      </c>
      <c r="F92" s="19">
        <f>IF(A92&lt;900,INDEX(各职业基础配置!C$23:C$28,MOD(ROW(A92),4)+1),0)</f>
        <v>8</v>
      </c>
      <c r="G92" s="19">
        <f t="shared" si="13"/>
        <v>176</v>
      </c>
      <c r="H92" s="27">
        <f t="shared" si="14"/>
        <v>3</v>
      </c>
      <c r="I92" s="6" t="s">
        <v>164</v>
      </c>
      <c r="J92" s="23" t="str">
        <f>VLOOKUP(E92,各职业基础配置!$B$9:$C$12,2,FALSE)</f>
        <v>116|117|118|4201|120</v>
      </c>
      <c r="K92" s="18" t="str">
        <f>VLOOKUP(E92,各职业基础配置!$B$15:$C$18,2,FALSE)</f>
        <v>28|29|30|31</v>
      </c>
      <c r="L92" s="18" t="str">
        <f>VLOOKUP(E92,各职业基础配置!B:C,2,FALSE)</f>
        <v>[{28,1,1},{29,1,1},{30,1,1},{31,1,1},{10,1,1},{11,1,1},{12,1,1}]</v>
      </c>
      <c r="M92" s="18">
        <v>0</v>
      </c>
      <c r="N92" s="18">
        <f t="shared" si="15"/>
        <v>3</v>
      </c>
      <c r="O92" s="18">
        <f>SUMPRODUCT(P92:AI92,Sheet2!$B$3:$U$3)</f>
        <v>632048</v>
      </c>
      <c r="P92" s="18">
        <f>CEILING(INDEX([1]系统模型!$VD:$VD,MATCH(C92,[1]系统模型!$A:$A,0))*POWER(C92/220,3.8)-50+(1000-A92),1)</f>
        <v>13337</v>
      </c>
      <c r="Q92" s="18">
        <f>CEILING(INDEX([1]系统模型!$VE:$VE,MATCH(C92,[1]系统模型!$A:$A,0))*POWER(C92/220,4),1)</f>
        <v>2675</v>
      </c>
      <c r="R92" s="18">
        <f>INT(INDEX([1]系统模型!$VF:$VF,MATCH(C92,[1]系统模型!$A:$A,0))*MAX(POWER(C92/180,4),0.5))</f>
        <v>152723</v>
      </c>
      <c r="S92" s="5">
        <v>1000</v>
      </c>
      <c r="T92" s="25">
        <v>0</v>
      </c>
      <c r="U92" s="25">
        <v>0</v>
      </c>
      <c r="V92" s="25">
        <v>0</v>
      </c>
      <c r="W92" s="25">
        <v>0</v>
      </c>
      <c r="X92" s="25">
        <f t="shared" si="16"/>
        <v>7636</v>
      </c>
      <c r="Y92" s="12">
        <v>0</v>
      </c>
      <c r="Z92" s="25">
        <v>100</v>
      </c>
      <c r="AA92" s="25">
        <v>150</v>
      </c>
      <c r="AB92" s="25">
        <v>0</v>
      </c>
      <c r="AC92" s="25">
        <v>0</v>
      </c>
      <c r="AD92" s="25">
        <v>0</v>
      </c>
      <c r="AE92" s="25">
        <f t="shared" si="17"/>
        <v>472</v>
      </c>
      <c r="AF92" s="25">
        <f t="shared" si="18"/>
        <v>472</v>
      </c>
      <c r="AG92" s="25">
        <v>0</v>
      </c>
      <c r="AH92" s="25">
        <f t="shared" si="19"/>
        <v>8950</v>
      </c>
      <c r="AI92" s="25">
        <f t="shared" si="20"/>
        <v>177</v>
      </c>
      <c r="AJ92" s="25">
        <v>1</v>
      </c>
      <c r="AK92" s="25">
        <v>1000</v>
      </c>
      <c r="AL92" s="25">
        <v>100</v>
      </c>
      <c r="AM92" s="26">
        <v>10</v>
      </c>
      <c r="AN92" s="26">
        <v>10</v>
      </c>
      <c r="AO92" s="22" t="s">
        <v>2211</v>
      </c>
      <c r="AP92" s="26">
        <v>0</v>
      </c>
      <c r="AQ92" s="26">
        <f t="shared" si="21"/>
        <v>910</v>
      </c>
      <c r="AR92" s="18" t="str">
        <f ca="1">CONCATENATE(OFFSET(Sheet1!$A$2,RANDBETWEEN(2,500),0,1,1),OFFSET(Sheet1!$A$2,RANDBETWEEN(2,500),RANDBETWEEN(1,5),1,1))</f>
        <v>比利</v>
      </c>
      <c r="AS92">
        <f>SUMPRODUCT(P92:AI92,Sheet2!$B$3:$U$3)</f>
        <v>632048</v>
      </c>
    </row>
    <row r="93" spans="1:45" x14ac:dyDescent="0.15">
      <c r="A93" s="18">
        <v>92</v>
      </c>
      <c r="B93" s="18" t="s">
        <v>1267</v>
      </c>
      <c r="C93" s="18">
        <f t="shared" si="11"/>
        <v>236</v>
      </c>
      <c r="D93" s="19">
        <f t="shared" si="12"/>
        <v>2</v>
      </c>
      <c r="E93" s="19">
        <f>VLOOKUP(MOD(A93,4),各职业基础配置!C$32:D$35,2,FALSE)</f>
        <v>1</v>
      </c>
      <c r="F93" s="19">
        <f>IF(A93&lt;900,INDEX(各职业基础配置!C$23:C$28,MOD(ROW(A93),4)+1),0)</f>
        <v>13</v>
      </c>
      <c r="G93" s="19">
        <f t="shared" si="13"/>
        <v>176</v>
      </c>
      <c r="H93" s="27">
        <f t="shared" si="14"/>
        <v>3</v>
      </c>
      <c r="I93" s="6" t="s">
        <v>164</v>
      </c>
      <c r="J93" s="23" t="str">
        <f>VLOOKUP(E93,各职业基础配置!$B$9:$C$12,2,FALSE)</f>
        <v>101|102|103|4201|105</v>
      </c>
      <c r="K93" s="18" t="str">
        <f>VLOOKUP(E93,各职业基础配置!$B$15:$C$18,2,FALSE)</f>
        <v>24|25|26|27</v>
      </c>
      <c r="L93" s="18" t="str">
        <f>VLOOKUP(E93,各职业基础配置!B:C,2,FALSE)</f>
        <v>[{24,1,1},{25,1,1},{26,1,1},{27,1,1},{1,1,1},{2,1,1},{3,1,1}]</v>
      </c>
      <c r="M93" s="18">
        <v>0</v>
      </c>
      <c r="N93" s="18">
        <f t="shared" si="15"/>
        <v>3</v>
      </c>
      <c r="O93" s="18">
        <f>SUMPRODUCT(P93:AI93,Sheet2!$B$3:$U$3)</f>
        <v>632023</v>
      </c>
      <c r="P93" s="18">
        <f>CEILING(INDEX([1]系统模型!$VD:$VD,MATCH(C93,[1]系统模型!$A:$A,0))*POWER(C93/220,3.8)-50+(1000-A93),1)</f>
        <v>13336</v>
      </c>
      <c r="Q93" s="18">
        <f>CEILING(INDEX([1]系统模型!$VE:$VE,MATCH(C93,[1]系统模型!$A:$A,0))*POWER(C93/220,4),1)</f>
        <v>2675</v>
      </c>
      <c r="R93" s="18">
        <f>INT(INDEX([1]系统模型!$VF:$VF,MATCH(C93,[1]系统模型!$A:$A,0))*MAX(POWER(C93/180,4),0.5))</f>
        <v>152723</v>
      </c>
      <c r="S93" s="5">
        <v>1000</v>
      </c>
      <c r="T93" s="25">
        <v>0</v>
      </c>
      <c r="U93" s="25">
        <v>0</v>
      </c>
      <c r="V93" s="25">
        <v>0</v>
      </c>
      <c r="W93" s="25">
        <v>0</v>
      </c>
      <c r="X93" s="25">
        <f t="shared" si="16"/>
        <v>7636</v>
      </c>
      <c r="Y93" s="12">
        <v>0</v>
      </c>
      <c r="Z93" s="25">
        <v>100</v>
      </c>
      <c r="AA93" s="25">
        <v>150</v>
      </c>
      <c r="AB93" s="25">
        <v>0</v>
      </c>
      <c r="AC93" s="25">
        <v>0</v>
      </c>
      <c r="AD93" s="25">
        <v>0</v>
      </c>
      <c r="AE93" s="25">
        <f t="shared" si="17"/>
        <v>472</v>
      </c>
      <c r="AF93" s="25">
        <f t="shared" si="18"/>
        <v>472</v>
      </c>
      <c r="AG93" s="25">
        <v>0</v>
      </c>
      <c r="AH93" s="25">
        <f t="shared" si="19"/>
        <v>8950</v>
      </c>
      <c r="AI93" s="25">
        <f t="shared" si="20"/>
        <v>177</v>
      </c>
      <c r="AJ93" s="25">
        <v>1</v>
      </c>
      <c r="AK93" s="25">
        <v>1000</v>
      </c>
      <c r="AL93" s="25">
        <v>100</v>
      </c>
      <c r="AM93" s="26">
        <v>10</v>
      </c>
      <c r="AN93" s="26">
        <v>10</v>
      </c>
      <c r="AO93" s="22" t="s">
        <v>2211</v>
      </c>
      <c r="AP93" s="26">
        <v>0</v>
      </c>
      <c r="AQ93" s="26">
        <f t="shared" si="21"/>
        <v>910</v>
      </c>
      <c r="AR93" s="18" t="str">
        <f ca="1">CONCATENATE(OFFSET(Sheet1!$A$2,RANDBETWEEN(2,500),0,1,1),OFFSET(Sheet1!$A$2,RANDBETWEEN(2,500),RANDBETWEEN(1,5),1,1))</f>
        <v>卡莱尔莉达</v>
      </c>
      <c r="AS93">
        <f>SUMPRODUCT(P93:AI93,Sheet2!$B$3:$U$3)</f>
        <v>632023</v>
      </c>
    </row>
    <row r="94" spans="1:45" x14ac:dyDescent="0.15">
      <c r="A94" s="23">
        <v>93</v>
      </c>
      <c r="B94" s="18" t="s">
        <v>1873</v>
      </c>
      <c r="C94" s="18">
        <f t="shared" si="11"/>
        <v>236</v>
      </c>
      <c r="D94" s="19">
        <f t="shared" si="12"/>
        <v>3</v>
      </c>
      <c r="E94" s="19">
        <f>VLOOKUP(MOD(A94,4),各职业基础配置!C$32:D$35,2,FALSE)</f>
        <v>3</v>
      </c>
      <c r="F94" s="19">
        <f>IF(A94&lt;900,INDEX(各职业基础配置!C$23:C$28,MOD(ROW(A94),4)+1),0)</f>
        <v>14</v>
      </c>
      <c r="G94" s="19">
        <f t="shared" si="13"/>
        <v>176</v>
      </c>
      <c r="H94" s="27">
        <f t="shared" si="14"/>
        <v>3</v>
      </c>
      <c r="I94" s="6" t="s">
        <v>164</v>
      </c>
      <c r="J94" s="23" t="str">
        <f>VLOOKUP(E94,各职业基础配置!$B$9:$C$12,2,FALSE)</f>
        <v>106|107|108|4201|110</v>
      </c>
      <c r="K94" s="18" t="str">
        <f>VLOOKUP(E94,各职业基础配置!$B$15:$C$18,2,FALSE)</f>
        <v>20|21|22|23</v>
      </c>
      <c r="L94" s="18" t="str">
        <f>VLOOKUP(E94,各职业基础配置!B:C,2,FALSE)</f>
        <v>[{20,1,1},{21,1,1},{22,1,1},{23,1,1},{4,1,1},{5,1,1},{6,1,1}]</v>
      </c>
      <c r="M94" s="18">
        <v>0</v>
      </c>
      <c r="N94" s="18">
        <f t="shared" si="15"/>
        <v>7</v>
      </c>
      <c r="O94" s="18">
        <f>SUMPRODUCT(P94:AI94,Sheet2!$B$3:$U$3)</f>
        <v>631998</v>
      </c>
      <c r="P94" s="18">
        <f>CEILING(INDEX([1]系统模型!$VD:$VD,MATCH(C94,[1]系统模型!$A:$A,0))*POWER(C94/220,3.8)-50+(1000-A94),1)</f>
        <v>13335</v>
      </c>
      <c r="Q94" s="18">
        <f>CEILING(INDEX([1]系统模型!$VE:$VE,MATCH(C94,[1]系统模型!$A:$A,0))*POWER(C94/220,4),1)</f>
        <v>2675</v>
      </c>
      <c r="R94" s="18">
        <f>INT(INDEX([1]系统模型!$VF:$VF,MATCH(C94,[1]系统模型!$A:$A,0))*MAX(POWER(C94/180,4),0.5))</f>
        <v>152723</v>
      </c>
      <c r="S94" s="5">
        <v>1000</v>
      </c>
      <c r="T94" s="25">
        <v>0</v>
      </c>
      <c r="U94" s="25">
        <v>0</v>
      </c>
      <c r="V94" s="25">
        <v>0</v>
      </c>
      <c r="W94" s="25">
        <v>0</v>
      </c>
      <c r="X94" s="25">
        <f t="shared" si="16"/>
        <v>7636</v>
      </c>
      <c r="Y94" s="12">
        <v>0</v>
      </c>
      <c r="Z94" s="25">
        <v>100</v>
      </c>
      <c r="AA94" s="25">
        <v>150</v>
      </c>
      <c r="AB94" s="25">
        <v>0</v>
      </c>
      <c r="AC94" s="25">
        <v>0</v>
      </c>
      <c r="AD94" s="25">
        <v>0</v>
      </c>
      <c r="AE94" s="25">
        <f t="shared" si="17"/>
        <v>472</v>
      </c>
      <c r="AF94" s="25">
        <f t="shared" si="18"/>
        <v>472</v>
      </c>
      <c r="AG94" s="25">
        <v>0</v>
      </c>
      <c r="AH94" s="25">
        <f t="shared" si="19"/>
        <v>8950</v>
      </c>
      <c r="AI94" s="25">
        <f t="shared" si="20"/>
        <v>177</v>
      </c>
      <c r="AJ94" s="25">
        <v>1</v>
      </c>
      <c r="AK94" s="25">
        <v>1000</v>
      </c>
      <c r="AL94" s="25">
        <v>100</v>
      </c>
      <c r="AM94" s="26">
        <v>10</v>
      </c>
      <c r="AN94" s="26">
        <v>10</v>
      </c>
      <c r="AO94" s="22" t="s">
        <v>2211</v>
      </c>
      <c r="AP94" s="26">
        <v>0</v>
      </c>
      <c r="AQ94" s="26">
        <f t="shared" si="21"/>
        <v>910</v>
      </c>
      <c r="AR94" s="18" t="str">
        <f ca="1">CONCATENATE(OFFSET(Sheet1!$A$2,RANDBETWEEN(2,500),0,1,1),OFFSET(Sheet1!$A$2,RANDBETWEEN(2,500),RANDBETWEEN(1,5),1,1))</f>
        <v>戴维</v>
      </c>
      <c r="AS94">
        <f>SUMPRODUCT(P94:AI94,Sheet2!$B$3:$U$3)</f>
        <v>631998</v>
      </c>
    </row>
    <row r="95" spans="1:45" x14ac:dyDescent="0.15">
      <c r="A95" s="18">
        <v>94</v>
      </c>
      <c r="B95" s="18" t="s">
        <v>727</v>
      </c>
      <c r="C95" s="18">
        <f t="shared" si="11"/>
        <v>236</v>
      </c>
      <c r="D95" s="19">
        <f t="shared" si="12"/>
        <v>2</v>
      </c>
      <c r="E95" s="19">
        <f>VLOOKUP(MOD(A95,4),各职业基础配置!C$32:D$35,2,FALSE)</f>
        <v>6</v>
      </c>
      <c r="F95" s="19">
        <f>IF(A95&lt;900,INDEX(各职业基础配置!C$23:C$28,MOD(ROW(A95),4)+1),0)</f>
        <v>16</v>
      </c>
      <c r="G95" s="19">
        <f t="shared" si="13"/>
        <v>176</v>
      </c>
      <c r="H95" s="27">
        <f t="shared" si="14"/>
        <v>3</v>
      </c>
      <c r="I95" s="6" t="s">
        <v>164</v>
      </c>
      <c r="J95" s="23" t="str">
        <f>VLOOKUP(E95,各职业基础配置!$B$9:$C$12,2,FALSE)</f>
        <v>111|112|113|4201|115</v>
      </c>
      <c r="K95" s="18" t="str">
        <f>VLOOKUP(E95,各职业基础配置!$B$15:$C$18,2,FALSE)</f>
        <v>32|33|34</v>
      </c>
      <c r="L95" s="18" t="str">
        <f>VLOOKUP(E95,各职业基础配置!B:C,2,FALSE)</f>
        <v>[{32,1,1},{33,1,1},{34,1,1},{35,1,1},{7,1,1},{8,1,1},{9,1,1}]</v>
      </c>
      <c r="M95" s="18">
        <v>0</v>
      </c>
      <c r="N95" s="18">
        <f t="shared" si="15"/>
        <v>7</v>
      </c>
      <c r="O95" s="18">
        <f>SUMPRODUCT(P95:AI95,Sheet2!$B$3:$U$3)</f>
        <v>631973</v>
      </c>
      <c r="P95" s="18">
        <f>CEILING(INDEX([1]系统模型!$VD:$VD,MATCH(C95,[1]系统模型!$A:$A,0))*POWER(C95/220,3.8)-50+(1000-A95),1)</f>
        <v>13334</v>
      </c>
      <c r="Q95" s="18">
        <f>CEILING(INDEX([1]系统模型!$VE:$VE,MATCH(C95,[1]系统模型!$A:$A,0))*POWER(C95/220,4),1)</f>
        <v>2675</v>
      </c>
      <c r="R95" s="18">
        <f>INT(INDEX([1]系统模型!$VF:$VF,MATCH(C95,[1]系统模型!$A:$A,0))*MAX(POWER(C95/180,4),0.5))</f>
        <v>152723</v>
      </c>
      <c r="S95" s="5">
        <v>1000</v>
      </c>
      <c r="T95" s="25">
        <v>0</v>
      </c>
      <c r="U95" s="25">
        <v>0</v>
      </c>
      <c r="V95" s="25">
        <v>0</v>
      </c>
      <c r="W95" s="25">
        <v>0</v>
      </c>
      <c r="X95" s="25">
        <f t="shared" si="16"/>
        <v>7636</v>
      </c>
      <c r="Y95" s="12">
        <v>0</v>
      </c>
      <c r="Z95" s="25">
        <v>100</v>
      </c>
      <c r="AA95" s="25">
        <v>150</v>
      </c>
      <c r="AB95" s="25">
        <v>0</v>
      </c>
      <c r="AC95" s="25">
        <v>0</v>
      </c>
      <c r="AD95" s="25">
        <v>0</v>
      </c>
      <c r="AE95" s="25">
        <f t="shared" si="17"/>
        <v>472</v>
      </c>
      <c r="AF95" s="25">
        <f t="shared" si="18"/>
        <v>472</v>
      </c>
      <c r="AG95" s="25">
        <v>0</v>
      </c>
      <c r="AH95" s="25">
        <f t="shared" si="19"/>
        <v>8950</v>
      </c>
      <c r="AI95" s="25">
        <f t="shared" si="20"/>
        <v>177</v>
      </c>
      <c r="AJ95" s="25">
        <v>1</v>
      </c>
      <c r="AK95" s="25">
        <v>1000</v>
      </c>
      <c r="AL95" s="25">
        <v>100</v>
      </c>
      <c r="AM95" s="26">
        <v>10</v>
      </c>
      <c r="AN95" s="26">
        <v>10</v>
      </c>
      <c r="AO95" s="22" t="s">
        <v>2211</v>
      </c>
      <c r="AP95" s="26">
        <v>0</v>
      </c>
      <c r="AQ95" s="26">
        <f t="shared" si="21"/>
        <v>910</v>
      </c>
      <c r="AR95" s="18" t="str">
        <f ca="1">CONCATENATE(OFFSET(Sheet1!$A$2,RANDBETWEEN(2,500),0,1,1),OFFSET(Sheet1!$A$2,RANDBETWEEN(2,500),RANDBETWEEN(1,5),1,1))</f>
        <v>杜波依斯</v>
      </c>
      <c r="AS95">
        <f>SUMPRODUCT(P95:AI95,Sheet2!$B$3:$U$3)</f>
        <v>631973</v>
      </c>
    </row>
    <row r="96" spans="1:45" x14ac:dyDescent="0.15">
      <c r="A96" s="18">
        <v>95</v>
      </c>
      <c r="B96" s="18" t="s">
        <v>1874</v>
      </c>
      <c r="C96" s="18">
        <f t="shared" si="11"/>
        <v>235</v>
      </c>
      <c r="D96" s="19">
        <f t="shared" si="12"/>
        <v>3</v>
      </c>
      <c r="E96" s="19">
        <f>VLOOKUP(MOD(A96,4),各职业基础配置!C$32:D$35,2,FALSE)</f>
        <v>9</v>
      </c>
      <c r="F96" s="19">
        <f>IF(A96&lt;900,INDEX(各职业基础配置!C$23:C$28,MOD(ROW(A96),4)+1),0)</f>
        <v>8</v>
      </c>
      <c r="G96" s="19">
        <f t="shared" si="13"/>
        <v>172</v>
      </c>
      <c r="H96" s="27">
        <f t="shared" si="14"/>
        <v>3</v>
      </c>
      <c r="I96" s="6" t="s">
        <v>164</v>
      </c>
      <c r="J96" s="23" t="str">
        <f>VLOOKUP(E96,各职业基础配置!$B$9:$C$12,2,FALSE)</f>
        <v>116|117|118|4201|120</v>
      </c>
      <c r="K96" s="18" t="str">
        <f>VLOOKUP(E96,各职业基础配置!$B$15:$C$18,2,FALSE)</f>
        <v>28|29|30|31</v>
      </c>
      <c r="L96" s="18" t="str">
        <f>VLOOKUP(E96,各职业基础配置!B:C,2,FALSE)</f>
        <v>[{28,1,1},{29,1,1},{30,1,1},{31,1,1},{10,1,1},{11,1,1},{12,1,1}]</v>
      </c>
      <c r="M96" s="18">
        <v>0</v>
      </c>
      <c r="N96" s="18">
        <f t="shared" si="15"/>
        <v>3</v>
      </c>
      <c r="O96" s="18">
        <f>SUMPRODUCT(P96:AI96,Sheet2!$B$3:$U$3)</f>
        <v>619568</v>
      </c>
      <c r="P96" s="18">
        <f>CEILING(INDEX([1]系统模型!$VD:$VD,MATCH(C96,[1]系统模型!$A:$A,0))*POWER(C96/220,3.8)-50+(1000-A96),1)</f>
        <v>13055</v>
      </c>
      <c r="Q96" s="18">
        <f>CEILING(INDEX([1]系统模型!$VE:$VE,MATCH(C96,[1]系统模型!$A:$A,0))*POWER(C96/220,4),1)</f>
        <v>2615</v>
      </c>
      <c r="R96" s="18">
        <f>INT(INDEX([1]系统模型!$VF:$VF,MATCH(C96,[1]系统模型!$A:$A,0))*MAX(POWER(C96/180,4),0.5))</f>
        <v>149343</v>
      </c>
      <c r="S96" s="5">
        <v>1000</v>
      </c>
      <c r="T96" s="25">
        <v>0</v>
      </c>
      <c r="U96" s="25">
        <v>0</v>
      </c>
      <c r="V96" s="25">
        <v>0</v>
      </c>
      <c r="W96" s="25">
        <v>0</v>
      </c>
      <c r="X96" s="25">
        <f t="shared" si="16"/>
        <v>7467</v>
      </c>
      <c r="Y96" s="12">
        <v>0</v>
      </c>
      <c r="Z96" s="25">
        <v>100</v>
      </c>
      <c r="AA96" s="25">
        <v>150</v>
      </c>
      <c r="AB96" s="25">
        <v>0</v>
      </c>
      <c r="AC96" s="25">
        <v>0</v>
      </c>
      <c r="AD96" s="25">
        <v>0</v>
      </c>
      <c r="AE96" s="25">
        <f t="shared" si="17"/>
        <v>470</v>
      </c>
      <c r="AF96" s="25">
        <f t="shared" si="18"/>
        <v>470</v>
      </c>
      <c r="AG96" s="25">
        <v>0</v>
      </c>
      <c r="AH96" s="25">
        <f t="shared" si="19"/>
        <v>8875</v>
      </c>
      <c r="AI96" s="25">
        <f t="shared" si="20"/>
        <v>174</v>
      </c>
      <c r="AJ96" s="25">
        <v>1</v>
      </c>
      <c r="AK96" s="25">
        <v>1000</v>
      </c>
      <c r="AL96" s="25">
        <v>100</v>
      </c>
      <c r="AM96" s="26">
        <v>10</v>
      </c>
      <c r="AN96" s="26">
        <v>10</v>
      </c>
      <c r="AO96" s="22" t="s">
        <v>2211</v>
      </c>
      <c r="AP96" s="26">
        <v>0</v>
      </c>
      <c r="AQ96" s="26">
        <f t="shared" si="21"/>
        <v>910</v>
      </c>
      <c r="AR96" s="18" t="str">
        <f ca="1">CONCATENATE(OFFSET(Sheet1!$A$2,RANDBETWEEN(2,500),0,1,1),OFFSET(Sheet1!$A$2,RANDBETWEEN(2,500),RANDBETWEEN(1,5),1,1))</f>
        <v>伊利克特拉</v>
      </c>
      <c r="AS96">
        <f>SUMPRODUCT(P96:AI96,Sheet2!$B$3:$U$3)</f>
        <v>619568</v>
      </c>
    </row>
    <row r="97" spans="1:45" x14ac:dyDescent="0.15">
      <c r="A97" s="23">
        <v>96</v>
      </c>
      <c r="B97" s="18" t="s">
        <v>1874</v>
      </c>
      <c r="C97" s="18">
        <f t="shared" si="11"/>
        <v>235</v>
      </c>
      <c r="D97" s="19">
        <f t="shared" si="12"/>
        <v>2</v>
      </c>
      <c r="E97" s="19">
        <f>VLOOKUP(MOD(A97,4),各职业基础配置!C$32:D$35,2,FALSE)</f>
        <v>1</v>
      </c>
      <c r="F97" s="19">
        <f>IF(A97&lt;900,INDEX(各职业基础配置!C$23:C$28,MOD(ROW(A97),4)+1),0)</f>
        <v>13</v>
      </c>
      <c r="G97" s="19">
        <f t="shared" si="13"/>
        <v>172</v>
      </c>
      <c r="H97" s="27">
        <f t="shared" si="14"/>
        <v>3</v>
      </c>
      <c r="I97" s="6" t="s">
        <v>164</v>
      </c>
      <c r="J97" s="23" t="str">
        <f>VLOOKUP(E97,各职业基础配置!$B$9:$C$12,2,FALSE)</f>
        <v>101|102|103|4201|105</v>
      </c>
      <c r="K97" s="18" t="str">
        <f>VLOOKUP(E97,各职业基础配置!$B$15:$C$18,2,FALSE)</f>
        <v>24|25|26|27</v>
      </c>
      <c r="L97" s="18" t="str">
        <f>VLOOKUP(E97,各职业基础配置!B:C,2,FALSE)</f>
        <v>[{24,1,1},{25,1,1},{26,1,1},{27,1,1},{1,1,1},{2,1,1},{3,1,1}]</v>
      </c>
      <c r="M97" s="18">
        <v>0</v>
      </c>
      <c r="N97" s="18">
        <f t="shared" si="15"/>
        <v>3</v>
      </c>
      <c r="O97" s="18">
        <f>SUMPRODUCT(P97:AI97,Sheet2!$B$3:$U$3)</f>
        <v>619543</v>
      </c>
      <c r="P97" s="18">
        <f>CEILING(INDEX([1]系统模型!$VD:$VD,MATCH(C97,[1]系统模型!$A:$A,0))*POWER(C97/220,3.8)-50+(1000-A97),1)</f>
        <v>13054</v>
      </c>
      <c r="Q97" s="18">
        <f>CEILING(INDEX([1]系统模型!$VE:$VE,MATCH(C97,[1]系统模型!$A:$A,0))*POWER(C97/220,4),1)</f>
        <v>2615</v>
      </c>
      <c r="R97" s="18">
        <f>INT(INDEX([1]系统模型!$VF:$VF,MATCH(C97,[1]系统模型!$A:$A,0))*MAX(POWER(C97/180,4),0.5))</f>
        <v>149343</v>
      </c>
      <c r="S97" s="5">
        <v>1000</v>
      </c>
      <c r="T97" s="25">
        <v>0</v>
      </c>
      <c r="U97" s="25">
        <v>0</v>
      </c>
      <c r="V97" s="25">
        <v>0</v>
      </c>
      <c r="W97" s="25">
        <v>0</v>
      </c>
      <c r="X97" s="25">
        <f t="shared" si="16"/>
        <v>7467</v>
      </c>
      <c r="Y97" s="12">
        <v>0</v>
      </c>
      <c r="Z97" s="25">
        <v>100</v>
      </c>
      <c r="AA97" s="25">
        <v>150</v>
      </c>
      <c r="AB97" s="25">
        <v>0</v>
      </c>
      <c r="AC97" s="25">
        <v>0</v>
      </c>
      <c r="AD97" s="25">
        <v>0</v>
      </c>
      <c r="AE97" s="25">
        <f t="shared" si="17"/>
        <v>470</v>
      </c>
      <c r="AF97" s="25">
        <f t="shared" si="18"/>
        <v>470</v>
      </c>
      <c r="AG97" s="25">
        <v>0</v>
      </c>
      <c r="AH97" s="25">
        <f t="shared" si="19"/>
        <v>8875</v>
      </c>
      <c r="AI97" s="25">
        <f t="shared" si="20"/>
        <v>174</v>
      </c>
      <c r="AJ97" s="25">
        <v>1</v>
      </c>
      <c r="AK97" s="25">
        <v>1000</v>
      </c>
      <c r="AL97" s="25">
        <v>100</v>
      </c>
      <c r="AM97" s="26">
        <v>10</v>
      </c>
      <c r="AN97" s="26">
        <v>10</v>
      </c>
      <c r="AO97" s="22" t="s">
        <v>2211</v>
      </c>
      <c r="AP97" s="26">
        <v>0</v>
      </c>
      <c r="AQ97" s="26">
        <f t="shared" si="21"/>
        <v>910</v>
      </c>
      <c r="AR97" s="18" t="str">
        <f ca="1">CONCATENATE(OFFSET(Sheet1!$A$2,RANDBETWEEN(2,500),0,1,1),OFFSET(Sheet1!$A$2,RANDBETWEEN(2,500),RANDBETWEEN(1,5),1,1))</f>
        <v>休利特</v>
      </c>
      <c r="AS97">
        <f>SUMPRODUCT(P97:AI97,Sheet2!$B$3:$U$3)</f>
        <v>619543</v>
      </c>
    </row>
    <row r="98" spans="1:45" x14ac:dyDescent="0.15">
      <c r="A98" s="18">
        <v>97</v>
      </c>
      <c r="B98" s="18" t="s">
        <v>1875</v>
      </c>
      <c r="C98" s="18">
        <f t="shared" si="11"/>
        <v>235</v>
      </c>
      <c r="D98" s="19">
        <f t="shared" si="12"/>
        <v>3</v>
      </c>
      <c r="E98" s="19">
        <f>VLOOKUP(MOD(A98,4),各职业基础配置!C$32:D$35,2,FALSE)</f>
        <v>3</v>
      </c>
      <c r="F98" s="19">
        <f>IF(A98&lt;900,INDEX(各职业基础配置!C$23:C$28,MOD(ROW(A98),4)+1),0)</f>
        <v>14</v>
      </c>
      <c r="G98" s="19">
        <f t="shared" si="13"/>
        <v>172</v>
      </c>
      <c r="H98" s="27">
        <f t="shared" si="14"/>
        <v>3</v>
      </c>
      <c r="I98" s="6" t="s">
        <v>164</v>
      </c>
      <c r="J98" s="23" t="str">
        <f>VLOOKUP(E98,各职业基础配置!$B$9:$C$12,2,FALSE)</f>
        <v>106|107|108|4201|110</v>
      </c>
      <c r="K98" s="18" t="str">
        <f>VLOOKUP(E98,各职业基础配置!$B$15:$C$18,2,FALSE)</f>
        <v>20|21|22|23</v>
      </c>
      <c r="L98" s="18" t="str">
        <f>VLOOKUP(E98,各职业基础配置!B:C,2,FALSE)</f>
        <v>[{20,1,1},{21,1,1},{22,1,1},{23,1,1},{4,1,1},{5,1,1},{6,1,1}]</v>
      </c>
      <c r="M98" s="18">
        <v>0</v>
      </c>
      <c r="N98" s="18">
        <f t="shared" si="15"/>
        <v>7</v>
      </c>
      <c r="O98" s="18">
        <f>SUMPRODUCT(P98:AI98,Sheet2!$B$3:$U$3)</f>
        <v>619518</v>
      </c>
      <c r="P98" s="18">
        <f>CEILING(INDEX([1]系统模型!$VD:$VD,MATCH(C98,[1]系统模型!$A:$A,0))*POWER(C98/220,3.8)-50+(1000-A98),1)</f>
        <v>13053</v>
      </c>
      <c r="Q98" s="18">
        <f>CEILING(INDEX([1]系统模型!$VE:$VE,MATCH(C98,[1]系统模型!$A:$A,0))*POWER(C98/220,4),1)</f>
        <v>2615</v>
      </c>
      <c r="R98" s="18">
        <f>INT(INDEX([1]系统模型!$VF:$VF,MATCH(C98,[1]系统模型!$A:$A,0))*MAX(POWER(C98/180,4),0.5))</f>
        <v>149343</v>
      </c>
      <c r="S98" s="5">
        <v>1000</v>
      </c>
      <c r="T98" s="25">
        <v>0</v>
      </c>
      <c r="U98" s="25">
        <v>0</v>
      </c>
      <c r="V98" s="25">
        <v>0</v>
      </c>
      <c r="W98" s="25">
        <v>0</v>
      </c>
      <c r="X98" s="25">
        <f t="shared" si="16"/>
        <v>7467</v>
      </c>
      <c r="Y98" s="12">
        <v>0</v>
      </c>
      <c r="Z98" s="25">
        <v>100</v>
      </c>
      <c r="AA98" s="25">
        <v>150</v>
      </c>
      <c r="AB98" s="25">
        <v>0</v>
      </c>
      <c r="AC98" s="25">
        <v>0</v>
      </c>
      <c r="AD98" s="25">
        <v>0</v>
      </c>
      <c r="AE98" s="25">
        <f t="shared" si="17"/>
        <v>470</v>
      </c>
      <c r="AF98" s="25">
        <f t="shared" si="18"/>
        <v>470</v>
      </c>
      <c r="AG98" s="25">
        <v>0</v>
      </c>
      <c r="AH98" s="25">
        <f t="shared" si="19"/>
        <v>8875</v>
      </c>
      <c r="AI98" s="25">
        <f t="shared" si="20"/>
        <v>174</v>
      </c>
      <c r="AJ98" s="25">
        <v>1</v>
      </c>
      <c r="AK98" s="25">
        <v>1000</v>
      </c>
      <c r="AL98" s="25">
        <v>100</v>
      </c>
      <c r="AM98" s="26">
        <v>10</v>
      </c>
      <c r="AN98" s="26">
        <v>10</v>
      </c>
      <c r="AO98" s="22" t="s">
        <v>2211</v>
      </c>
      <c r="AP98" s="26">
        <v>0</v>
      </c>
      <c r="AQ98" s="26">
        <f t="shared" si="21"/>
        <v>910</v>
      </c>
      <c r="AR98" s="18" t="str">
        <f ca="1">CONCATENATE(OFFSET(Sheet1!$A$2,RANDBETWEEN(2,500),0,1,1),OFFSET(Sheet1!$A$2,RANDBETWEEN(2,500),RANDBETWEEN(1,5),1,1))</f>
        <v>克里斯托弗艾娜</v>
      </c>
      <c r="AS98">
        <f>SUMPRODUCT(P98:AI98,Sheet2!$B$3:$U$3)</f>
        <v>619518</v>
      </c>
    </row>
    <row r="99" spans="1:45" x14ac:dyDescent="0.15">
      <c r="A99" s="18">
        <v>98</v>
      </c>
      <c r="B99" s="18" t="s">
        <v>1876</v>
      </c>
      <c r="C99" s="18">
        <f t="shared" si="11"/>
        <v>235</v>
      </c>
      <c r="D99" s="19">
        <f t="shared" si="12"/>
        <v>2</v>
      </c>
      <c r="E99" s="19">
        <f>VLOOKUP(MOD(A99,4),各职业基础配置!C$32:D$35,2,FALSE)</f>
        <v>6</v>
      </c>
      <c r="F99" s="19">
        <f>IF(A99&lt;900,INDEX(各职业基础配置!C$23:C$28,MOD(ROW(A99),4)+1),0)</f>
        <v>16</v>
      </c>
      <c r="G99" s="19">
        <f t="shared" si="13"/>
        <v>172</v>
      </c>
      <c r="H99" s="27">
        <f t="shared" si="14"/>
        <v>3</v>
      </c>
      <c r="I99" s="6" t="s">
        <v>164</v>
      </c>
      <c r="J99" s="23" t="str">
        <f>VLOOKUP(E99,各职业基础配置!$B$9:$C$12,2,FALSE)</f>
        <v>111|112|113|4201|115</v>
      </c>
      <c r="K99" s="18" t="str">
        <f>VLOOKUP(E99,各职业基础配置!$B$15:$C$18,2,FALSE)</f>
        <v>32|33|34</v>
      </c>
      <c r="L99" s="18" t="str">
        <f>VLOOKUP(E99,各职业基础配置!B:C,2,FALSE)</f>
        <v>[{32,1,1},{33,1,1},{34,1,1},{35,1,1},{7,1,1},{8,1,1},{9,1,1}]</v>
      </c>
      <c r="M99" s="18">
        <v>0</v>
      </c>
      <c r="N99" s="18">
        <f t="shared" si="15"/>
        <v>7</v>
      </c>
      <c r="O99" s="18">
        <f>SUMPRODUCT(P99:AI99,Sheet2!$B$3:$U$3)</f>
        <v>619493</v>
      </c>
      <c r="P99" s="18">
        <f>CEILING(INDEX([1]系统模型!$VD:$VD,MATCH(C99,[1]系统模型!$A:$A,0))*POWER(C99/220,3.8)-50+(1000-A99),1)</f>
        <v>13052</v>
      </c>
      <c r="Q99" s="18">
        <f>CEILING(INDEX([1]系统模型!$VE:$VE,MATCH(C99,[1]系统模型!$A:$A,0))*POWER(C99/220,4),1)</f>
        <v>2615</v>
      </c>
      <c r="R99" s="18">
        <f>INT(INDEX([1]系统模型!$VF:$VF,MATCH(C99,[1]系统模型!$A:$A,0))*MAX(POWER(C99/180,4),0.5))</f>
        <v>149343</v>
      </c>
      <c r="S99" s="5">
        <v>1000</v>
      </c>
      <c r="T99" s="25">
        <v>0</v>
      </c>
      <c r="U99" s="25">
        <v>0</v>
      </c>
      <c r="V99" s="25">
        <v>0</v>
      </c>
      <c r="W99" s="25">
        <v>0</v>
      </c>
      <c r="X99" s="25">
        <f t="shared" si="16"/>
        <v>7467</v>
      </c>
      <c r="Y99" s="12">
        <v>0</v>
      </c>
      <c r="Z99" s="25">
        <v>100</v>
      </c>
      <c r="AA99" s="25">
        <v>150</v>
      </c>
      <c r="AB99" s="25">
        <v>0</v>
      </c>
      <c r="AC99" s="25">
        <v>0</v>
      </c>
      <c r="AD99" s="25">
        <v>0</v>
      </c>
      <c r="AE99" s="25">
        <f t="shared" si="17"/>
        <v>470</v>
      </c>
      <c r="AF99" s="25">
        <f t="shared" si="18"/>
        <v>470</v>
      </c>
      <c r="AG99" s="25">
        <v>0</v>
      </c>
      <c r="AH99" s="25">
        <f t="shared" si="19"/>
        <v>8875</v>
      </c>
      <c r="AI99" s="25">
        <f t="shared" si="20"/>
        <v>174</v>
      </c>
      <c r="AJ99" s="25">
        <v>1</v>
      </c>
      <c r="AK99" s="25">
        <v>1000</v>
      </c>
      <c r="AL99" s="25">
        <v>100</v>
      </c>
      <c r="AM99" s="26">
        <v>10</v>
      </c>
      <c r="AN99" s="26">
        <v>10</v>
      </c>
      <c r="AO99" s="22" t="s">
        <v>2211</v>
      </c>
      <c r="AP99" s="26">
        <v>0</v>
      </c>
      <c r="AQ99" s="26">
        <f t="shared" si="21"/>
        <v>910</v>
      </c>
      <c r="AR99" s="18" t="str">
        <f ca="1">CONCATENATE(OFFSET(Sheet1!$A$2,RANDBETWEEN(2,500),0,1,1),OFFSET(Sheet1!$A$2,RANDBETWEEN(2,500),RANDBETWEEN(1,5),1,1))</f>
        <v>康拉德</v>
      </c>
      <c r="AS99">
        <f>SUMPRODUCT(P99:AI99,Sheet2!$B$3:$U$3)</f>
        <v>619493</v>
      </c>
    </row>
    <row r="100" spans="1:45" x14ac:dyDescent="0.15">
      <c r="A100" s="23">
        <v>99</v>
      </c>
      <c r="B100" s="18" t="s">
        <v>1877</v>
      </c>
      <c r="C100" s="18">
        <f t="shared" si="11"/>
        <v>235</v>
      </c>
      <c r="D100" s="19">
        <f t="shared" si="12"/>
        <v>3</v>
      </c>
      <c r="E100" s="19">
        <f>VLOOKUP(MOD(A100,4),各职业基础配置!C$32:D$35,2,FALSE)</f>
        <v>9</v>
      </c>
      <c r="F100" s="19">
        <f>IF(A100&lt;900,INDEX(各职业基础配置!C$23:C$28,MOD(ROW(A100),4)+1),0)</f>
        <v>8</v>
      </c>
      <c r="G100" s="19">
        <f t="shared" si="13"/>
        <v>172</v>
      </c>
      <c r="H100" s="27">
        <f t="shared" si="14"/>
        <v>3</v>
      </c>
      <c r="I100" s="6" t="s">
        <v>164</v>
      </c>
      <c r="J100" s="23" t="str">
        <f>VLOOKUP(E100,各职业基础配置!$B$9:$C$12,2,FALSE)</f>
        <v>116|117|118|4201|120</v>
      </c>
      <c r="K100" s="18" t="str">
        <f>VLOOKUP(E100,各职业基础配置!$B$15:$C$18,2,FALSE)</f>
        <v>28|29|30|31</v>
      </c>
      <c r="L100" s="18" t="str">
        <f>VLOOKUP(E100,各职业基础配置!B:C,2,FALSE)</f>
        <v>[{28,1,1},{29,1,1},{30,1,1},{31,1,1},{10,1,1},{11,1,1},{12,1,1}]</v>
      </c>
      <c r="M100" s="18">
        <v>0</v>
      </c>
      <c r="N100" s="18">
        <f t="shared" si="15"/>
        <v>3</v>
      </c>
      <c r="O100" s="18">
        <f>SUMPRODUCT(P100:AI100,Sheet2!$B$3:$U$3)</f>
        <v>619468</v>
      </c>
      <c r="P100" s="18">
        <f>CEILING(INDEX([1]系统模型!$VD:$VD,MATCH(C100,[1]系统模型!$A:$A,0))*POWER(C100/220,3.8)-50+(1000-A100),1)</f>
        <v>13051</v>
      </c>
      <c r="Q100" s="18">
        <f>CEILING(INDEX([1]系统模型!$VE:$VE,MATCH(C100,[1]系统模型!$A:$A,0))*POWER(C100/220,4),1)</f>
        <v>2615</v>
      </c>
      <c r="R100" s="18">
        <f>INT(INDEX([1]系统模型!$VF:$VF,MATCH(C100,[1]系统模型!$A:$A,0))*MAX(POWER(C100/180,4),0.5))</f>
        <v>149343</v>
      </c>
      <c r="S100" s="5">
        <v>1000</v>
      </c>
      <c r="T100" s="25">
        <v>0</v>
      </c>
      <c r="U100" s="25">
        <v>0</v>
      </c>
      <c r="V100" s="25">
        <v>0</v>
      </c>
      <c r="W100" s="25">
        <v>0</v>
      </c>
      <c r="X100" s="25">
        <f t="shared" si="16"/>
        <v>7467</v>
      </c>
      <c r="Y100" s="12">
        <v>0</v>
      </c>
      <c r="Z100" s="25">
        <v>100</v>
      </c>
      <c r="AA100" s="25">
        <v>150</v>
      </c>
      <c r="AB100" s="25">
        <v>0</v>
      </c>
      <c r="AC100" s="25">
        <v>0</v>
      </c>
      <c r="AD100" s="25">
        <v>0</v>
      </c>
      <c r="AE100" s="25">
        <f t="shared" si="17"/>
        <v>470</v>
      </c>
      <c r="AF100" s="25">
        <f t="shared" si="18"/>
        <v>470</v>
      </c>
      <c r="AG100" s="25">
        <v>0</v>
      </c>
      <c r="AH100" s="25">
        <f t="shared" si="19"/>
        <v>8875</v>
      </c>
      <c r="AI100" s="25">
        <f t="shared" si="20"/>
        <v>174</v>
      </c>
      <c r="AJ100" s="25">
        <v>1</v>
      </c>
      <c r="AK100" s="25">
        <v>1000</v>
      </c>
      <c r="AL100" s="25">
        <v>100</v>
      </c>
      <c r="AM100" s="26">
        <v>10</v>
      </c>
      <c r="AN100" s="26">
        <v>10</v>
      </c>
      <c r="AO100" s="22" t="s">
        <v>2211</v>
      </c>
      <c r="AP100" s="26">
        <v>0</v>
      </c>
      <c r="AQ100" s="26">
        <f t="shared" si="21"/>
        <v>900</v>
      </c>
      <c r="AR100" s="18" t="str">
        <f ca="1">CONCATENATE(OFFSET(Sheet1!$A$2,RANDBETWEEN(2,500),0,1,1),OFFSET(Sheet1!$A$2,RANDBETWEEN(2,500),RANDBETWEEN(1,5),1,1))</f>
        <v>格兰瑟姆</v>
      </c>
      <c r="AS100">
        <f>SUMPRODUCT(P100:AI100,Sheet2!$B$3:$U$3)</f>
        <v>619468</v>
      </c>
    </row>
    <row r="101" spans="1:45" x14ac:dyDescent="0.15">
      <c r="A101" s="18">
        <v>100</v>
      </c>
      <c r="B101" s="18" t="s">
        <v>1878</v>
      </c>
      <c r="C101" s="18">
        <f t="shared" si="11"/>
        <v>235</v>
      </c>
      <c r="D101" s="19">
        <f t="shared" si="12"/>
        <v>2</v>
      </c>
      <c r="E101" s="19">
        <f>VLOOKUP(MOD(A101,4),各职业基础配置!C$32:D$35,2,FALSE)</f>
        <v>1</v>
      </c>
      <c r="F101" s="19">
        <f>IF(A101&lt;900,INDEX(各职业基础配置!C$23:C$28,MOD(ROW(A101),4)+1),0)</f>
        <v>13</v>
      </c>
      <c r="G101" s="19">
        <f t="shared" si="13"/>
        <v>172</v>
      </c>
      <c r="H101" s="27">
        <f t="shared" si="14"/>
        <v>3</v>
      </c>
      <c r="I101" s="6" t="s">
        <v>164</v>
      </c>
      <c r="J101" s="23" t="str">
        <f>VLOOKUP(E101,各职业基础配置!$B$9:$C$12,2,FALSE)</f>
        <v>101|102|103|4201|105</v>
      </c>
      <c r="K101" s="18" t="str">
        <f>VLOOKUP(E101,各职业基础配置!$B$15:$C$18,2,FALSE)</f>
        <v>24|25|26|27</v>
      </c>
      <c r="L101" s="18" t="str">
        <f>VLOOKUP(E101,各职业基础配置!B:C,2,FALSE)</f>
        <v>[{24,1,1},{25,1,1},{26,1,1},{27,1,1},{1,1,1},{2,1,1},{3,1,1}]</v>
      </c>
      <c r="M101" s="18">
        <v>0</v>
      </c>
      <c r="N101" s="18">
        <f t="shared" si="15"/>
        <v>3</v>
      </c>
      <c r="O101" s="18">
        <f>SUMPRODUCT(P101:AI101,Sheet2!$B$3:$U$3)</f>
        <v>619443</v>
      </c>
      <c r="P101" s="18">
        <f>CEILING(INDEX([1]系统模型!$VD:$VD,MATCH(C101,[1]系统模型!$A:$A,0))*POWER(C101/220,3.8)-50+(1000-A101),1)</f>
        <v>13050</v>
      </c>
      <c r="Q101" s="18">
        <f>CEILING(INDEX([1]系统模型!$VE:$VE,MATCH(C101,[1]系统模型!$A:$A,0))*POWER(C101/220,4),1)</f>
        <v>2615</v>
      </c>
      <c r="R101" s="18">
        <f>INT(INDEX([1]系统模型!$VF:$VF,MATCH(C101,[1]系统模型!$A:$A,0))*MAX(POWER(C101/180,4),0.5))</f>
        <v>149343</v>
      </c>
      <c r="S101" s="5">
        <v>1000</v>
      </c>
      <c r="T101" s="25">
        <v>0</v>
      </c>
      <c r="U101" s="25">
        <v>0</v>
      </c>
      <c r="V101" s="25">
        <v>0</v>
      </c>
      <c r="W101" s="25">
        <v>0</v>
      </c>
      <c r="X101" s="25">
        <f t="shared" si="16"/>
        <v>7467</v>
      </c>
      <c r="Y101" s="12">
        <v>0</v>
      </c>
      <c r="Z101" s="25">
        <v>100</v>
      </c>
      <c r="AA101" s="25">
        <v>150</v>
      </c>
      <c r="AB101" s="25">
        <v>0</v>
      </c>
      <c r="AC101" s="25">
        <v>0</v>
      </c>
      <c r="AD101" s="25">
        <v>0</v>
      </c>
      <c r="AE101" s="25">
        <f t="shared" si="17"/>
        <v>470</v>
      </c>
      <c r="AF101" s="25">
        <f t="shared" si="18"/>
        <v>470</v>
      </c>
      <c r="AG101" s="25">
        <v>0</v>
      </c>
      <c r="AH101" s="25">
        <f t="shared" si="19"/>
        <v>8875</v>
      </c>
      <c r="AI101" s="25">
        <f t="shared" si="20"/>
        <v>174</v>
      </c>
      <c r="AJ101" s="25">
        <v>1</v>
      </c>
      <c r="AK101" s="25">
        <v>1000</v>
      </c>
      <c r="AL101" s="25">
        <v>100</v>
      </c>
      <c r="AM101" s="26">
        <v>10</v>
      </c>
      <c r="AN101" s="26">
        <v>10</v>
      </c>
      <c r="AO101" s="22" t="s">
        <v>2211</v>
      </c>
      <c r="AP101" s="26">
        <v>0</v>
      </c>
      <c r="AQ101" s="26">
        <f t="shared" si="21"/>
        <v>900</v>
      </c>
      <c r="AR101" s="18" t="str">
        <f ca="1">CONCATENATE(OFFSET(Sheet1!$A$2,RANDBETWEEN(2,500),0,1,1),OFFSET(Sheet1!$A$2,RANDBETWEEN(2,500),RANDBETWEEN(1,5),1,1))</f>
        <v>比勒尔</v>
      </c>
      <c r="AS101">
        <f>SUMPRODUCT(P101:AI101,Sheet2!$B$3:$U$3)</f>
        <v>619443</v>
      </c>
    </row>
    <row r="102" spans="1:45" x14ac:dyDescent="0.15">
      <c r="A102" s="18">
        <v>101</v>
      </c>
      <c r="B102" s="18" t="s">
        <v>1879</v>
      </c>
      <c r="C102" s="18">
        <f t="shared" si="11"/>
        <v>235</v>
      </c>
      <c r="D102" s="19">
        <f t="shared" si="12"/>
        <v>3</v>
      </c>
      <c r="E102" s="19">
        <f>VLOOKUP(MOD(A102,4),各职业基础配置!C$32:D$35,2,FALSE)</f>
        <v>3</v>
      </c>
      <c r="F102" s="19">
        <f>IF(A102&lt;900,INDEX(各职业基础配置!C$23:C$28,MOD(ROW(A102),4)+1),0)</f>
        <v>14</v>
      </c>
      <c r="G102" s="19">
        <f t="shared" si="13"/>
        <v>172</v>
      </c>
      <c r="H102" s="27">
        <f t="shared" si="14"/>
        <v>3</v>
      </c>
      <c r="I102" s="6" t="s">
        <v>164</v>
      </c>
      <c r="J102" s="23" t="str">
        <f>VLOOKUP(E102,各职业基础配置!$B$9:$C$12,2,FALSE)</f>
        <v>106|107|108|4201|110</v>
      </c>
      <c r="K102" s="18" t="str">
        <f>VLOOKUP(E102,各职业基础配置!$B$15:$C$18,2,FALSE)</f>
        <v>20|21|22|23</v>
      </c>
      <c r="L102" s="18" t="str">
        <f>VLOOKUP(E102,各职业基础配置!B:C,2,FALSE)</f>
        <v>[{20,1,1},{21,1,1},{22,1,1},{23,1,1},{4,1,1},{5,1,1},{6,1,1}]</v>
      </c>
      <c r="M102" s="18">
        <v>0</v>
      </c>
      <c r="N102" s="18">
        <f t="shared" si="15"/>
        <v>7</v>
      </c>
      <c r="O102" s="18">
        <f>SUMPRODUCT(P102:AI102,Sheet2!$B$3:$U$3)</f>
        <v>619393</v>
      </c>
      <c r="P102" s="18">
        <f>CEILING(INDEX([1]系统模型!$VD:$VD,MATCH(C102,[1]系统模型!$A:$A,0))*POWER(C102/220,3.8)-50+(1000-A102),1)</f>
        <v>13049</v>
      </c>
      <c r="Q102" s="18">
        <f>CEILING(INDEX([1]系统模型!$VE:$VE,MATCH(C102,[1]系统模型!$A:$A,0))*POWER(C102/220,4),1)</f>
        <v>2615</v>
      </c>
      <c r="R102" s="18">
        <f>INT(INDEX([1]系统模型!$VF:$VF,MATCH(C102,[1]系统模型!$A:$A,0))*MAX(POWER(C102/180,4),0.5))</f>
        <v>149343</v>
      </c>
      <c r="S102" s="5">
        <v>1000</v>
      </c>
      <c r="T102" s="25">
        <v>0</v>
      </c>
      <c r="U102" s="25">
        <v>0</v>
      </c>
      <c r="V102" s="25">
        <v>0</v>
      </c>
      <c r="W102" s="25">
        <v>0</v>
      </c>
      <c r="X102" s="25">
        <f t="shared" si="16"/>
        <v>7467</v>
      </c>
      <c r="Y102" s="12">
        <v>0</v>
      </c>
      <c r="Z102" s="25">
        <v>100</v>
      </c>
      <c r="AA102" s="25">
        <v>150</v>
      </c>
      <c r="AB102" s="25">
        <v>0</v>
      </c>
      <c r="AC102" s="25">
        <v>0</v>
      </c>
      <c r="AD102" s="25">
        <v>0</v>
      </c>
      <c r="AE102" s="25">
        <f t="shared" si="17"/>
        <v>470</v>
      </c>
      <c r="AF102" s="25">
        <f t="shared" si="18"/>
        <v>470</v>
      </c>
      <c r="AG102" s="25">
        <v>0</v>
      </c>
      <c r="AH102" s="25">
        <f t="shared" si="19"/>
        <v>8875</v>
      </c>
      <c r="AI102" s="25">
        <f t="shared" si="20"/>
        <v>173</v>
      </c>
      <c r="AJ102" s="25">
        <v>1</v>
      </c>
      <c r="AK102" s="25">
        <v>1000</v>
      </c>
      <c r="AL102" s="25">
        <v>100</v>
      </c>
      <c r="AM102" s="26">
        <v>10</v>
      </c>
      <c r="AN102" s="26">
        <v>10</v>
      </c>
      <c r="AO102" s="22" t="s">
        <v>2211</v>
      </c>
      <c r="AP102" s="26">
        <v>0</v>
      </c>
      <c r="AQ102" s="26">
        <f t="shared" si="21"/>
        <v>900</v>
      </c>
      <c r="AR102" s="18" t="str">
        <f ca="1">CONCATENATE(OFFSET(Sheet1!$A$2,RANDBETWEEN(2,500),0,1,1),OFFSET(Sheet1!$A$2,RANDBETWEEN(2,500),RANDBETWEEN(1,5),1,1))</f>
        <v>格莱斯顿</v>
      </c>
      <c r="AS102">
        <f>SUMPRODUCT(P102:AI102,Sheet2!$B$3:$U$3)</f>
        <v>619393</v>
      </c>
    </row>
    <row r="103" spans="1:45" x14ac:dyDescent="0.15">
      <c r="A103" s="23">
        <v>102</v>
      </c>
      <c r="B103" s="18" t="s">
        <v>308</v>
      </c>
      <c r="C103" s="18">
        <f t="shared" si="11"/>
        <v>234</v>
      </c>
      <c r="D103" s="19">
        <f t="shared" si="12"/>
        <v>2</v>
      </c>
      <c r="E103" s="19">
        <f>VLOOKUP(MOD(A103,4),各职业基础配置!C$32:D$35,2,FALSE)</f>
        <v>6</v>
      </c>
      <c r="F103" s="19">
        <f>IF(A103&lt;900,INDEX(各职业基础配置!C$23:C$28,MOD(ROW(A103),4)+1),0)</f>
        <v>16</v>
      </c>
      <c r="G103" s="19">
        <f t="shared" si="13"/>
        <v>168</v>
      </c>
      <c r="H103" s="27">
        <f t="shared" si="14"/>
        <v>3</v>
      </c>
      <c r="I103" s="6" t="s">
        <v>164</v>
      </c>
      <c r="J103" s="23" t="str">
        <f>VLOOKUP(E103,各职业基础配置!$B$9:$C$12,2,FALSE)</f>
        <v>111|112|113|4201|115</v>
      </c>
      <c r="K103" s="18" t="str">
        <f>VLOOKUP(E103,各职业基础配置!$B$15:$C$18,2,FALSE)</f>
        <v>32|33|34</v>
      </c>
      <c r="L103" s="18" t="str">
        <f>VLOOKUP(E103,各职业基础配置!B:C,2,FALSE)</f>
        <v>[{32,1,1},{33,1,1},{34,1,1},{35,1,1},{7,1,1},{8,1,1},{9,1,1}]</v>
      </c>
      <c r="M103" s="18">
        <v>0</v>
      </c>
      <c r="N103" s="18">
        <f t="shared" si="15"/>
        <v>7</v>
      </c>
      <c r="O103" s="18">
        <f>SUMPRODUCT(P103:AI103,Sheet2!$B$3:$U$3)</f>
        <v>607201</v>
      </c>
      <c r="P103" s="18">
        <f>CEILING(INDEX([1]系统模型!$VD:$VD,MATCH(C103,[1]系统模型!$A:$A,0))*POWER(C103/220,3.8)-50+(1000-A103),1)</f>
        <v>12789</v>
      </c>
      <c r="Q103" s="18">
        <f>CEILING(INDEX([1]系统模型!$VE:$VE,MATCH(C103,[1]系统模型!$A:$A,0))*POWER(C103/220,4),1)</f>
        <v>2551</v>
      </c>
      <c r="R103" s="18">
        <f>INT(INDEX([1]系统模型!$VF:$VF,MATCH(C103,[1]系统模型!$A:$A,0))*MAX(POWER(C103/180,4),0.5))</f>
        <v>145801</v>
      </c>
      <c r="S103" s="5">
        <v>1000</v>
      </c>
      <c r="T103" s="25">
        <v>0</v>
      </c>
      <c r="U103" s="25">
        <v>0</v>
      </c>
      <c r="V103" s="25">
        <v>0</v>
      </c>
      <c r="W103" s="25">
        <v>0</v>
      </c>
      <c r="X103" s="25">
        <f t="shared" si="16"/>
        <v>7290</v>
      </c>
      <c r="Y103" s="12">
        <v>0</v>
      </c>
      <c r="Z103" s="25">
        <v>100</v>
      </c>
      <c r="AA103" s="25">
        <v>150</v>
      </c>
      <c r="AB103" s="25">
        <v>0</v>
      </c>
      <c r="AC103" s="25">
        <v>0</v>
      </c>
      <c r="AD103" s="25">
        <v>0</v>
      </c>
      <c r="AE103" s="25">
        <f t="shared" si="17"/>
        <v>468</v>
      </c>
      <c r="AF103" s="25">
        <f t="shared" si="18"/>
        <v>468</v>
      </c>
      <c r="AG103" s="25">
        <v>0</v>
      </c>
      <c r="AH103" s="25">
        <f t="shared" si="19"/>
        <v>8800</v>
      </c>
      <c r="AI103" s="25">
        <f t="shared" si="20"/>
        <v>170</v>
      </c>
      <c r="AJ103" s="25">
        <v>1</v>
      </c>
      <c r="AK103" s="25">
        <v>1000</v>
      </c>
      <c r="AL103" s="25">
        <v>100</v>
      </c>
      <c r="AM103" s="26">
        <v>10</v>
      </c>
      <c r="AN103" s="26">
        <v>10</v>
      </c>
      <c r="AO103" s="22" t="s">
        <v>2211</v>
      </c>
      <c r="AP103" s="26">
        <v>0</v>
      </c>
      <c r="AQ103" s="26">
        <f t="shared" si="21"/>
        <v>900</v>
      </c>
      <c r="AR103" s="18" t="str">
        <f ca="1">CONCATENATE(OFFSET(Sheet1!$A$2,RANDBETWEEN(2,500),0,1,1),OFFSET(Sheet1!$A$2,RANDBETWEEN(2,500),RANDBETWEEN(1,5),1,1))</f>
        <v>克莱门特</v>
      </c>
      <c r="AS103">
        <f>SUMPRODUCT(P103:AI103,Sheet2!$B$3:$U$3)</f>
        <v>607201</v>
      </c>
    </row>
    <row r="104" spans="1:45" x14ac:dyDescent="0.15">
      <c r="A104" s="18">
        <v>103</v>
      </c>
      <c r="B104" s="18" t="s">
        <v>1880</v>
      </c>
      <c r="C104" s="18">
        <f t="shared" si="11"/>
        <v>234</v>
      </c>
      <c r="D104" s="19">
        <f t="shared" si="12"/>
        <v>3</v>
      </c>
      <c r="E104" s="19">
        <f>VLOOKUP(MOD(A104,4),各职业基础配置!C$32:D$35,2,FALSE)</f>
        <v>9</v>
      </c>
      <c r="F104" s="19">
        <f>IF(A104&lt;900,INDEX(各职业基础配置!C$23:C$28,MOD(ROW(A104),4)+1),0)</f>
        <v>8</v>
      </c>
      <c r="G104" s="19">
        <f t="shared" si="13"/>
        <v>168</v>
      </c>
      <c r="H104" s="27">
        <f t="shared" si="14"/>
        <v>3</v>
      </c>
      <c r="I104" s="6" t="s">
        <v>164</v>
      </c>
      <c r="J104" s="23" t="str">
        <f>VLOOKUP(E104,各职业基础配置!$B$9:$C$12,2,FALSE)</f>
        <v>116|117|118|4201|120</v>
      </c>
      <c r="K104" s="18" t="str">
        <f>VLOOKUP(E104,各职业基础配置!$B$15:$C$18,2,FALSE)</f>
        <v>28|29|30|31</v>
      </c>
      <c r="L104" s="18" t="str">
        <f>VLOOKUP(E104,各职业基础配置!B:C,2,FALSE)</f>
        <v>[{28,1,1},{29,1,1},{30,1,1},{31,1,1},{10,1,1},{11,1,1},{12,1,1}]</v>
      </c>
      <c r="M104" s="18">
        <v>0</v>
      </c>
      <c r="N104" s="18">
        <f t="shared" si="15"/>
        <v>3</v>
      </c>
      <c r="O104" s="18">
        <f>SUMPRODUCT(P104:AI104,Sheet2!$B$3:$U$3)</f>
        <v>607176</v>
      </c>
      <c r="P104" s="18">
        <f>CEILING(INDEX([1]系统模型!$VD:$VD,MATCH(C104,[1]系统模型!$A:$A,0))*POWER(C104/220,3.8)-50+(1000-A104),1)</f>
        <v>12788</v>
      </c>
      <c r="Q104" s="18">
        <f>CEILING(INDEX([1]系统模型!$VE:$VE,MATCH(C104,[1]系统模型!$A:$A,0))*POWER(C104/220,4),1)</f>
        <v>2551</v>
      </c>
      <c r="R104" s="18">
        <f>INT(INDEX([1]系统模型!$VF:$VF,MATCH(C104,[1]系统模型!$A:$A,0))*MAX(POWER(C104/180,4),0.5))</f>
        <v>145801</v>
      </c>
      <c r="S104" s="5">
        <v>1000</v>
      </c>
      <c r="T104" s="25">
        <v>0</v>
      </c>
      <c r="U104" s="25">
        <v>0</v>
      </c>
      <c r="V104" s="25">
        <v>0</v>
      </c>
      <c r="W104" s="25">
        <v>0</v>
      </c>
      <c r="X104" s="25">
        <f t="shared" si="16"/>
        <v>7290</v>
      </c>
      <c r="Y104" s="12">
        <v>0</v>
      </c>
      <c r="Z104" s="25">
        <v>100</v>
      </c>
      <c r="AA104" s="25">
        <v>150</v>
      </c>
      <c r="AB104" s="25">
        <v>0</v>
      </c>
      <c r="AC104" s="25">
        <v>0</v>
      </c>
      <c r="AD104" s="25">
        <v>0</v>
      </c>
      <c r="AE104" s="25">
        <f t="shared" si="17"/>
        <v>468</v>
      </c>
      <c r="AF104" s="25">
        <f t="shared" si="18"/>
        <v>468</v>
      </c>
      <c r="AG104" s="25">
        <v>0</v>
      </c>
      <c r="AH104" s="25">
        <f t="shared" si="19"/>
        <v>8800</v>
      </c>
      <c r="AI104" s="25">
        <f t="shared" si="20"/>
        <v>170</v>
      </c>
      <c r="AJ104" s="25">
        <v>1</v>
      </c>
      <c r="AK104" s="25">
        <v>1000</v>
      </c>
      <c r="AL104" s="25">
        <v>100</v>
      </c>
      <c r="AM104" s="26">
        <v>10</v>
      </c>
      <c r="AN104" s="26">
        <v>10</v>
      </c>
      <c r="AO104" s="22" t="s">
        <v>2211</v>
      </c>
      <c r="AP104" s="26">
        <v>0</v>
      </c>
      <c r="AQ104" s="26">
        <f t="shared" si="21"/>
        <v>900</v>
      </c>
      <c r="AR104" s="18" t="str">
        <f ca="1">CONCATENATE(OFFSET(Sheet1!$A$2,RANDBETWEEN(2,500),0,1,1),OFFSET(Sheet1!$A$2,RANDBETWEEN(2,500),RANDBETWEEN(1,5),1,1))</f>
        <v>科克尔爱莉丝</v>
      </c>
      <c r="AS104">
        <f>SUMPRODUCT(P104:AI104,Sheet2!$B$3:$U$3)</f>
        <v>607176</v>
      </c>
    </row>
    <row r="105" spans="1:45" x14ac:dyDescent="0.15">
      <c r="A105" s="18">
        <v>104</v>
      </c>
      <c r="B105" s="18" t="s">
        <v>1241</v>
      </c>
      <c r="C105" s="18">
        <f t="shared" si="11"/>
        <v>234</v>
      </c>
      <c r="D105" s="19">
        <f t="shared" si="12"/>
        <v>2</v>
      </c>
      <c r="E105" s="19">
        <f>VLOOKUP(MOD(A105,4),各职业基础配置!C$32:D$35,2,FALSE)</f>
        <v>1</v>
      </c>
      <c r="F105" s="19">
        <f>IF(A105&lt;900,INDEX(各职业基础配置!C$23:C$28,MOD(ROW(A105),4)+1),0)</f>
        <v>13</v>
      </c>
      <c r="G105" s="19">
        <f t="shared" si="13"/>
        <v>168</v>
      </c>
      <c r="H105" s="27">
        <f t="shared" si="14"/>
        <v>3</v>
      </c>
      <c r="I105" s="6" t="s">
        <v>164</v>
      </c>
      <c r="J105" s="23" t="str">
        <f>VLOOKUP(E105,各职业基础配置!$B$9:$C$12,2,FALSE)</f>
        <v>101|102|103|4201|105</v>
      </c>
      <c r="K105" s="18" t="str">
        <f>VLOOKUP(E105,各职业基础配置!$B$15:$C$18,2,FALSE)</f>
        <v>24|25|26|27</v>
      </c>
      <c r="L105" s="18" t="str">
        <f>VLOOKUP(E105,各职业基础配置!B:C,2,FALSE)</f>
        <v>[{24,1,1},{25,1,1},{26,1,1},{27,1,1},{1,1,1},{2,1,1},{3,1,1}]</v>
      </c>
      <c r="M105" s="18">
        <v>0</v>
      </c>
      <c r="N105" s="18">
        <f t="shared" si="15"/>
        <v>3</v>
      </c>
      <c r="O105" s="18">
        <f>SUMPRODUCT(P105:AI105,Sheet2!$B$3:$U$3)</f>
        <v>607151</v>
      </c>
      <c r="P105" s="18">
        <f>CEILING(INDEX([1]系统模型!$VD:$VD,MATCH(C105,[1]系统模型!$A:$A,0))*POWER(C105/220,3.8)-50+(1000-A105),1)</f>
        <v>12787</v>
      </c>
      <c r="Q105" s="18">
        <f>CEILING(INDEX([1]系统模型!$VE:$VE,MATCH(C105,[1]系统模型!$A:$A,0))*POWER(C105/220,4),1)</f>
        <v>2551</v>
      </c>
      <c r="R105" s="18">
        <f>INT(INDEX([1]系统模型!$VF:$VF,MATCH(C105,[1]系统模型!$A:$A,0))*MAX(POWER(C105/180,4),0.5))</f>
        <v>145801</v>
      </c>
      <c r="S105" s="5">
        <v>1000</v>
      </c>
      <c r="T105" s="25">
        <v>0</v>
      </c>
      <c r="U105" s="25">
        <v>0</v>
      </c>
      <c r="V105" s="25">
        <v>0</v>
      </c>
      <c r="W105" s="25">
        <v>0</v>
      </c>
      <c r="X105" s="25">
        <f t="shared" si="16"/>
        <v>7290</v>
      </c>
      <c r="Y105" s="12">
        <v>0</v>
      </c>
      <c r="Z105" s="25">
        <v>100</v>
      </c>
      <c r="AA105" s="25">
        <v>150</v>
      </c>
      <c r="AB105" s="25">
        <v>0</v>
      </c>
      <c r="AC105" s="25">
        <v>0</v>
      </c>
      <c r="AD105" s="25">
        <v>0</v>
      </c>
      <c r="AE105" s="25">
        <f t="shared" si="17"/>
        <v>468</v>
      </c>
      <c r="AF105" s="25">
        <f t="shared" si="18"/>
        <v>468</v>
      </c>
      <c r="AG105" s="25">
        <v>0</v>
      </c>
      <c r="AH105" s="25">
        <f t="shared" si="19"/>
        <v>8800</v>
      </c>
      <c r="AI105" s="25">
        <f t="shared" si="20"/>
        <v>170</v>
      </c>
      <c r="AJ105" s="25">
        <v>1</v>
      </c>
      <c r="AK105" s="25">
        <v>1000</v>
      </c>
      <c r="AL105" s="25">
        <v>100</v>
      </c>
      <c r="AM105" s="26">
        <v>10</v>
      </c>
      <c r="AN105" s="26">
        <v>10</v>
      </c>
      <c r="AO105" s="22" t="s">
        <v>2211</v>
      </c>
      <c r="AP105" s="26">
        <v>0</v>
      </c>
      <c r="AQ105" s="26">
        <f t="shared" si="21"/>
        <v>900</v>
      </c>
      <c r="AR105" s="18" t="str">
        <f ca="1">CONCATENATE(OFFSET(Sheet1!$A$2,RANDBETWEEN(2,500),0,1,1),OFFSET(Sheet1!$A$2,RANDBETWEEN(2,500),RANDBETWEEN(1,5),1,1))</f>
        <v>克洛宁</v>
      </c>
      <c r="AS105">
        <f>SUMPRODUCT(P105:AI105,Sheet2!$B$3:$U$3)</f>
        <v>607151</v>
      </c>
    </row>
    <row r="106" spans="1:45" x14ac:dyDescent="0.15">
      <c r="A106" s="23">
        <v>105</v>
      </c>
      <c r="B106" s="18" t="s">
        <v>180</v>
      </c>
      <c r="C106" s="18">
        <f t="shared" si="11"/>
        <v>234</v>
      </c>
      <c r="D106" s="19">
        <f t="shared" si="12"/>
        <v>3</v>
      </c>
      <c r="E106" s="19">
        <f>VLOOKUP(MOD(A106,4),各职业基础配置!C$32:D$35,2,FALSE)</f>
        <v>3</v>
      </c>
      <c r="F106" s="19">
        <f>IF(A106&lt;900,INDEX(各职业基础配置!C$23:C$28,MOD(ROW(A106),4)+1),0)</f>
        <v>14</v>
      </c>
      <c r="G106" s="19">
        <f t="shared" si="13"/>
        <v>168</v>
      </c>
      <c r="H106" s="27">
        <f t="shared" si="14"/>
        <v>3</v>
      </c>
      <c r="I106" s="6" t="s">
        <v>164</v>
      </c>
      <c r="J106" s="23" t="str">
        <f>VLOOKUP(E106,各职业基础配置!$B$9:$C$12,2,FALSE)</f>
        <v>106|107|108|4201|110</v>
      </c>
      <c r="K106" s="18" t="str">
        <f>VLOOKUP(E106,各职业基础配置!$B$15:$C$18,2,FALSE)</f>
        <v>20|21|22|23</v>
      </c>
      <c r="L106" s="18" t="str">
        <f>VLOOKUP(E106,各职业基础配置!B:C,2,FALSE)</f>
        <v>[{20,1,1},{21,1,1},{22,1,1},{23,1,1},{4,1,1},{5,1,1},{6,1,1}]</v>
      </c>
      <c r="M106" s="18">
        <v>0</v>
      </c>
      <c r="N106" s="18">
        <f t="shared" si="15"/>
        <v>7</v>
      </c>
      <c r="O106" s="18">
        <f>SUMPRODUCT(P106:AI106,Sheet2!$B$3:$U$3)</f>
        <v>607126</v>
      </c>
      <c r="P106" s="18">
        <f>CEILING(INDEX([1]系统模型!$VD:$VD,MATCH(C106,[1]系统模型!$A:$A,0))*POWER(C106/220,3.8)-50+(1000-A106),1)</f>
        <v>12786</v>
      </c>
      <c r="Q106" s="18">
        <f>CEILING(INDEX([1]系统模型!$VE:$VE,MATCH(C106,[1]系统模型!$A:$A,0))*POWER(C106/220,4),1)</f>
        <v>2551</v>
      </c>
      <c r="R106" s="18">
        <f>INT(INDEX([1]系统模型!$VF:$VF,MATCH(C106,[1]系统模型!$A:$A,0))*MAX(POWER(C106/180,4),0.5))</f>
        <v>145801</v>
      </c>
      <c r="S106" s="5">
        <v>1000</v>
      </c>
      <c r="T106" s="25">
        <v>0</v>
      </c>
      <c r="U106" s="25">
        <v>0</v>
      </c>
      <c r="V106" s="25">
        <v>0</v>
      </c>
      <c r="W106" s="25">
        <v>0</v>
      </c>
      <c r="X106" s="25">
        <f t="shared" si="16"/>
        <v>7290</v>
      </c>
      <c r="Y106" s="12">
        <v>0</v>
      </c>
      <c r="Z106" s="25">
        <v>100</v>
      </c>
      <c r="AA106" s="25">
        <v>150</v>
      </c>
      <c r="AB106" s="25">
        <v>0</v>
      </c>
      <c r="AC106" s="25">
        <v>0</v>
      </c>
      <c r="AD106" s="25">
        <v>0</v>
      </c>
      <c r="AE106" s="25">
        <f t="shared" si="17"/>
        <v>468</v>
      </c>
      <c r="AF106" s="25">
        <f t="shared" si="18"/>
        <v>468</v>
      </c>
      <c r="AG106" s="25">
        <v>0</v>
      </c>
      <c r="AH106" s="25">
        <f t="shared" si="19"/>
        <v>8800</v>
      </c>
      <c r="AI106" s="25">
        <f t="shared" si="20"/>
        <v>170</v>
      </c>
      <c r="AJ106" s="25">
        <v>1</v>
      </c>
      <c r="AK106" s="25">
        <v>1000</v>
      </c>
      <c r="AL106" s="25">
        <v>100</v>
      </c>
      <c r="AM106" s="26">
        <v>10</v>
      </c>
      <c r="AN106" s="26">
        <v>10</v>
      </c>
      <c r="AO106" s="22" t="s">
        <v>2211</v>
      </c>
      <c r="AP106" s="26">
        <v>0</v>
      </c>
      <c r="AQ106" s="26">
        <f t="shared" si="21"/>
        <v>900</v>
      </c>
      <c r="AR106" s="18" t="str">
        <f ca="1">CONCATENATE(OFFSET(Sheet1!$A$2,RANDBETWEEN(2,500),0,1,1),OFFSET(Sheet1!$A$2,RANDBETWEEN(2,500),RANDBETWEEN(1,5),1,1))</f>
        <v>坎伯兰</v>
      </c>
      <c r="AS106">
        <f>SUMPRODUCT(P106:AI106,Sheet2!$B$3:$U$3)</f>
        <v>607126</v>
      </c>
    </row>
    <row r="107" spans="1:45" x14ac:dyDescent="0.15">
      <c r="A107" s="18">
        <v>106</v>
      </c>
      <c r="B107" s="18" t="s">
        <v>1881</v>
      </c>
      <c r="C107" s="18">
        <f t="shared" si="11"/>
        <v>234</v>
      </c>
      <c r="D107" s="19">
        <f t="shared" si="12"/>
        <v>2</v>
      </c>
      <c r="E107" s="19">
        <f>VLOOKUP(MOD(A107,4),各职业基础配置!C$32:D$35,2,FALSE)</f>
        <v>6</v>
      </c>
      <c r="F107" s="19">
        <f>IF(A107&lt;900,INDEX(各职业基础配置!C$23:C$28,MOD(ROW(A107),4)+1),0)</f>
        <v>16</v>
      </c>
      <c r="G107" s="19">
        <f t="shared" si="13"/>
        <v>168</v>
      </c>
      <c r="H107" s="27">
        <f t="shared" si="14"/>
        <v>3</v>
      </c>
      <c r="I107" s="6" t="s">
        <v>164</v>
      </c>
      <c r="J107" s="23" t="str">
        <f>VLOOKUP(E107,各职业基础配置!$B$9:$C$12,2,FALSE)</f>
        <v>111|112|113|4201|115</v>
      </c>
      <c r="K107" s="18" t="str">
        <f>VLOOKUP(E107,各职业基础配置!$B$15:$C$18,2,FALSE)</f>
        <v>32|33|34</v>
      </c>
      <c r="L107" s="18" t="str">
        <f>VLOOKUP(E107,各职业基础配置!B:C,2,FALSE)</f>
        <v>[{32,1,1},{33,1,1},{34,1,1},{35,1,1},{7,1,1},{8,1,1},{9,1,1}]</v>
      </c>
      <c r="M107" s="18">
        <v>0</v>
      </c>
      <c r="N107" s="18">
        <f t="shared" si="15"/>
        <v>7</v>
      </c>
      <c r="O107" s="18">
        <f>SUMPRODUCT(P107:AI107,Sheet2!$B$3:$U$3)</f>
        <v>607101</v>
      </c>
      <c r="P107" s="18">
        <f>CEILING(INDEX([1]系统模型!$VD:$VD,MATCH(C107,[1]系统模型!$A:$A,0))*POWER(C107/220,3.8)-50+(1000-A107),1)</f>
        <v>12785</v>
      </c>
      <c r="Q107" s="18">
        <f>CEILING(INDEX([1]系统模型!$VE:$VE,MATCH(C107,[1]系统模型!$A:$A,0))*POWER(C107/220,4),1)</f>
        <v>2551</v>
      </c>
      <c r="R107" s="18">
        <f>INT(INDEX([1]系统模型!$VF:$VF,MATCH(C107,[1]系统模型!$A:$A,0))*MAX(POWER(C107/180,4),0.5))</f>
        <v>145801</v>
      </c>
      <c r="S107" s="5">
        <v>1000</v>
      </c>
      <c r="T107" s="25">
        <v>0</v>
      </c>
      <c r="U107" s="25">
        <v>0</v>
      </c>
      <c r="V107" s="25">
        <v>0</v>
      </c>
      <c r="W107" s="25">
        <v>0</v>
      </c>
      <c r="X107" s="25">
        <f t="shared" si="16"/>
        <v>7290</v>
      </c>
      <c r="Y107" s="12">
        <v>0</v>
      </c>
      <c r="Z107" s="25">
        <v>100</v>
      </c>
      <c r="AA107" s="25">
        <v>150</v>
      </c>
      <c r="AB107" s="25">
        <v>0</v>
      </c>
      <c r="AC107" s="25">
        <v>0</v>
      </c>
      <c r="AD107" s="25">
        <v>0</v>
      </c>
      <c r="AE107" s="25">
        <f t="shared" si="17"/>
        <v>468</v>
      </c>
      <c r="AF107" s="25">
        <f t="shared" si="18"/>
        <v>468</v>
      </c>
      <c r="AG107" s="25">
        <v>0</v>
      </c>
      <c r="AH107" s="25">
        <f t="shared" si="19"/>
        <v>8800</v>
      </c>
      <c r="AI107" s="25">
        <f t="shared" si="20"/>
        <v>170</v>
      </c>
      <c r="AJ107" s="25">
        <v>1</v>
      </c>
      <c r="AK107" s="25">
        <v>1000</v>
      </c>
      <c r="AL107" s="25">
        <v>100</v>
      </c>
      <c r="AM107" s="26">
        <v>10</v>
      </c>
      <c r="AN107" s="26">
        <v>10</v>
      </c>
      <c r="AO107" s="22" t="s">
        <v>2211</v>
      </c>
      <c r="AP107" s="26">
        <v>0</v>
      </c>
      <c r="AQ107" s="26">
        <f t="shared" si="21"/>
        <v>900</v>
      </c>
      <c r="AR107" s="18" t="str">
        <f ca="1">CONCATENATE(OFFSET(Sheet1!$A$2,RANDBETWEEN(2,500),0,1,1),OFFSET(Sheet1!$A$2,RANDBETWEEN(2,500),RANDBETWEEN(1,5),1,1))</f>
        <v>法兰西斯</v>
      </c>
      <c r="AS107">
        <f>SUMPRODUCT(P107:AI107,Sheet2!$B$3:$U$3)</f>
        <v>607101</v>
      </c>
    </row>
    <row r="108" spans="1:45" x14ac:dyDescent="0.15">
      <c r="A108" s="18">
        <v>107</v>
      </c>
      <c r="B108" s="18" t="s">
        <v>537</v>
      </c>
      <c r="C108" s="18">
        <f t="shared" si="11"/>
        <v>234</v>
      </c>
      <c r="D108" s="19">
        <f t="shared" si="12"/>
        <v>3</v>
      </c>
      <c r="E108" s="19">
        <f>VLOOKUP(MOD(A108,4),各职业基础配置!C$32:D$35,2,FALSE)</f>
        <v>9</v>
      </c>
      <c r="F108" s="19">
        <f>IF(A108&lt;900,INDEX(各职业基础配置!C$23:C$28,MOD(ROW(A108),4)+1),0)</f>
        <v>8</v>
      </c>
      <c r="G108" s="19">
        <f t="shared" si="13"/>
        <v>168</v>
      </c>
      <c r="H108" s="27">
        <f t="shared" si="14"/>
        <v>3</v>
      </c>
      <c r="I108" s="6" t="s">
        <v>164</v>
      </c>
      <c r="J108" s="23" t="str">
        <f>VLOOKUP(E108,各职业基础配置!$B$9:$C$12,2,FALSE)</f>
        <v>116|117|118|4201|120</v>
      </c>
      <c r="K108" s="18" t="str">
        <f>VLOOKUP(E108,各职业基础配置!$B$15:$C$18,2,FALSE)</f>
        <v>28|29|30|31</v>
      </c>
      <c r="L108" s="18" t="str">
        <f>VLOOKUP(E108,各职业基础配置!B:C,2,FALSE)</f>
        <v>[{28,1,1},{29,1,1},{30,1,1},{31,1,1},{10,1,1},{11,1,1},{12,1,1}]</v>
      </c>
      <c r="M108" s="18">
        <v>0</v>
      </c>
      <c r="N108" s="18">
        <f t="shared" si="15"/>
        <v>3</v>
      </c>
      <c r="O108" s="18">
        <f>SUMPRODUCT(P108:AI108,Sheet2!$B$3:$U$3)</f>
        <v>607076</v>
      </c>
      <c r="P108" s="18">
        <f>CEILING(INDEX([1]系统模型!$VD:$VD,MATCH(C108,[1]系统模型!$A:$A,0))*POWER(C108/220,3.8)-50+(1000-A108),1)</f>
        <v>12784</v>
      </c>
      <c r="Q108" s="18">
        <f>CEILING(INDEX([1]系统模型!$VE:$VE,MATCH(C108,[1]系统模型!$A:$A,0))*POWER(C108/220,4),1)</f>
        <v>2551</v>
      </c>
      <c r="R108" s="18">
        <f>INT(INDEX([1]系统模型!$VF:$VF,MATCH(C108,[1]系统模型!$A:$A,0))*MAX(POWER(C108/180,4),0.5))</f>
        <v>145801</v>
      </c>
      <c r="S108" s="5">
        <v>1000</v>
      </c>
      <c r="T108" s="25">
        <v>0</v>
      </c>
      <c r="U108" s="25">
        <v>0</v>
      </c>
      <c r="V108" s="25">
        <v>0</v>
      </c>
      <c r="W108" s="25">
        <v>0</v>
      </c>
      <c r="X108" s="25">
        <f t="shared" si="16"/>
        <v>7290</v>
      </c>
      <c r="Y108" s="12">
        <v>0</v>
      </c>
      <c r="Z108" s="25">
        <v>100</v>
      </c>
      <c r="AA108" s="25">
        <v>150</v>
      </c>
      <c r="AB108" s="25">
        <v>0</v>
      </c>
      <c r="AC108" s="25">
        <v>0</v>
      </c>
      <c r="AD108" s="25">
        <v>0</v>
      </c>
      <c r="AE108" s="25">
        <f t="shared" si="17"/>
        <v>468</v>
      </c>
      <c r="AF108" s="25">
        <f t="shared" si="18"/>
        <v>468</v>
      </c>
      <c r="AG108" s="25">
        <v>0</v>
      </c>
      <c r="AH108" s="25">
        <f t="shared" si="19"/>
        <v>8800</v>
      </c>
      <c r="AI108" s="25">
        <f t="shared" si="20"/>
        <v>170</v>
      </c>
      <c r="AJ108" s="25">
        <v>1</v>
      </c>
      <c r="AK108" s="25">
        <v>1000</v>
      </c>
      <c r="AL108" s="25">
        <v>100</v>
      </c>
      <c r="AM108" s="26">
        <v>10</v>
      </c>
      <c r="AN108" s="26">
        <v>10</v>
      </c>
      <c r="AO108" s="22" t="s">
        <v>2211</v>
      </c>
      <c r="AP108" s="26">
        <v>0</v>
      </c>
      <c r="AQ108" s="26">
        <f t="shared" si="21"/>
        <v>900</v>
      </c>
      <c r="AR108" s="18" t="str">
        <f ca="1">CONCATENATE(OFFSET(Sheet1!$A$2,RANDBETWEEN(2,500),0,1,1),OFFSET(Sheet1!$A$2,RANDBETWEEN(2,500),RANDBETWEEN(1,5),1,1))</f>
        <v>康尼莉达</v>
      </c>
      <c r="AS108">
        <f>SUMPRODUCT(P108:AI108,Sheet2!$B$3:$U$3)</f>
        <v>607076</v>
      </c>
    </row>
    <row r="109" spans="1:45" x14ac:dyDescent="0.15">
      <c r="A109" s="23">
        <v>108</v>
      </c>
      <c r="B109" s="18" t="s">
        <v>222</v>
      </c>
      <c r="C109" s="18">
        <f t="shared" si="11"/>
        <v>234</v>
      </c>
      <c r="D109" s="19">
        <f t="shared" si="12"/>
        <v>2</v>
      </c>
      <c r="E109" s="19">
        <f>VLOOKUP(MOD(A109,4),各职业基础配置!C$32:D$35,2,FALSE)</f>
        <v>1</v>
      </c>
      <c r="F109" s="19">
        <f>IF(A109&lt;900,INDEX(各职业基础配置!C$23:C$28,MOD(ROW(A109),4)+1),0)</f>
        <v>13</v>
      </c>
      <c r="G109" s="19">
        <f t="shared" si="13"/>
        <v>168</v>
      </c>
      <c r="H109" s="27">
        <f t="shared" si="14"/>
        <v>3</v>
      </c>
      <c r="I109" s="6" t="s">
        <v>164</v>
      </c>
      <c r="J109" s="23" t="str">
        <f>VLOOKUP(E109,各职业基础配置!$B$9:$C$12,2,FALSE)</f>
        <v>101|102|103|4201|105</v>
      </c>
      <c r="K109" s="18" t="str">
        <f>VLOOKUP(E109,各职业基础配置!$B$15:$C$18,2,FALSE)</f>
        <v>24|25|26|27</v>
      </c>
      <c r="L109" s="18" t="str">
        <f>VLOOKUP(E109,各职业基础配置!B:C,2,FALSE)</f>
        <v>[{24,1,1},{25,1,1},{26,1,1},{27,1,1},{1,1,1},{2,1,1},{3,1,1}]</v>
      </c>
      <c r="M109" s="18">
        <v>0</v>
      </c>
      <c r="N109" s="18">
        <f t="shared" si="15"/>
        <v>3</v>
      </c>
      <c r="O109" s="18">
        <f>SUMPRODUCT(P109:AI109,Sheet2!$B$3:$U$3)</f>
        <v>607051</v>
      </c>
      <c r="P109" s="18">
        <f>CEILING(INDEX([1]系统模型!$VD:$VD,MATCH(C109,[1]系统模型!$A:$A,0))*POWER(C109/220,3.8)-50+(1000-A109),1)</f>
        <v>12783</v>
      </c>
      <c r="Q109" s="18">
        <f>CEILING(INDEX([1]系统模型!$VE:$VE,MATCH(C109,[1]系统模型!$A:$A,0))*POWER(C109/220,4),1)</f>
        <v>2551</v>
      </c>
      <c r="R109" s="18">
        <f>INT(INDEX([1]系统模型!$VF:$VF,MATCH(C109,[1]系统模型!$A:$A,0))*MAX(POWER(C109/180,4),0.5))</f>
        <v>145801</v>
      </c>
      <c r="S109" s="5">
        <v>1000</v>
      </c>
      <c r="T109" s="25">
        <v>0</v>
      </c>
      <c r="U109" s="25">
        <v>0</v>
      </c>
      <c r="V109" s="25">
        <v>0</v>
      </c>
      <c r="W109" s="25">
        <v>0</v>
      </c>
      <c r="X109" s="25">
        <f t="shared" si="16"/>
        <v>7290</v>
      </c>
      <c r="Y109" s="12">
        <v>0</v>
      </c>
      <c r="Z109" s="25">
        <v>100</v>
      </c>
      <c r="AA109" s="25">
        <v>150</v>
      </c>
      <c r="AB109" s="25">
        <v>0</v>
      </c>
      <c r="AC109" s="25">
        <v>0</v>
      </c>
      <c r="AD109" s="25">
        <v>0</v>
      </c>
      <c r="AE109" s="25">
        <f t="shared" si="17"/>
        <v>468</v>
      </c>
      <c r="AF109" s="25">
        <f t="shared" si="18"/>
        <v>468</v>
      </c>
      <c r="AG109" s="25">
        <v>0</v>
      </c>
      <c r="AH109" s="25">
        <f t="shared" si="19"/>
        <v>8800</v>
      </c>
      <c r="AI109" s="25">
        <f t="shared" si="20"/>
        <v>170</v>
      </c>
      <c r="AJ109" s="25">
        <v>1</v>
      </c>
      <c r="AK109" s="25">
        <v>1000</v>
      </c>
      <c r="AL109" s="25">
        <v>100</v>
      </c>
      <c r="AM109" s="26">
        <v>10</v>
      </c>
      <c r="AN109" s="26">
        <v>10</v>
      </c>
      <c r="AO109" s="22" t="s">
        <v>2211</v>
      </c>
      <c r="AP109" s="26">
        <v>0</v>
      </c>
      <c r="AQ109" s="26">
        <f t="shared" si="21"/>
        <v>890</v>
      </c>
      <c r="AR109" s="18" t="str">
        <f ca="1">CONCATENATE(OFFSET(Sheet1!$A$2,RANDBETWEEN(2,500),0,1,1),OFFSET(Sheet1!$A$2,RANDBETWEEN(2,500),RANDBETWEEN(1,5),1,1))</f>
        <v>胡佛弗朗西斯</v>
      </c>
      <c r="AS109">
        <f>SUMPRODUCT(P109:AI109,Sheet2!$B$3:$U$3)</f>
        <v>607051</v>
      </c>
    </row>
    <row r="110" spans="1:45" x14ac:dyDescent="0.15">
      <c r="A110" s="18">
        <v>109</v>
      </c>
      <c r="B110" s="18" t="s">
        <v>1882</v>
      </c>
      <c r="C110" s="18">
        <f t="shared" si="11"/>
        <v>233</v>
      </c>
      <c r="D110" s="19">
        <f t="shared" si="12"/>
        <v>3</v>
      </c>
      <c r="E110" s="19">
        <f>VLOOKUP(MOD(A110,4),各职业基础配置!C$32:D$35,2,FALSE)</f>
        <v>3</v>
      </c>
      <c r="F110" s="19">
        <f>IF(A110&lt;900,INDEX(各职业基础配置!C$23:C$28,MOD(ROW(A110),4)+1),0)</f>
        <v>14</v>
      </c>
      <c r="G110" s="19">
        <f t="shared" si="13"/>
        <v>163</v>
      </c>
      <c r="H110" s="27">
        <f t="shared" si="14"/>
        <v>3</v>
      </c>
      <c r="I110" s="6" t="s">
        <v>164</v>
      </c>
      <c r="J110" s="23" t="str">
        <f>VLOOKUP(E110,各职业基础配置!$B$9:$C$12,2,FALSE)</f>
        <v>106|107|108|4201|110</v>
      </c>
      <c r="K110" s="18" t="str">
        <f>VLOOKUP(E110,各职业基础配置!$B$15:$C$18,2,FALSE)</f>
        <v>20|21|22|23</v>
      </c>
      <c r="L110" s="18" t="str">
        <f>VLOOKUP(E110,各职业基础配置!B:C,2,FALSE)</f>
        <v>[{20,1,1},{21,1,1},{22,1,1},{23,1,1},{4,1,1},{5,1,1},{6,1,1}]</v>
      </c>
      <c r="M110" s="18">
        <v>0</v>
      </c>
      <c r="N110" s="18">
        <f t="shared" si="15"/>
        <v>7</v>
      </c>
      <c r="O110" s="18">
        <f>SUMPRODUCT(P110:AI110,Sheet2!$B$3:$U$3)</f>
        <v>595774</v>
      </c>
      <c r="P110" s="18">
        <f>CEILING(INDEX([1]系统模型!$VD:$VD,MATCH(C110,[1]系统模型!$A:$A,0))*POWER(C110/220,3.8)-50+(1000-A110),1)</f>
        <v>12552</v>
      </c>
      <c r="Q110" s="18">
        <f>CEILING(INDEX([1]系统模型!$VE:$VE,MATCH(C110,[1]系统模型!$A:$A,0))*POWER(C110/220,4),1)</f>
        <v>2485</v>
      </c>
      <c r="R110" s="18">
        <f>INT(INDEX([1]系统模型!$VF:$VF,MATCH(C110,[1]系统模型!$A:$A,0))*MAX(POWER(C110/180,4),0.5))</f>
        <v>142499</v>
      </c>
      <c r="S110" s="5">
        <v>1000</v>
      </c>
      <c r="T110" s="25">
        <v>0</v>
      </c>
      <c r="U110" s="25">
        <v>0</v>
      </c>
      <c r="V110" s="25">
        <v>0</v>
      </c>
      <c r="W110" s="25">
        <v>0</v>
      </c>
      <c r="X110" s="25">
        <f t="shared" si="16"/>
        <v>7124</v>
      </c>
      <c r="Y110" s="12">
        <v>0</v>
      </c>
      <c r="Z110" s="25">
        <v>100</v>
      </c>
      <c r="AA110" s="25">
        <v>150</v>
      </c>
      <c r="AB110" s="25">
        <v>0</v>
      </c>
      <c r="AC110" s="25">
        <v>0</v>
      </c>
      <c r="AD110" s="25">
        <v>0</v>
      </c>
      <c r="AE110" s="25">
        <f t="shared" si="17"/>
        <v>466</v>
      </c>
      <c r="AF110" s="25">
        <f t="shared" si="18"/>
        <v>466</v>
      </c>
      <c r="AG110" s="25">
        <v>0</v>
      </c>
      <c r="AH110" s="25">
        <f t="shared" si="19"/>
        <v>8725</v>
      </c>
      <c r="AI110" s="25">
        <f t="shared" si="20"/>
        <v>167</v>
      </c>
      <c r="AJ110" s="25">
        <v>1</v>
      </c>
      <c r="AK110" s="25">
        <v>1000</v>
      </c>
      <c r="AL110" s="25">
        <v>100</v>
      </c>
      <c r="AM110" s="26">
        <v>10</v>
      </c>
      <c r="AN110" s="26">
        <v>10</v>
      </c>
      <c r="AO110" s="22" t="s">
        <v>2211</v>
      </c>
      <c r="AP110" s="26">
        <v>0</v>
      </c>
      <c r="AQ110" s="26">
        <f t="shared" si="21"/>
        <v>890</v>
      </c>
      <c r="AR110" s="18" t="str">
        <f ca="1">CONCATENATE(OFFSET(Sheet1!$A$2,RANDBETWEEN(2,500),0,1,1),OFFSET(Sheet1!$A$2,RANDBETWEEN(2,500),RANDBETWEEN(1,5),1,1))</f>
        <v>赫士列特</v>
      </c>
      <c r="AS110">
        <f>SUMPRODUCT(P110:AI110,Sheet2!$B$3:$U$3)</f>
        <v>595774</v>
      </c>
    </row>
    <row r="111" spans="1:45" x14ac:dyDescent="0.15">
      <c r="A111" s="18">
        <v>110</v>
      </c>
      <c r="B111" s="18" t="s">
        <v>501</v>
      </c>
      <c r="C111" s="18">
        <f t="shared" si="11"/>
        <v>233</v>
      </c>
      <c r="D111" s="19">
        <f t="shared" si="12"/>
        <v>2</v>
      </c>
      <c r="E111" s="19">
        <f>VLOOKUP(MOD(A111,4),各职业基础配置!C$32:D$35,2,FALSE)</f>
        <v>6</v>
      </c>
      <c r="F111" s="19">
        <f>IF(A111&lt;900,INDEX(各职业基础配置!C$23:C$28,MOD(ROW(A111),4)+1),0)</f>
        <v>16</v>
      </c>
      <c r="G111" s="19">
        <f t="shared" si="13"/>
        <v>163</v>
      </c>
      <c r="H111" s="27">
        <f t="shared" si="14"/>
        <v>3</v>
      </c>
      <c r="I111" s="6" t="s">
        <v>164</v>
      </c>
      <c r="J111" s="23" t="str">
        <f>VLOOKUP(E111,各职业基础配置!$B$9:$C$12,2,FALSE)</f>
        <v>111|112|113|4201|115</v>
      </c>
      <c r="K111" s="18" t="str">
        <f>VLOOKUP(E111,各职业基础配置!$B$15:$C$18,2,FALSE)</f>
        <v>32|33|34</v>
      </c>
      <c r="L111" s="18" t="str">
        <f>VLOOKUP(E111,各职业基础配置!B:C,2,FALSE)</f>
        <v>[{32,1,1},{33,1,1},{34,1,1},{35,1,1},{7,1,1},{8,1,1},{9,1,1}]</v>
      </c>
      <c r="M111" s="18">
        <v>0</v>
      </c>
      <c r="N111" s="18">
        <f t="shared" si="15"/>
        <v>7</v>
      </c>
      <c r="O111" s="18">
        <f>SUMPRODUCT(P111:AI111,Sheet2!$B$3:$U$3)</f>
        <v>595749</v>
      </c>
      <c r="P111" s="18">
        <f>CEILING(INDEX([1]系统模型!$VD:$VD,MATCH(C111,[1]系统模型!$A:$A,0))*POWER(C111/220,3.8)-50+(1000-A111),1)</f>
        <v>12551</v>
      </c>
      <c r="Q111" s="18">
        <f>CEILING(INDEX([1]系统模型!$VE:$VE,MATCH(C111,[1]系统模型!$A:$A,0))*POWER(C111/220,4),1)</f>
        <v>2485</v>
      </c>
      <c r="R111" s="18">
        <f>INT(INDEX([1]系统模型!$VF:$VF,MATCH(C111,[1]系统模型!$A:$A,0))*MAX(POWER(C111/180,4),0.5))</f>
        <v>142499</v>
      </c>
      <c r="S111" s="5">
        <v>1000</v>
      </c>
      <c r="T111" s="25">
        <v>0</v>
      </c>
      <c r="U111" s="25">
        <v>0</v>
      </c>
      <c r="V111" s="25">
        <v>0</v>
      </c>
      <c r="W111" s="25">
        <v>0</v>
      </c>
      <c r="X111" s="25">
        <f t="shared" si="16"/>
        <v>7124</v>
      </c>
      <c r="Y111" s="12">
        <v>0</v>
      </c>
      <c r="Z111" s="25">
        <v>100</v>
      </c>
      <c r="AA111" s="25">
        <v>150</v>
      </c>
      <c r="AB111" s="25">
        <v>0</v>
      </c>
      <c r="AC111" s="25">
        <v>0</v>
      </c>
      <c r="AD111" s="25">
        <v>0</v>
      </c>
      <c r="AE111" s="25">
        <f t="shared" si="17"/>
        <v>466</v>
      </c>
      <c r="AF111" s="25">
        <f t="shared" si="18"/>
        <v>466</v>
      </c>
      <c r="AG111" s="25">
        <v>0</v>
      </c>
      <c r="AH111" s="25">
        <f t="shared" si="19"/>
        <v>8725</v>
      </c>
      <c r="AI111" s="25">
        <f t="shared" si="20"/>
        <v>167</v>
      </c>
      <c r="AJ111" s="25">
        <v>1</v>
      </c>
      <c r="AK111" s="25">
        <v>1000</v>
      </c>
      <c r="AL111" s="25">
        <v>100</v>
      </c>
      <c r="AM111" s="26">
        <v>10</v>
      </c>
      <c r="AN111" s="26">
        <v>10</v>
      </c>
      <c r="AO111" s="22" t="s">
        <v>2211</v>
      </c>
      <c r="AP111" s="26">
        <v>0</v>
      </c>
      <c r="AQ111" s="26">
        <f t="shared" si="21"/>
        <v>890</v>
      </c>
      <c r="AR111" s="18" t="str">
        <f ca="1">CONCATENATE(OFFSET(Sheet1!$A$2,RANDBETWEEN(2,500),0,1,1),OFFSET(Sheet1!$A$2,RANDBETWEEN(2,500),RANDBETWEEN(1,5),1,1))</f>
        <v>哈尔</v>
      </c>
      <c r="AS111">
        <f>SUMPRODUCT(P111:AI111,Sheet2!$B$3:$U$3)</f>
        <v>595749</v>
      </c>
    </row>
    <row r="112" spans="1:45" x14ac:dyDescent="0.15">
      <c r="A112" s="23">
        <v>111</v>
      </c>
      <c r="B112" s="18" t="s">
        <v>913</v>
      </c>
      <c r="C112" s="18">
        <f t="shared" si="11"/>
        <v>233</v>
      </c>
      <c r="D112" s="19">
        <f t="shared" si="12"/>
        <v>3</v>
      </c>
      <c r="E112" s="19">
        <f>VLOOKUP(MOD(A112,4),各职业基础配置!C$32:D$35,2,FALSE)</f>
        <v>9</v>
      </c>
      <c r="F112" s="19">
        <f>IF(A112&lt;900,INDEX(各职业基础配置!C$23:C$28,MOD(ROW(A112),4)+1),0)</f>
        <v>8</v>
      </c>
      <c r="G112" s="19">
        <f t="shared" si="13"/>
        <v>163</v>
      </c>
      <c r="H112" s="27">
        <f t="shared" si="14"/>
        <v>3</v>
      </c>
      <c r="I112" s="6" t="s">
        <v>164</v>
      </c>
      <c r="J112" s="23" t="str">
        <f>VLOOKUP(E112,各职业基础配置!$B$9:$C$12,2,FALSE)</f>
        <v>116|117|118|4201|120</v>
      </c>
      <c r="K112" s="18" t="str">
        <f>VLOOKUP(E112,各职业基础配置!$B$15:$C$18,2,FALSE)</f>
        <v>28|29|30|31</v>
      </c>
      <c r="L112" s="18" t="str">
        <f>VLOOKUP(E112,各职业基础配置!B:C,2,FALSE)</f>
        <v>[{28,1,1},{29,1,1},{30,1,1},{31,1,1},{10,1,1},{11,1,1},{12,1,1}]</v>
      </c>
      <c r="M112" s="18">
        <v>0</v>
      </c>
      <c r="N112" s="18">
        <f t="shared" si="15"/>
        <v>3</v>
      </c>
      <c r="O112" s="18">
        <f>SUMPRODUCT(P112:AI112,Sheet2!$B$3:$U$3)</f>
        <v>595724</v>
      </c>
      <c r="P112" s="18">
        <f>CEILING(INDEX([1]系统模型!$VD:$VD,MATCH(C112,[1]系统模型!$A:$A,0))*POWER(C112/220,3.8)-50+(1000-A112),1)</f>
        <v>12550</v>
      </c>
      <c r="Q112" s="18">
        <f>CEILING(INDEX([1]系统模型!$VE:$VE,MATCH(C112,[1]系统模型!$A:$A,0))*POWER(C112/220,4),1)</f>
        <v>2485</v>
      </c>
      <c r="R112" s="18">
        <f>INT(INDEX([1]系统模型!$VF:$VF,MATCH(C112,[1]系统模型!$A:$A,0))*MAX(POWER(C112/180,4),0.5))</f>
        <v>142499</v>
      </c>
      <c r="S112" s="5">
        <v>1000</v>
      </c>
      <c r="T112" s="25">
        <v>0</v>
      </c>
      <c r="U112" s="25">
        <v>0</v>
      </c>
      <c r="V112" s="25">
        <v>0</v>
      </c>
      <c r="W112" s="25">
        <v>0</v>
      </c>
      <c r="X112" s="25">
        <f t="shared" si="16"/>
        <v>7124</v>
      </c>
      <c r="Y112" s="12">
        <v>0</v>
      </c>
      <c r="Z112" s="25">
        <v>100</v>
      </c>
      <c r="AA112" s="25">
        <v>150</v>
      </c>
      <c r="AB112" s="25">
        <v>0</v>
      </c>
      <c r="AC112" s="25">
        <v>0</v>
      </c>
      <c r="AD112" s="25">
        <v>0</v>
      </c>
      <c r="AE112" s="25">
        <f t="shared" si="17"/>
        <v>466</v>
      </c>
      <c r="AF112" s="25">
        <f t="shared" si="18"/>
        <v>466</v>
      </c>
      <c r="AG112" s="25">
        <v>0</v>
      </c>
      <c r="AH112" s="25">
        <f t="shared" si="19"/>
        <v>8725</v>
      </c>
      <c r="AI112" s="25">
        <f t="shared" si="20"/>
        <v>167</v>
      </c>
      <c r="AJ112" s="25">
        <v>1</v>
      </c>
      <c r="AK112" s="25">
        <v>1000</v>
      </c>
      <c r="AL112" s="25">
        <v>100</v>
      </c>
      <c r="AM112" s="26">
        <v>10</v>
      </c>
      <c r="AN112" s="26">
        <v>10</v>
      </c>
      <c r="AO112" s="22" t="s">
        <v>2211</v>
      </c>
      <c r="AP112" s="26">
        <v>0</v>
      </c>
      <c r="AQ112" s="26">
        <f t="shared" si="21"/>
        <v>890</v>
      </c>
      <c r="AR112" s="18" t="str">
        <f ca="1">CONCATENATE(OFFSET(Sheet1!$A$2,RANDBETWEEN(2,500),0,1,1),OFFSET(Sheet1!$A$2,RANDBETWEEN(2,500),RANDBETWEEN(1,5),1,1))</f>
        <v>卡罗尔金百莉</v>
      </c>
      <c r="AS112">
        <f>SUMPRODUCT(P112:AI112,Sheet2!$B$3:$U$3)</f>
        <v>595724</v>
      </c>
    </row>
    <row r="113" spans="1:45" x14ac:dyDescent="0.15">
      <c r="A113" s="18">
        <v>112</v>
      </c>
      <c r="B113" s="18" t="s">
        <v>1883</v>
      </c>
      <c r="C113" s="18">
        <f t="shared" si="11"/>
        <v>233</v>
      </c>
      <c r="D113" s="19">
        <f t="shared" si="12"/>
        <v>2</v>
      </c>
      <c r="E113" s="19">
        <f>VLOOKUP(MOD(A113,4),各职业基础配置!C$32:D$35,2,FALSE)</f>
        <v>1</v>
      </c>
      <c r="F113" s="19">
        <f>IF(A113&lt;900,INDEX(各职业基础配置!C$23:C$28,MOD(ROW(A113),4)+1),0)</f>
        <v>13</v>
      </c>
      <c r="G113" s="19">
        <f t="shared" si="13"/>
        <v>163</v>
      </c>
      <c r="H113" s="27">
        <f t="shared" si="14"/>
        <v>3</v>
      </c>
      <c r="I113" s="6" t="s">
        <v>164</v>
      </c>
      <c r="J113" s="23" t="str">
        <f>VLOOKUP(E113,各职业基础配置!$B$9:$C$12,2,FALSE)</f>
        <v>101|102|103|4201|105</v>
      </c>
      <c r="K113" s="18" t="str">
        <f>VLOOKUP(E113,各职业基础配置!$B$15:$C$18,2,FALSE)</f>
        <v>24|25|26|27</v>
      </c>
      <c r="L113" s="18" t="str">
        <f>VLOOKUP(E113,各职业基础配置!B:C,2,FALSE)</f>
        <v>[{24,1,1},{25,1,1},{26,1,1},{27,1,1},{1,1,1},{2,1,1},{3,1,1}]</v>
      </c>
      <c r="M113" s="18">
        <v>0</v>
      </c>
      <c r="N113" s="18">
        <f t="shared" si="15"/>
        <v>3</v>
      </c>
      <c r="O113" s="18">
        <f>SUMPRODUCT(P113:AI113,Sheet2!$B$3:$U$3)</f>
        <v>595699</v>
      </c>
      <c r="P113" s="18">
        <f>CEILING(INDEX([1]系统模型!$VD:$VD,MATCH(C113,[1]系统模型!$A:$A,0))*POWER(C113/220,3.8)-50+(1000-A113),1)</f>
        <v>12549</v>
      </c>
      <c r="Q113" s="18">
        <f>CEILING(INDEX([1]系统模型!$VE:$VE,MATCH(C113,[1]系统模型!$A:$A,0))*POWER(C113/220,4),1)</f>
        <v>2485</v>
      </c>
      <c r="R113" s="18">
        <f>INT(INDEX([1]系统模型!$VF:$VF,MATCH(C113,[1]系统模型!$A:$A,0))*MAX(POWER(C113/180,4),0.5))</f>
        <v>142499</v>
      </c>
      <c r="S113" s="5">
        <v>1000</v>
      </c>
      <c r="T113" s="25">
        <v>0</v>
      </c>
      <c r="U113" s="25">
        <v>0</v>
      </c>
      <c r="V113" s="25">
        <v>0</v>
      </c>
      <c r="W113" s="25">
        <v>0</v>
      </c>
      <c r="X113" s="25">
        <f t="shared" si="16"/>
        <v>7124</v>
      </c>
      <c r="Y113" s="12">
        <v>0</v>
      </c>
      <c r="Z113" s="25">
        <v>100</v>
      </c>
      <c r="AA113" s="25">
        <v>150</v>
      </c>
      <c r="AB113" s="25">
        <v>0</v>
      </c>
      <c r="AC113" s="25">
        <v>0</v>
      </c>
      <c r="AD113" s="25">
        <v>0</v>
      </c>
      <c r="AE113" s="25">
        <f t="shared" si="17"/>
        <v>466</v>
      </c>
      <c r="AF113" s="25">
        <f t="shared" si="18"/>
        <v>466</v>
      </c>
      <c r="AG113" s="25">
        <v>0</v>
      </c>
      <c r="AH113" s="25">
        <f t="shared" si="19"/>
        <v>8725</v>
      </c>
      <c r="AI113" s="25">
        <f t="shared" si="20"/>
        <v>167</v>
      </c>
      <c r="AJ113" s="25">
        <v>1</v>
      </c>
      <c r="AK113" s="25">
        <v>1000</v>
      </c>
      <c r="AL113" s="25">
        <v>100</v>
      </c>
      <c r="AM113" s="26">
        <v>10</v>
      </c>
      <c r="AN113" s="26">
        <v>10</v>
      </c>
      <c r="AO113" s="22" t="s">
        <v>2211</v>
      </c>
      <c r="AP113" s="26">
        <v>0</v>
      </c>
      <c r="AQ113" s="26">
        <f t="shared" si="21"/>
        <v>890</v>
      </c>
      <c r="AR113" s="18" t="str">
        <f ca="1">CONCATENATE(OFFSET(Sheet1!$A$2,RANDBETWEEN(2,500),0,1,1),OFFSET(Sheet1!$A$2,RANDBETWEEN(2,500),RANDBETWEEN(1,5),1,1))</f>
        <v>卡尔欧尔佳</v>
      </c>
      <c r="AS113">
        <f>SUMPRODUCT(P113:AI113,Sheet2!$B$3:$U$3)</f>
        <v>595699</v>
      </c>
    </row>
    <row r="114" spans="1:45" x14ac:dyDescent="0.15">
      <c r="A114" s="18">
        <v>113</v>
      </c>
      <c r="B114" s="18" t="s">
        <v>1884</v>
      </c>
      <c r="C114" s="18">
        <f t="shared" si="11"/>
        <v>233</v>
      </c>
      <c r="D114" s="19">
        <f t="shared" si="12"/>
        <v>3</v>
      </c>
      <c r="E114" s="19">
        <f>VLOOKUP(MOD(A114,4),各职业基础配置!C$32:D$35,2,FALSE)</f>
        <v>3</v>
      </c>
      <c r="F114" s="19">
        <f>IF(A114&lt;900,INDEX(各职业基础配置!C$23:C$28,MOD(ROW(A114),4)+1),0)</f>
        <v>14</v>
      </c>
      <c r="G114" s="19">
        <f t="shared" si="13"/>
        <v>163</v>
      </c>
      <c r="H114" s="27">
        <f t="shared" si="14"/>
        <v>3</v>
      </c>
      <c r="I114" s="6" t="s">
        <v>164</v>
      </c>
      <c r="J114" s="23" t="str">
        <f>VLOOKUP(E114,各职业基础配置!$B$9:$C$12,2,FALSE)</f>
        <v>106|107|108|4201|110</v>
      </c>
      <c r="K114" s="18" t="str">
        <f>VLOOKUP(E114,各职业基础配置!$B$15:$C$18,2,FALSE)</f>
        <v>20|21|22|23</v>
      </c>
      <c r="L114" s="18" t="str">
        <f>VLOOKUP(E114,各职业基础配置!B:C,2,FALSE)</f>
        <v>[{20,1,1},{21,1,1},{22,1,1},{23,1,1},{4,1,1},{5,1,1},{6,1,1}]</v>
      </c>
      <c r="M114" s="18">
        <v>0</v>
      </c>
      <c r="N114" s="18">
        <f t="shared" si="15"/>
        <v>7</v>
      </c>
      <c r="O114" s="18">
        <f>SUMPRODUCT(P114:AI114,Sheet2!$B$3:$U$3)</f>
        <v>595674</v>
      </c>
      <c r="P114" s="18">
        <f>CEILING(INDEX([1]系统模型!$VD:$VD,MATCH(C114,[1]系统模型!$A:$A,0))*POWER(C114/220,3.8)-50+(1000-A114),1)</f>
        <v>12548</v>
      </c>
      <c r="Q114" s="18">
        <f>CEILING(INDEX([1]系统模型!$VE:$VE,MATCH(C114,[1]系统模型!$A:$A,0))*POWER(C114/220,4),1)</f>
        <v>2485</v>
      </c>
      <c r="R114" s="18">
        <f>INT(INDEX([1]系统模型!$VF:$VF,MATCH(C114,[1]系统模型!$A:$A,0))*MAX(POWER(C114/180,4),0.5))</f>
        <v>142499</v>
      </c>
      <c r="S114" s="5">
        <v>1000</v>
      </c>
      <c r="T114" s="25">
        <v>0</v>
      </c>
      <c r="U114" s="25">
        <v>0</v>
      </c>
      <c r="V114" s="25">
        <v>0</v>
      </c>
      <c r="W114" s="25">
        <v>0</v>
      </c>
      <c r="X114" s="25">
        <f t="shared" si="16"/>
        <v>7124</v>
      </c>
      <c r="Y114" s="12">
        <v>0</v>
      </c>
      <c r="Z114" s="25">
        <v>100</v>
      </c>
      <c r="AA114" s="25">
        <v>150</v>
      </c>
      <c r="AB114" s="25">
        <v>0</v>
      </c>
      <c r="AC114" s="25">
        <v>0</v>
      </c>
      <c r="AD114" s="25">
        <v>0</v>
      </c>
      <c r="AE114" s="25">
        <f t="shared" si="17"/>
        <v>466</v>
      </c>
      <c r="AF114" s="25">
        <f t="shared" si="18"/>
        <v>466</v>
      </c>
      <c r="AG114" s="25">
        <v>0</v>
      </c>
      <c r="AH114" s="25">
        <f t="shared" si="19"/>
        <v>8725</v>
      </c>
      <c r="AI114" s="25">
        <f t="shared" si="20"/>
        <v>167</v>
      </c>
      <c r="AJ114" s="25">
        <v>1</v>
      </c>
      <c r="AK114" s="25">
        <v>1000</v>
      </c>
      <c r="AL114" s="25">
        <v>100</v>
      </c>
      <c r="AM114" s="26">
        <v>10</v>
      </c>
      <c r="AN114" s="26">
        <v>10</v>
      </c>
      <c r="AO114" s="22" t="s">
        <v>2211</v>
      </c>
      <c r="AP114" s="26">
        <v>0</v>
      </c>
      <c r="AQ114" s="26">
        <f t="shared" si="21"/>
        <v>890</v>
      </c>
      <c r="AR114" s="18" t="str">
        <f ca="1">CONCATENATE(OFFSET(Sheet1!$A$2,RANDBETWEEN(2,500),0,1,1),OFFSET(Sheet1!$A$2,RANDBETWEEN(2,500),RANDBETWEEN(1,5),1,1))</f>
        <v>菲茨杰拉德</v>
      </c>
      <c r="AS114">
        <f>SUMPRODUCT(P114:AI114,Sheet2!$B$3:$U$3)</f>
        <v>595674</v>
      </c>
    </row>
    <row r="115" spans="1:45" x14ac:dyDescent="0.15">
      <c r="A115" s="23">
        <v>114</v>
      </c>
      <c r="B115" s="18" t="s">
        <v>1885</v>
      </c>
      <c r="C115" s="18">
        <f t="shared" si="11"/>
        <v>233</v>
      </c>
      <c r="D115" s="19">
        <f t="shared" si="12"/>
        <v>2</v>
      </c>
      <c r="E115" s="19">
        <f>VLOOKUP(MOD(A115,4),各职业基础配置!C$32:D$35,2,FALSE)</f>
        <v>6</v>
      </c>
      <c r="F115" s="19">
        <f>IF(A115&lt;900,INDEX(各职业基础配置!C$23:C$28,MOD(ROW(A115),4)+1),0)</f>
        <v>16</v>
      </c>
      <c r="G115" s="19">
        <f t="shared" si="13"/>
        <v>163</v>
      </c>
      <c r="H115" s="27">
        <f t="shared" si="14"/>
        <v>3</v>
      </c>
      <c r="I115" s="6" t="s">
        <v>164</v>
      </c>
      <c r="J115" s="23" t="str">
        <f>VLOOKUP(E115,各职业基础配置!$B$9:$C$12,2,FALSE)</f>
        <v>111|112|113|4201|115</v>
      </c>
      <c r="K115" s="18" t="str">
        <f>VLOOKUP(E115,各职业基础配置!$B$15:$C$18,2,FALSE)</f>
        <v>32|33|34</v>
      </c>
      <c r="L115" s="18" t="str">
        <f>VLOOKUP(E115,各职业基础配置!B:C,2,FALSE)</f>
        <v>[{32,1,1},{33,1,1},{34,1,1},{35,1,1},{7,1,1},{8,1,1},{9,1,1}]</v>
      </c>
      <c r="M115" s="18">
        <v>0</v>
      </c>
      <c r="N115" s="18">
        <f t="shared" si="15"/>
        <v>7</v>
      </c>
      <c r="O115" s="18">
        <f>SUMPRODUCT(P115:AI115,Sheet2!$B$3:$U$3)</f>
        <v>595649</v>
      </c>
      <c r="P115" s="18">
        <f>CEILING(INDEX([1]系统模型!$VD:$VD,MATCH(C115,[1]系统模型!$A:$A,0))*POWER(C115/220,3.8)-50+(1000-A115),1)</f>
        <v>12547</v>
      </c>
      <c r="Q115" s="18">
        <f>CEILING(INDEX([1]系统模型!$VE:$VE,MATCH(C115,[1]系统模型!$A:$A,0))*POWER(C115/220,4),1)</f>
        <v>2485</v>
      </c>
      <c r="R115" s="18">
        <f>INT(INDEX([1]系统模型!$VF:$VF,MATCH(C115,[1]系统模型!$A:$A,0))*MAX(POWER(C115/180,4),0.5))</f>
        <v>142499</v>
      </c>
      <c r="S115" s="5">
        <v>1000</v>
      </c>
      <c r="T115" s="25">
        <v>0</v>
      </c>
      <c r="U115" s="25">
        <v>0</v>
      </c>
      <c r="V115" s="25">
        <v>0</v>
      </c>
      <c r="W115" s="25">
        <v>0</v>
      </c>
      <c r="X115" s="25">
        <f t="shared" si="16"/>
        <v>7124</v>
      </c>
      <c r="Y115" s="12">
        <v>0</v>
      </c>
      <c r="Z115" s="25">
        <v>100</v>
      </c>
      <c r="AA115" s="25">
        <v>150</v>
      </c>
      <c r="AB115" s="25">
        <v>0</v>
      </c>
      <c r="AC115" s="25">
        <v>0</v>
      </c>
      <c r="AD115" s="25">
        <v>0</v>
      </c>
      <c r="AE115" s="25">
        <f t="shared" si="17"/>
        <v>466</v>
      </c>
      <c r="AF115" s="25">
        <f t="shared" si="18"/>
        <v>466</v>
      </c>
      <c r="AG115" s="25">
        <v>0</v>
      </c>
      <c r="AH115" s="25">
        <f t="shared" si="19"/>
        <v>8725</v>
      </c>
      <c r="AI115" s="25">
        <f t="shared" si="20"/>
        <v>167</v>
      </c>
      <c r="AJ115" s="25">
        <v>1</v>
      </c>
      <c r="AK115" s="25">
        <v>1000</v>
      </c>
      <c r="AL115" s="25">
        <v>100</v>
      </c>
      <c r="AM115" s="26">
        <v>10</v>
      </c>
      <c r="AN115" s="26">
        <v>10</v>
      </c>
      <c r="AO115" s="22" t="s">
        <v>2211</v>
      </c>
      <c r="AP115" s="26">
        <v>0</v>
      </c>
      <c r="AQ115" s="26">
        <f t="shared" si="21"/>
        <v>890</v>
      </c>
      <c r="AR115" s="18" t="str">
        <f ca="1">CONCATENATE(OFFSET(Sheet1!$A$2,RANDBETWEEN(2,500),0,1,1),OFFSET(Sheet1!$A$2,RANDBETWEEN(2,500),RANDBETWEEN(1,5),1,1))</f>
        <v>布鲁斯特</v>
      </c>
      <c r="AS115">
        <f>SUMPRODUCT(P115:AI115,Sheet2!$B$3:$U$3)</f>
        <v>595649</v>
      </c>
    </row>
    <row r="116" spans="1:45" x14ac:dyDescent="0.15">
      <c r="A116" s="18">
        <v>115</v>
      </c>
      <c r="B116" s="18" t="s">
        <v>1886</v>
      </c>
      <c r="C116" s="18">
        <f t="shared" si="11"/>
        <v>232</v>
      </c>
      <c r="D116" s="19">
        <f t="shared" si="12"/>
        <v>3</v>
      </c>
      <c r="E116" s="19">
        <f>VLOOKUP(MOD(A116,4),各职业基础配置!C$32:D$35,2,FALSE)</f>
        <v>9</v>
      </c>
      <c r="F116" s="19">
        <f>IF(A116&lt;900,INDEX(各职业基础配置!C$23:C$28,MOD(ROW(A116),4)+1),0)</f>
        <v>8</v>
      </c>
      <c r="G116" s="19">
        <f t="shared" si="13"/>
        <v>159</v>
      </c>
      <c r="H116" s="27">
        <f t="shared" si="14"/>
        <v>3</v>
      </c>
      <c r="I116" s="6" t="s">
        <v>164</v>
      </c>
      <c r="J116" s="23" t="str">
        <f>VLOOKUP(E116,各职业基础配置!$B$9:$C$12,2,FALSE)</f>
        <v>116|117|118|4201|120</v>
      </c>
      <c r="K116" s="18" t="str">
        <f>VLOOKUP(E116,各职业基础配置!$B$15:$C$18,2,FALSE)</f>
        <v>28|29|30|31</v>
      </c>
      <c r="L116" s="18" t="str">
        <f>VLOOKUP(E116,各职业基础配置!B:C,2,FALSE)</f>
        <v>[{28,1,1},{29,1,1},{30,1,1},{31,1,1},{10,1,1},{11,1,1},{12,1,1}]</v>
      </c>
      <c r="M116" s="18">
        <v>0</v>
      </c>
      <c r="N116" s="18">
        <f t="shared" si="15"/>
        <v>3</v>
      </c>
      <c r="O116" s="18">
        <f>SUMPRODUCT(P116:AI116,Sheet2!$B$3:$U$3)</f>
        <v>583620</v>
      </c>
      <c r="P116" s="18">
        <f>CEILING(INDEX([1]系统模型!$VD:$VD,MATCH(C116,[1]系统模型!$A:$A,0))*POWER(C116/220,3.8)-50+(1000-A116),1)</f>
        <v>12292</v>
      </c>
      <c r="Q116" s="18">
        <f>CEILING(INDEX([1]系统模型!$VE:$VE,MATCH(C116,[1]系统模型!$A:$A,0))*POWER(C116/220,4),1)</f>
        <v>2422</v>
      </c>
      <c r="R116" s="18">
        <f>INT(INDEX([1]系统模型!$VF:$VF,MATCH(C116,[1]系统模型!$A:$A,0))*MAX(POWER(C116/180,4),0.5))</f>
        <v>138995</v>
      </c>
      <c r="S116" s="5">
        <v>1000</v>
      </c>
      <c r="T116" s="25">
        <v>0</v>
      </c>
      <c r="U116" s="25">
        <v>0</v>
      </c>
      <c r="V116" s="25">
        <v>0</v>
      </c>
      <c r="W116" s="25">
        <v>0</v>
      </c>
      <c r="X116" s="25">
        <f t="shared" si="16"/>
        <v>6949</v>
      </c>
      <c r="Y116" s="12">
        <v>0</v>
      </c>
      <c r="Z116" s="25">
        <v>100</v>
      </c>
      <c r="AA116" s="25">
        <v>150</v>
      </c>
      <c r="AB116" s="25">
        <v>0</v>
      </c>
      <c r="AC116" s="25">
        <v>0</v>
      </c>
      <c r="AD116" s="25">
        <v>0</v>
      </c>
      <c r="AE116" s="25">
        <f t="shared" si="17"/>
        <v>464</v>
      </c>
      <c r="AF116" s="25">
        <f t="shared" si="18"/>
        <v>464</v>
      </c>
      <c r="AG116" s="25">
        <v>0</v>
      </c>
      <c r="AH116" s="25">
        <f t="shared" si="19"/>
        <v>8650</v>
      </c>
      <c r="AI116" s="25">
        <f t="shared" si="20"/>
        <v>163</v>
      </c>
      <c r="AJ116" s="25">
        <v>1</v>
      </c>
      <c r="AK116" s="25">
        <v>1000</v>
      </c>
      <c r="AL116" s="25">
        <v>100</v>
      </c>
      <c r="AM116" s="26">
        <v>10</v>
      </c>
      <c r="AN116" s="26">
        <v>10</v>
      </c>
      <c r="AO116" s="22" t="s">
        <v>2211</v>
      </c>
      <c r="AP116" s="26">
        <v>0</v>
      </c>
      <c r="AQ116" s="26">
        <f t="shared" si="21"/>
        <v>890</v>
      </c>
      <c r="AR116" s="18" t="str">
        <f ca="1">CONCATENATE(OFFSET(Sheet1!$A$2,RANDBETWEEN(2,500),0,1,1),OFFSET(Sheet1!$A$2,RANDBETWEEN(2,500),RANDBETWEEN(1,5),1,1))</f>
        <v>霍齐亚</v>
      </c>
      <c r="AS116">
        <f>SUMPRODUCT(P116:AI116,Sheet2!$B$3:$U$3)</f>
        <v>583620</v>
      </c>
    </row>
    <row r="117" spans="1:45" x14ac:dyDescent="0.15">
      <c r="A117" s="18">
        <v>116</v>
      </c>
      <c r="B117" s="18" t="s">
        <v>1887</v>
      </c>
      <c r="C117" s="18">
        <f t="shared" si="11"/>
        <v>232</v>
      </c>
      <c r="D117" s="19">
        <f t="shared" si="12"/>
        <v>2</v>
      </c>
      <c r="E117" s="19">
        <f>VLOOKUP(MOD(A117,4),各职业基础配置!C$32:D$35,2,FALSE)</f>
        <v>1</v>
      </c>
      <c r="F117" s="19">
        <f>IF(A117&lt;900,INDEX(各职业基础配置!C$23:C$28,MOD(ROW(A117),4)+1),0)</f>
        <v>13</v>
      </c>
      <c r="G117" s="19">
        <f t="shared" si="13"/>
        <v>159</v>
      </c>
      <c r="H117" s="27">
        <f t="shared" si="14"/>
        <v>3</v>
      </c>
      <c r="I117" s="6" t="s">
        <v>164</v>
      </c>
      <c r="J117" s="23" t="str">
        <f>VLOOKUP(E117,各职业基础配置!$B$9:$C$12,2,FALSE)</f>
        <v>101|102|103|4201|105</v>
      </c>
      <c r="K117" s="18" t="str">
        <f>VLOOKUP(E117,各职业基础配置!$B$15:$C$18,2,FALSE)</f>
        <v>24|25|26|27</v>
      </c>
      <c r="L117" s="18" t="str">
        <f>VLOOKUP(E117,各职业基础配置!B:C,2,FALSE)</f>
        <v>[{24,1,1},{25,1,1},{26,1,1},{27,1,1},{1,1,1},{2,1,1},{3,1,1}]</v>
      </c>
      <c r="M117" s="18">
        <v>0</v>
      </c>
      <c r="N117" s="18">
        <f t="shared" si="15"/>
        <v>3</v>
      </c>
      <c r="O117" s="18">
        <f>SUMPRODUCT(P117:AI117,Sheet2!$B$3:$U$3)</f>
        <v>583595</v>
      </c>
      <c r="P117" s="18">
        <f>CEILING(INDEX([1]系统模型!$VD:$VD,MATCH(C117,[1]系统模型!$A:$A,0))*POWER(C117/220,3.8)-50+(1000-A117),1)</f>
        <v>12291</v>
      </c>
      <c r="Q117" s="18">
        <f>CEILING(INDEX([1]系统模型!$VE:$VE,MATCH(C117,[1]系统模型!$A:$A,0))*POWER(C117/220,4),1)</f>
        <v>2422</v>
      </c>
      <c r="R117" s="18">
        <f>INT(INDEX([1]系统模型!$VF:$VF,MATCH(C117,[1]系统模型!$A:$A,0))*MAX(POWER(C117/180,4),0.5))</f>
        <v>138995</v>
      </c>
      <c r="S117" s="5">
        <v>1000</v>
      </c>
      <c r="T117" s="25">
        <v>0</v>
      </c>
      <c r="U117" s="25">
        <v>0</v>
      </c>
      <c r="V117" s="25">
        <v>0</v>
      </c>
      <c r="W117" s="25">
        <v>0</v>
      </c>
      <c r="X117" s="25">
        <f t="shared" si="16"/>
        <v>6949</v>
      </c>
      <c r="Y117" s="12">
        <v>0</v>
      </c>
      <c r="Z117" s="25">
        <v>100</v>
      </c>
      <c r="AA117" s="25">
        <v>150</v>
      </c>
      <c r="AB117" s="25">
        <v>0</v>
      </c>
      <c r="AC117" s="25">
        <v>0</v>
      </c>
      <c r="AD117" s="25">
        <v>0</v>
      </c>
      <c r="AE117" s="25">
        <f t="shared" si="17"/>
        <v>464</v>
      </c>
      <c r="AF117" s="25">
        <f t="shared" si="18"/>
        <v>464</v>
      </c>
      <c r="AG117" s="25">
        <v>0</v>
      </c>
      <c r="AH117" s="25">
        <f t="shared" si="19"/>
        <v>8650</v>
      </c>
      <c r="AI117" s="25">
        <f t="shared" si="20"/>
        <v>163</v>
      </c>
      <c r="AJ117" s="25">
        <v>1</v>
      </c>
      <c r="AK117" s="25">
        <v>1000</v>
      </c>
      <c r="AL117" s="25">
        <v>100</v>
      </c>
      <c r="AM117" s="26">
        <v>10</v>
      </c>
      <c r="AN117" s="26">
        <v>10</v>
      </c>
      <c r="AO117" s="22" t="s">
        <v>2211</v>
      </c>
      <c r="AP117" s="26">
        <v>0</v>
      </c>
      <c r="AQ117" s="26">
        <f t="shared" si="21"/>
        <v>890</v>
      </c>
      <c r="AR117" s="18" t="str">
        <f ca="1">CONCATENATE(OFFSET(Sheet1!$A$2,RANDBETWEEN(2,500),0,1,1),OFFSET(Sheet1!$A$2,RANDBETWEEN(2,500),RANDBETWEEN(1,5),1,1))</f>
        <v>鲍恩</v>
      </c>
      <c r="AS117">
        <f>SUMPRODUCT(P117:AI117,Sheet2!$B$3:$U$3)</f>
        <v>583595</v>
      </c>
    </row>
    <row r="118" spans="1:45" x14ac:dyDescent="0.15">
      <c r="A118" s="23">
        <v>117</v>
      </c>
      <c r="B118" s="18" t="s">
        <v>1190</v>
      </c>
      <c r="C118" s="18">
        <f t="shared" si="11"/>
        <v>232</v>
      </c>
      <c r="D118" s="19">
        <f t="shared" si="12"/>
        <v>3</v>
      </c>
      <c r="E118" s="19">
        <f>VLOOKUP(MOD(A118,4),各职业基础配置!C$32:D$35,2,FALSE)</f>
        <v>3</v>
      </c>
      <c r="F118" s="19">
        <f>IF(A118&lt;900,INDEX(各职业基础配置!C$23:C$28,MOD(ROW(A118),4)+1),0)</f>
        <v>14</v>
      </c>
      <c r="G118" s="19">
        <f t="shared" si="13"/>
        <v>159</v>
      </c>
      <c r="H118" s="27">
        <f t="shared" si="14"/>
        <v>3</v>
      </c>
      <c r="I118" s="6" t="s">
        <v>164</v>
      </c>
      <c r="J118" s="23" t="str">
        <f>VLOOKUP(E118,各职业基础配置!$B$9:$C$12,2,FALSE)</f>
        <v>106|107|108|4201|110</v>
      </c>
      <c r="K118" s="18" t="str">
        <f>VLOOKUP(E118,各职业基础配置!$B$15:$C$18,2,FALSE)</f>
        <v>20|21|22|23</v>
      </c>
      <c r="L118" s="18" t="str">
        <f>VLOOKUP(E118,各职业基础配置!B:C,2,FALSE)</f>
        <v>[{20,1,1},{21,1,1},{22,1,1},{23,1,1},{4,1,1},{5,1,1},{6,1,1}]</v>
      </c>
      <c r="M118" s="18">
        <v>0</v>
      </c>
      <c r="N118" s="18">
        <f t="shared" si="15"/>
        <v>7</v>
      </c>
      <c r="O118" s="18">
        <f>SUMPRODUCT(P118:AI118,Sheet2!$B$3:$U$3)</f>
        <v>583570</v>
      </c>
      <c r="P118" s="18">
        <f>CEILING(INDEX([1]系统模型!$VD:$VD,MATCH(C118,[1]系统模型!$A:$A,0))*POWER(C118/220,3.8)-50+(1000-A118),1)</f>
        <v>12290</v>
      </c>
      <c r="Q118" s="18">
        <f>CEILING(INDEX([1]系统模型!$VE:$VE,MATCH(C118,[1]系统模型!$A:$A,0))*POWER(C118/220,4),1)</f>
        <v>2422</v>
      </c>
      <c r="R118" s="18">
        <f>INT(INDEX([1]系统模型!$VF:$VF,MATCH(C118,[1]系统模型!$A:$A,0))*MAX(POWER(C118/180,4),0.5))</f>
        <v>138995</v>
      </c>
      <c r="S118" s="5">
        <v>1000</v>
      </c>
      <c r="T118" s="25">
        <v>0</v>
      </c>
      <c r="U118" s="25">
        <v>0</v>
      </c>
      <c r="V118" s="25">
        <v>0</v>
      </c>
      <c r="W118" s="25">
        <v>0</v>
      </c>
      <c r="X118" s="25">
        <f t="shared" si="16"/>
        <v>6949</v>
      </c>
      <c r="Y118" s="12">
        <v>0</v>
      </c>
      <c r="Z118" s="25">
        <v>100</v>
      </c>
      <c r="AA118" s="25">
        <v>150</v>
      </c>
      <c r="AB118" s="25">
        <v>0</v>
      </c>
      <c r="AC118" s="25">
        <v>0</v>
      </c>
      <c r="AD118" s="25">
        <v>0</v>
      </c>
      <c r="AE118" s="25">
        <f t="shared" si="17"/>
        <v>464</v>
      </c>
      <c r="AF118" s="25">
        <f t="shared" si="18"/>
        <v>464</v>
      </c>
      <c r="AG118" s="25">
        <v>0</v>
      </c>
      <c r="AH118" s="25">
        <f t="shared" si="19"/>
        <v>8650</v>
      </c>
      <c r="AI118" s="25">
        <f t="shared" si="20"/>
        <v>163</v>
      </c>
      <c r="AJ118" s="25">
        <v>1</v>
      </c>
      <c r="AK118" s="25">
        <v>1000</v>
      </c>
      <c r="AL118" s="25">
        <v>100</v>
      </c>
      <c r="AM118" s="26">
        <v>10</v>
      </c>
      <c r="AN118" s="26">
        <v>10</v>
      </c>
      <c r="AO118" s="22" t="s">
        <v>2211</v>
      </c>
      <c r="AP118" s="26">
        <v>0</v>
      </c>
      <c r="AQ118" s="26">
        <f t="shared" si="21"/>
        <v>890</v>
      </c>
      <c r="AR118" s="18" t="str">
        <f ca="1">CONCATENATE(OFFSET(Sheet1!$A$2,RANDBETWEEN(2,500),0,1,1),OFFSET(Sheet1!$A$2,RANDBETWEEN(2,500),RANDBETWEEN(1,5),1,1))</f>
        <v>勃朗宁</v>
      </c>
      <c r="AS118">
        <f>SUMPRODUCT(P118:AI118,Sheet2!$B$3:$U$3)</f>
        <v>583570</v>
      </c>
    </row>
    <row r="119" spans="1:45" x14ac:dyDescent="0.15">
      <c r="A119" s="18">
        <v>118</v>
      </c>
      <c r="B119" s="18" t="s">
        <v>1048</v>
      </c>
      <c r="C119" s="18">
        <f t="shared" si="11"/>
        <v>232</v>
      </c>
      <c r="D119" s="19">
        <f t="shared" si="12"/>
        <v>2</v>
      </c>
      <c r="E119" s="19">
        <f>VLOOKUP(MOD(A119,4),各职业基础配置!C$32:D$35,2,FALSE)</f>
        <v>6</v>
      </c>
      <c r="F119" s="19">
        <f>IF(A119&lt;900,INDEX(各职业基础配置!C$23:C$28,MOD(ROW(A119),4)+1),0)</f>
        <v>16</v>
      </c>
      <c r="G119" s="19">
        <f t="shared" si="13"/>
        <v>159</v>
      </c>
      <c r="H119" s="27">
        <f t="shared" si="14"/>
        <v>3</v>
      </c>
      <c r="I119" s="6" t="s">
        <v>164</v>
      </c>
      <c r="J119" s="23" t="str">
        <f>VLOOKUP(E119,各职业基础配置!$B$9:$C$12,2,FALSE)</f>
        <v>111|112|113|4201|115</v>
      </c>
      <c r="K119" s="18" t="str">
        <f>VLOOKUP(E119,各职业基础配置!$B$15:$C$18,2,FALSE)</f>
        <v>32|33|34</v>
      </c>
      <c r="L119" s="18" t="str">
        <f>VLOOKUP(E119,各职业基础配置!B:C,2,FALSE)</f>
        <v>[{32,1,1},{33,1,1},{34,1,1},{35,1,1},{7,1,1},{8,1,1},{9,1,1}]</v>
      </c>
      <c r="M119" s="18">
        <v>0</v>
      </c>
      <c r="N119" s="18">
        <f t="shared" si="15"/>
        <v>7</v>
      </c>
      <c r="O119" s="18">
        <f>SUMPRODUCT(P119:AI119,Sheet2!$B$3:$U$3)</f>
        <v>583545</v>
      </c>
      <c r="P119" s="18">
        <f>CEILING(INDEX([1]系统模型!$VD:$VD,MATCH(C119,[1]系统模型!$A:$A,0))*POWER(C119/220,3.8)-50+(1000-A119),1)</f>
        <v>12289</v>
      </c>
      <c r="Q119" s="18">
        <f>CEILING(INDEX([1]系统模型!$VE:$VE,MATCH(C119,[1]系统模型!$A:$A,0))*POWER(C119/220,4),1)</f>
        <v>2422</v>
      </c>
      <c r="R119" s="18">
        <f>INT(INDEX([1]系统模型!$VF:$VF,MATCH(C119,[1]系统模型!$A:$A,0))*MAX(POWER(C119/180,4),0.5))</f>
        <v>138995</v>
      </c>
      <c r="S119" s="5">
        <v>1000</v>
      </c>
      <c r="T119" s="25">
        <v>0</v>
      </c>
      <c r="U119" s="25">
        <v>0</v>
      </c>
      <c r="V119" s="25">
        <v>0</v>
      </c>
      <c r="W119" s="25">
        <v>0</v>
      </c>
      <c r="X119" s="25">
        <f t="shared" si="16"/>
        <v>6949</v>
      </c>
      <c r="Y119" s="12">
        <v>0</v>
      </c>
      <c r="Z119" s="25">
        <v>100</v>
      </c>
      <c r="AA119" s="25">
        <v>150</v>
      </c>
      <c r="AB119" s="25">
        <v>0</v>
      </c>
      <c r="AC119" s="25">
        <v>0</v>
      </c>
      <c r="AD119" s="25">
        <v>0</v>
      </c>
      <c r="AE119" s="25">
        <f t="shared" si="17"/>
        <v>464</v>
      </c>
      <c r="AF119" s="25">
        <f t="shared" si="18"/>
        <v>464</v>
      </c>
      <c r="AG119" s="25">
        <v>0</v>
      </c>
      <c r="AH119" s="25">
        <f t="shared" si="19"/>
        <v>8650</v>
      </c>
      <c r="AI119" s="25">
        <f t="shared" si="20"/>
        <v>163</v>
      </c>
      <c r="AJ119" s="25">
        <v>1</v>
      </c>
      <c r="AK119" s="25">
        <v>1000</v>
      </c>
      <c r="AL119" s="25">
        <v>100</v>
      </c>
      <c r="AM119" s="26">
        <v>10</v>
      </c>
      <c r="AN119" s="26">
        <v>10</v>
      </c>
      <c r="AO119" s="22" t="s">
        <v>2211</v>
      </c>
      <c r="AP119" s="26">
        <v>0</v>
      </c>
      <c r="AQ119" s="26">
        <f t="shared" si="21"/>
        <v>880</v>
      </c>
      <c r="AR119" s="18" t="str">
        <f ca="1">CONCATENATE(OFFSET(Sheet1!$A$2,RANDBETWEEN(2,500),0,1,1),OFFSET(Sheet1!$A$2,RANDBETWEEN(2,500),RANDBETWEEN(1,5),1,1))</f>
        <v>本瑟姆</v>
      </c>
      <c r="AS119">
        <f>SUMPRODUCT(P119:AI119,Sheet2!$B$3:$U$3)</f>
        <v>583545</v>
      </c>
    </row>
    <row r="120" spans="1:45" x14ac:dyDescent="0.15">
      <c r="A120" s="18">
        <v>119</v>
      </c>
      <c r="B120" s="18" t="s">
        <v>1084</v>
      </c>
      <c r="C120" s="18">
        <f t="shared" si="11"/>
        <v>232</v>
      </c>
      <c r="D120" s="19">
        <f t="shared" si="12"/>
        <v>3</v>
      </c>
      <c r="E120" s="19">
        <f>VLOOKUP(MOD(A120,4),各职业基础配置!C$32:D$35,2,FALSE)</f>
        <v>9</v>
      </c>
      <c r="F120" s="19">
        <f>IF(A120&lt;900,INDEX(各职业基础配置!C$23:C$28,MOD(ROW(A120),4)+1),0)</f>
        <v>8</v>
      </c>
      <c r="G120" s="19">
        <f t="shared" si="13"/>
        <v>159</v>
      </c>
      <c r="H120" s="27">
        <f t="shared" si="14"/>
        <v>3</v>
      </c>
      <c r="I120" s="6" t="s">
        <v>164</v>
      </c>
      <c r="J120" s="23" t="str">
        <f>VLOOKUP(E120,各职业基础配置!$B$9:$C$12,2,FALSE)</f>
        <v>116|117|118|4201|120</v>
      </c>
      <c r="K120" s="18" t="str">
        <f>VLOOKUP(E120,各职业基础配置!$B$15:$C$18,2,FALSE)</f>
        <v>28|29|30|31</v>
      </c>
      <c r="L120" s="18" t="str">
        <f>VLOOKUP(E120,各职业基础配置!B:C,2,FALSE)</f>
        <v>[{28,1,1},{29,1,1},{30,1,1},{31,1,1},{10,1,1},{11,1,1},{12,1,1}]</v>
      </c>
      <c r="M120" s="18">
        <v>0</v>
      </c>
      <c r="N120" s="18">
        <f t="shared" si="15"/>
        <v>3</v>
      </c>
      <c r="O120" s="18">
        <f>SUMPRODUCT(P120:AI120,Sheet2!$B$3:$U$3)</f>
        <v>583520</v>
      </c>
      <c r="P120" s="18">
        <f>CEILING(INDEX([1]系统模型!$VD:$VD,MATCH(C120,[1]系统模型!$A:$A,0))*POWER(C120/220,3.8)-50+(1000-A120),1)</f>
        <v>12288</v>
      </c>
      <c r="Q120" s="18">
        <f>CEILING(INDEX([1]系统模型!$VE:$VE,MATCH(C120,[1]系统模型!$A:$A,0))*POWER(C120/220,4),1)</f>
        <v>2422</v>
      </c>
      <c r="R120" s="18">
        <f>INT(INDEX([1]系统模型!$VF:$VF,MATCH(C120,[1]系统模型!$A:$A,0))*MAX(POWER(C120/180,4),0.5))</f>
        <v>138995</v>
      </c>
      <c r="S120" s="5">
        <v>1000</v>
      </c>
      <c r="T120" s="25">
        <v>0</v>
      </c>
      <c r="U120" s="25">
        <v>0</v>
      </c>
      <c r="V120" s="25">
        <v>0</v>
      </c>
      <c r="W120" s="25">
        <v>0</v>
      </c>
      <c r="X120" s="25">
        <f t="shared" si="16"/>
        <v>6949</v>
      </c>
      <c r="Y120" s="12">
        <v>0</v>
      </c>
      <c r="Z120" s="25">
        <v>100</v>
      </c>
      <c r="AA120" s="25">
        <v>150</v>
      </c>
      <c r="AB120" s="25">
        <v>0</v>
      </c>
      <c r="AC120" s="25">
        <v>0</v>
      </c>
      <c r="AD120" s="25">
        <v>0</v>
      </c>
      <c r="AE120" s="25">
        <f t="shared" si="17"/>
        <v>464</v>
      </c>
      <c r="AF120" s="25">
        <f t="shared" si="18"/>
        <v>464</v>
      </c>
      <c r="AG120" s="25">
        <v>0</v>
      </c>
      <c r="AH120" s="25">
        <f t="shared" si="19"/>
        <v>8650</v>
      </c>
      <c r="AI120" s="25">
        <f t="shared" si="20"/>
        <v>163</v>
      </c>
      <c r="AJ120" s="25">
        <v>1</v>
      </c>
      <c r="AK120" s="25">
        <v>1000</v>
      </c>
      <c r="AL120" s="25">
        <v>100</v>
      </c>
      <c r="AM120" s="26">
        <v>10</v>
      </c>
      <c r="AN120" s="26">
        <v>10</v>
      </c>
      <c r="AO120" s="22" t="s">
        <v>2211</v>
      </c>
      <c r="AP120" s="26">
        <v>0</v>
      </c>
      <c r="AQ120" s="26">
        <f t="shared" si="21"/>
        <v>880</v>
      </c>
      <c r="AR120" s="18" t="str">
        <f ca="1">CONCATENATE(OFFSET(Sheet1!$A$2,RANDBETWEEN(2,500),0,1,1),OFFSET(Sheet1!$A$2,RANDBETWEEN(2,500),RANDBETWEEN(1,5),1,1))</f>
        <v>克雷吉</v>
      </c>
      <c r="AS120">
        <f>SUMPRODUCT(P120:AI120,Sheet2!$B$3:$U$3)</f>
        <v>583520</v>
      </c>
    </row>
    <row r="121" spans="1:45" x14ac:dyDescent="0.15">
      <c r="A121" s="23">
        <v>120</v>
      </c>
      <c r="B121" s="18" t="s">
        <v>1888</v>
      </c>
      <c r="C121" s="18">
        <f t="shared" si="11"/>
        <v>232</v>
      </c>
      <c r="D121" s="19">
        <f t="shared" si="12"/>
        <v>2</v>
      </c>
      <c r="E121" s="19">
        <f>VLOOKUP(MOD(A121,4),各职业基础配置!C$32:D$35,2,FALSE)</f>
        <v>1</v>
      </c>
      <c r="F121" s="19">
        <f>IF(A121&lt;900,INDEX(各职业基础配置!C$23:C$28,MOD(ROW(A121),4)+1),0)</f>
        <v>13</v>
      </c>
      <c r="G121" s="19">
        <f t="shared" si="13"/>
        <v>159</v>
      </c>
      <c r="H121" s="27">
        <f t="shared" si="14"/>
        <v>3</v>
      </c>
      <c r="I121" s="6" t="s">
        <v>164</v>
      </c>
      <c r="J121" s="23" t="str">
        <f>VLOOKUP(E121,各职业基础配置!$B$9:$C$12,2,FALSE)</f>
        <v>101|102|103|4201|105</v>
      </c>
      <c r="K121" s="18" t="str">
        <f>VLOOKUP(E121,各职业基础配置!$B$15:$C$18,2,FALSE)</f>
        <v>24|25|26|27</v>
      </c>
      <c r="L121" s="18" t="str">
        <f>VLOOKUP(E121,各职业基础配置!B:C,2,FALSE)</f>
        <v>[{24,1,1},{25,1,1},{26,1,1},{27,1,1},{1,1,1},{2,1,1},{3,1,1}]</v>
      </c>
      <c r="M121" s="18">
        <v>0</v>
      </c>
      <c r="N121" s="18">
        <f t="shared" si="15"/>
        <v>3</v>
      </c>
      <c r="O121" s="18">
        <f>SUMPRODUCT(P121:AI121,Sheet2!$B$3:$U$3)</f>
        <v>583495</v>
      </c>
      <c r="P121" s="18">
        <f>CEILING(INDEX([1]系统模型!$VD:$VD,MATCH(C121,[1]系统模型!$A:$A,0))*POWER(C121/220,3.8)-50+(1000-A121),1)</f>
        <v>12287</v>
      </c>
      <c r="Q121" s="18">
        <f>CEILING(INDEX([1]系统模型!$VE:$VE,MATCH(C121,[1]系统模型!$A:$A,0))*POWER(C121/220,4),1)</f>
        <v>2422</v>
      </c>
      <c r="R121" s="18">
        <f>INT(INDEX([1]系统模型!$VF:$VF,MATCH(C121,[1]系统模型!$A:$A,0))*MAX(POWER(C121/180,4),0.5))</f>
        <v>138995</v>
      </c>
      <c r="S121" s="5">
        <v>1000</v>
      </c>
      <c r="T121" s="25">
        <v>0</v>
      </c>
      <c r="U121" s="25">
        <v>0</v>
      </c>
      <c r="V121" s="25">
        <v>0</v>
      </c>
      <c r="W121" s="25">
        <v>0</v>
      </c>
      <c r="X121" s="25">
        <f t="shared" si="16"/>
        <v>6949</v>
      </c>
      <c r="Y121" s="12">
        <v>0</v>
      </c>
      <c r="Z121" s="25">
        <v>100</v>
      </c>
      <c r="AA121" s="25">
        <v>150</v>
      </c>
      <c r="AB121" s="25">
        <v>0</v>
      </c>
      <c r="AC121" s="25">
        <v>0</v>
      </c>
      <c r="AD121" s="25">
        <v>0</v>
      </c>
      <c r="AE121" s="25">
        <f t="shared" si="17"/>
        <v>464</v>
      </c>
      <c r="AF121" s="25">
        <f t="shared" si="18"/>
        <v>464</v>
      </c>
      <c r="AG121" s="25">
        <v>0</v>
      </c>
      <c r="AH121" s="25">
        <f t="shared" si="19"/>
        <v>8650</v>
      </c>
      <c r="AI121" s="25">
        <f t="shared" si="20"/>
        <v>163</v>
      </c>
      <c r="AJ121" s="25">
        <v>1</v>
      </c>
      <c r="AK121" s="25">
        <v>1000</v>
      </c>
      <c r="AL121" s="25">
        <v>100</v>
      </c>
      <c r="AM121" s="26">
        <v>10</v>
      </c>
      <c r="AN121" s="26">
        <v>10</v>
      </c>
      <c r="AO121" s="22" t="s">
        <v>2211</v>
      </c>
      <c r="AP121" s="26">
        <v>0</v>
      </c>
      <c r="AQ121" s="26">
        <f t="shared" si="21"/>
        <v>880</v>
      </c>
      <c r="AR121" s="18" t="str">
        <f ca="1">CONCATENATE(OFFSET(Sheet1!$A$2,RANDBETWEEN(2,500),0,1,1),OFFSET(Sheet1!$A$2,RANDBETWEEN(2,500),RANDBETWEEN(1,5),1,1))</f>
        <v>盖洛普</v>
      </c>
      <c r="AS121">
        <f>SUMPRODUCT(P121:AI121,Sheet2!$B$3:$U$3)</f>
        <v>583495</v>
      </c>
    </row>
    <row r="122" spans="1:45" x14ac:dyDescent="0.15">
      <c r="A122" s="18">
        <v>121</v>
      </c>
      <c r="B122" s="18" t="s">
        <v>207</v>
      </c>
      <c r="C122" s="18">
        <f t="shared" si="11"/>
        <v>232</v>
      </c>
      <c r="D122" s="19">
        <f t="shared" si="12"/>
        <v>3</v>
      </c>
      <c r="E122" s="19">
        <f>VLOOKUP(MOD(A122,4),各职业基础配置!C$32:D$35,2,FALSE)</f>
        <v>3</v>
      </c>
      <c r="F122" s="19">
        <f>IF(A122&lt;900,INDEX(各职业基础配置!C$23:C$28,MOD(ROW(A122),4)+1),0)</f>
        <v>14</v>
      </c>
      <c r="G122" s="19">
        <f t="shared" si="13"/>
        <v>159</v>
      </c>
      <c r="H122" s="27">
        <f t="shared" si="14"/>
        <v>3</v>
      </c>
      <c r="I122" s="6" t="s">
        <v>164</v>
      </c>
      <c r="J122" s="23" t="str">
        <f>VLOOKUP(E122,各职业基础配置!$B$9:$C$12,2,FALSE)</f>
        <v>106|107|108|4201|110</v>
      </c>
      <c r="K122" s="18" t="str">
        <f>VLOOKUP(E122,各职业基础配置!$B$15:$C$18,2,FALSE)</f>
        <v>20|21|22|23</v>
      </c>
      <c r="L122" s="18" t="str">
        <f>VLOOKUP(E122,各职业基础配置!B:C,2,FALSE)</f>
        <v>[{20,1,1},{21,1,1},{22,1,1},{23,1,1},{4,1,1},{5,1,1},{6,1,1}]</v>
      </c>
      <c r="M122" s="18">
        <v>0</v>
      </c>
      <c r="N122" s="18">
        <f t="shared" si="15"/>
        <v>7</v>
      </c>
      <c r="O122" s="18">
        <f>SUMPRODUCT(P122:AI122,Sheet2!$B$3:$U$3)</f>
        <v>583470</v>
      </c>
      <c r="P122" s="18">
        <f>CEILING(INDEX([1]系统模型!$VD:$VD,MATCH(C122,[1]系统模型!$A:$A,0))*POWER(C122/220,3.8)-50+(1000-A122),1)</f>
        <v>12286</v>
      </c>
      <c r="Q122" s="18">
        <f>CEILING(INDEX([1]系统模型!$VE:$VE,MATCH(C122,[1]系统模型!$A:$A,0))*POWER(C122/220,4),1)</f>
        <v>2422</v>
      </c>
      <c r="R122" s="18">
        <f>INT(INDEX([1]系统模型!$VF:$VF,MATCH(C122,[1]系统模型!$A:$A,0))*MAX(POWER(C122/180,4),0.5))</f>
        <v>138995</v>
      </c>
      <c r="S122" s="5">
        <v>1000</v>
      </c>
      <c r="T122" s="25">
        <v>0</v>
      </c>
      <c r="U122" s="25">
        <v>0</v>
      </c>
      <c r="V122" s="25">
        <v>0</v>
      </c>
      <c r="W122" s="25">
        <v>0</v>
      </c>
      <c r="X122" s="25">
        <f t="shared" si="16"/>
        <v>6949</v>
      </c>
      <c r="Y122" s="12">
        <v>0</v>
      </c>
      <c r="Z122" s="25">
        <v>100</v>
      </c>
      <c r="AA122" s="25">
        <v>150</v>
      </c>
      <c r="AB122" s="25">
        <v>0</v>
      </c>
      <c r="AC122" s="25">
        <v>0</v>
      </c>
      <c r="AD122" s="25">
        <v>0</v>
      </c>
      <c r="AE122" s="25">
        <f t="shared" si="17"/>
        <v>464</v>
      </c>
      <c r="AF122" s="25">
        <f t="shared" si="18"/>
        <v>464</v>
      </c>
      <c r="AG122" s="25">
        <v>0</v>
      </c>
      <c r="AH122" s="25">
        <f t="shared" si="19"/>
        <v>8650</v>
      </c>
      <c r="AI122" s="25">
        <f t="shared" si="20"/>
        <v>163</v>
      </c>
      <c r="AJ122" s="25">
        <v>1</v>
      </c>
      <c r="AK122" s="25">
        <v>1000</v>
      </c>
      <c r="AL122" s="25">
        <v>100</v>
      </c>
      <c r="AM122" s="26">
        <v>10</v>
      </c>
      <c r="AN122" s="26">
        <v>10</v>
      </c>
      <c r="AO122" s="22" t="s">
        <v>2211</v>
      </c>
      <c r="AP122" s="26">
        <v>0</v>
      </c>
      <c r="AQ122" s="26">
        <f t="shared" si="21"/>
        <v>880</v>
      </c>
      <c r="AR122" s="18" t="str">
        <f ca="1">CONCATENATE(OFFSET(Sheet1!$A$2,RANDBETWEEN(2,500),0,1,1),OFFSET(Sheet1!$A$2,RANDBETWEEN(2,500),RANDBETWEEN(1,5),1,1))</f>
        <v>汉萨</v>
      </c>
      <c r="AS122">
        <f>SUMPRODUCT(P122:AI122,Sheet2!$B$3:$U$3)</f>
        <v>583470</v>
      </c>
    </row>
    <row r="123" spans="1:45" x14ac:dyDescent="0.15">
      <c r="A123" s="18">
        <v>122</v>
      </c>
      <c r="B123" s="18" t="s">
        <v>247</v>
      </c>
      <c r="C123" s="18">
        <f t="shared" si="11"/>
        <v>231</v>
      </c>
      <c r="D123" s="19">
        <f t="shared" si="12"/>
        <v>2</v>
      </c>
      <c r="E123" s="19">
        <f>VLOOKUP(MOD(A123,4),各职业基础配置!C$32:D$35,2,FALSE)</f>
        <v>6</v>
      </c>
      <c r="F123" s="19">
        <f>IF(A123&lt;900,INDEX(各职业基础配置!C$23:C$28,MOD(ROW(A123),4)+1),0)</f>
        <v>16</v>
      </c>
      <c r="G123" s="19">
        <f t="shared" si="13"/>
        <v>155</v>
      </c>
      <c r="H123" s="27">
        <f t="shared" si="14"/>
        <v>3</v>
      </c>
      <c r="I123" s="6" t="s">
        <v>164</v>
      </c>
      <c r="J123" s="23" t="str">
        <f>VLOOKUP(E123,各职业基础配置!$B$9:$C$12,2,FALSE)</f>
        <v>111|112|113|4201|115</v>
      </c>
      <c r="K123" s="18" t="str">
        <f>VLOOKUP(E123,各职业基础配置!$B$15:$C$18,2,FALSE)</f>
        <v>32|33|34</v>
      </c>
      <c r="L123" s="18" t="str">
        <f>VLOOKUP(E123,各职业基础配置!B:C,2,FALSE)</f>
        <v>[{32,1,1},{33,1,1},{34,1,1},{35,1,1},{7,1,1},{8,1,1},{9,1,1}]</v>
      </c>
      <c r="M123" s="18">
        <v>0</v>
      </c>
      <c r="N123" s="18">
        <f t="shared" si="15"/>
        <v>7</v>
      </c>
      <c r="O123" s="18">
        <f>SUMPRODUCT(P123:AI123,Sheet2!$B$3:$U$3)</f>
        <v>570048</v>
      </c>
      <c r="P123" s="18">
        <f>CEILING(INDEX([1]系统模型!$VD:$VD,MATCH(C123,[1]系统模型!$A:$A,0))*POWER(C123/220,3.8)-50+(1000-A123),1)</f>
        <v>11990</v>
      </c>
      <c r="Q123" s="18">
        <f>CEILING(INDEX([1]系统模型!$VE:$VE,MATCH(C123,[1]系统模型!$A:$A,0))*POWER(C123/220,4),1)</f>
        <v>2356</v>
      </c>
      <c r="R123" s="18">
        <f>INT(INDEX([1]系统模型!$VF:$VF,MATCH(C123,[1]系统模型!$A:$A,0))*MAX(POWER(C123/180,4),0.5))</f>
        <v>135198</v>
      </c>
      <c r="S123" s="5">
        <v>1000</v>
      </c>
      <c r="T123" s="25">
        <v>0</v>
      </c>
      <c r="U123" s="25">
        <v>0</v>
      </c>
      <c r="V123" s="25">
        <v>0</v>
      </c>
      <c r="W123" s="25">
        <v>0</v>
      </c>
      <c r="X123" s="25">
        <f t="shared" si="16"/>
        <v>6759</v>
      </c>
      <c r="Y123" s="12">
        <v>0</v>
      </c>
      <c r="Z123" s="25">
        <v>100</v>
      </c>
      <c r="AA123" s="25">
        <v>150</v>
      </c>
      <c r="AB123" s="25">
        <v>0</v>
      </c>
      <c r="AC123" s="25">
        <v>0</v>
      </c>
      <c r="AD123" s="25">
        <v>0</v>
      </c>
      <c r="AE123" s="25">
        <f t="shared" si="17"/>
        <v>462</v>
      </c>
      <c r="AF123" s="25">
        <f t="shared" si="18"/>
        <v>462</v>
      </c>
      <c r="AG123" s="25">
        <v>0</v>
      </c>
      <c r="AH123" s="25">
        <f t="shared" si="19"/>
        <v>8575</v>
      </c>
      <c r="AI123" s="25">
        <f t="shared" si="20"/>
        <v>159</v>
      </c>
      <c r="AJ123" s="25">
        <v>1</v>
      </c>
      <c r="AK123" s="25">
        <v>1000</v>
      </c>
      <c r="AL123" s="25">
        <v>100</v>
      </c>
      <c r="AM123" s="26">
        <v>10</v>
      </c>
      <c r="AN123" s="26">
        <v>10</v>
      </c>
      <c r="AO123" s="22" t="s">
        <v>2211</v>
      </c>
      <c r="AP123" s="26">
        <v>0</v>
      </c>
      <c r="AQ123" s="26">
        <f t="shared" si="21"/>
        <v>880</v>
      </c>
      <c r="AR123" s="18" t="str">
        <f ca="1">CONCATENATE(OFFSET(Sheet1!$A$2,RANDBETWEEN(2,500),0,1,1),OFFSET(Sheet1!$A$2,RANDBETWEEN(2,500),RANDBETWEEN(1,5),1,1))</f>
        <v>格林范伦汀娜</v>
      </c>
      <c r="AS123">
        <f>SUMPRODUCT(P123:AI123,Sheet2!$B$3:$U$3)</f>
        <v>570048</v>
      </c>
    </row>
    <row r="124" spans="1:45" x14ac:dyDescent="0.15">
      <c r="A124" s="23">
        <v>123</v>
      </c>
      <c r="B124" s="18" t="s">
        <v>340</v>
      </c>
      <c r="C124" s="18">
        <f t="shared" si="11"/>
        <v>231</v>
      </c>
      <c r="D124" s="19">
        <f t="shared" si="12"/>
        <v>3</v>
      </c>
      <c r="E124" s="19">
        <f>VLOOKUP(MOD(A124,4),各职业基础配置!C$32:D$35,2,FALSE)</f>
        <v>9</v>
      </c>
      <c r="F124" s="19">
        <f>IF(A124&lt;900,INDEX(各职业基础配置!C$23:C$28,MOD(ROW(A124),4)+1),0)</f>
        <v>8</v>
      </c>
      <c r="G124" s="19">
        <f t="shared" si="13"/>
        <v>155</v>
      </c>
      <c r="H124" s="27">
        <f t="shared" si="14"/>
        <v>3</v>
      </c>
      <c r="I124" s="6" t="s">
        <v>164</v>
      </c>
      <c r="J124" s="23" t="str">
        <f>VLOOKUP(E124,各职业基础配置!$B$9:$C$12,2,FALSE)</f>
        <v>116|117|118|4201|120</v>
      </c>
      <c r="K124" s="18" t="str">
        <f>VLOOKUP(E124,各职业基础配置!$B$15:$C$18,2,FALSE)</f>
        <v>28|29|30|31</v>
      </c>
      <c r="L124" s="18" t="str">
        <f>VLOOKUP(E124,各职业基础配置!B:C,2,FALSE)</f>
        <v>[{28,1,1},{29,1,1},{30,1,1},{31,1,1},{10,1,1},{11,1,1},{12,1,1}]</v>
      </c>
      <c r="M124" s="18">
        <v>0</v>
      </c>
      <c r="N124" s="18">
        <f t="shared" si="15"/>
        <v>3</v>
      </c>
      <c r="O124" s="18">
        <f>SUMPRODUCT(P124:AI124,Sheet2!$B$3:$U$3)</f>
        <v>570023</v>
      </c>
      <c r="P124" s="18">
        <f>CEILING(INDEX([1]系统模型!$VD:$VD,MATCH(C124,[1]系统模型!$A:$A,0))*POWER(C124/220,3.8)-50+(1000-A124),1)</f>
        <v>11989</v>
      </c>
      <c r="Q124" s="18">
        <f>CEILING(INDEX([1]系统模型!$VE:$VE,MATCH(C124,[1]系统模型!$A:$A,0))*POWER(C124/220,4),1)</f>
        <v>2356</v>
      </c>
      <c r="R124" s="18">
        <f>INT(INDEX([1]系统模型!$VF:$VF,MATCH(C124,[1]系统模型!$A:$A,0))*MAX(POWER(C124/180,4),0.5))</f>
        <v>135198</v>
      </c>
      <c r="S124" s="5">
        <v>1000</v>
      </c>
      <c r="T124" s="25">
        <v>0</v>
      </c>
      <c r="U124" s="25">
        <v>0</v>
      </c>
      <c r="V124" s="25">
        <v>0</v>
      </c>
      <c r="W124" s="25">
        <v>0</v>
      </c>
      <c r="X124" s="25">
        <f t="shared" si="16"/>
        <v>6759</v>
      </c>
      <c r="Y124" s="12">
        <v>0</v>
      </c>
      <c r="Z124" s="25">
        <v>100</v>
      </c>
      <c r="AA124" s="25">
        <v>150</v>
      </c>
      <c r="AB124" s="25">
        <v>0</v>
      </c>
      <c r="AC124" s="25">
        <v>0</v>
      </c>
      <c r="AD124" s="25">
        <v>0</v>
      </c>
      <c r="AE124" s="25">
        <f t="shared" si="17"/>
        <v>462</v>
      </c>
      <c r="AF124" s="25">
        <f t="shared" si="18"/>
        <v>462</v>
      </c>
      <c r="AG124" s="25">
        <v>0</v>
      </c>
      <c r="AH124" s="25">
        <f t="shared" si="19"/>
        <v>8575</v>
      </c>
      <c r="AI124" s="25">
        <f t="shared" si="20"/>
        <v>159</v>
      </c>
      <c r="AJ124" s="25">
        <v>1</v>
      </c>
      <c r="AK124" s="25">
        <v>1000</v>
      </c>
      <c r="AL124" s="25">
        <v>100</v>
      </c>
      <c r="AM124" s="26">
        <v>10</v>
      </c>
      <c r="AN124" s="26">
        <v>10</v>
      </c>
      <c r="AO124" s="22" t="s">
        <v>2211</v>
      </c>
      <c r="AP124" s="26">
        <v>0</v>
      </c>
      <c r="AQ124" s="26">
        <f t="shared" si="21"/>
        <v>880</v>
      </c>
      <c r="AR124" s="18" t="str">
        <f ca="1">CONCATENATE(OFFSET(Sheet1!$A$2,RANDBETWEEN(2,500),0,1,1),OFFSET(Sheet1!$A$2,RANDBETWEEN(2,500),RANDBETWEEN(1,5),1,1))</f>
        <v>赫蒂</v>
      </c>
      <c r="AS124">
        <f>SUMPRODUCT(P124:AI124,Sheet2!$B$3:$U$3)</f>
        <v>570023</v>
      </c>
    </row>
    <row r="125" spans="1:45" x14ac:dyDescent="0.15">
      <c r="A125" s="18">
        <v>124</v>
      </c>
      <c r="B125" s="18" t="s">
        <v>1889</v>
      </c>
      <c r="C125" s="18">
        <f t="shared" si="11"/>
        <v>231</v>
      </c>
      <c r="D125" s="19">
        <f t="shared" si="12"/>
        <v>2</v>
      </c>
      <c r="E125" s="19">
        <f>VLOOKUP(MOD(A125,4),各职业基础配置!C$32:D$35,2,FALSE)</f>
        <v>1</v>
      </c>
      <c r="F125" s="19">
        <f>IF(A125&lt;900,INDEX(各职业基础配置!C$23:C$28,MOD(ROW(A125),4)+1),0)</f>
        <v>13</v>
      </c>
      <c r="G125" s="19">
        <f t="shared" si="13"/>
        <v>155</v>
      </c>
      <c r="H125" s="27">
        <f t="shared" si="14"/>
        <v>3</v>
      </c>
      <c r="I125" s="6" t="s">
        <v>164</v>
      </c>
      <c r="J125" s="23" t="str">
        <f>VLOOKUP(E125,各职业基础配置!$B$9:$C$12,2,FALSE)</f>
        <v>101|102|103|4201|105</v>
      </c>
      <c r="K125" s="18" t="str">
        <f>VLOOKUP(E125,各职业基础配置!$B$15:$C$18,2,FALSE)</f>
        <v>24|25|26|27</v>
      </c>
      <c r="L125" s="18" t="str">
        <f>VLOOKUP(E125,各职业基础配置!B:C,2,FALSE)</f>
        <v>[{24,1,1},{25,1,1},{26,1,1},{27,1,1},{1,1,1},{2,1,1},{3,1,1}]</v>
      </c>
      <c r="M125" s="18">
        <v>0</v>
      </c>
      <c r="N125" s="18">
        <f t="shared" si="15"/>
        <v>3</v>
      </c>
      <c r="O125" s="18">
        <f>SUMPRODUCT(P125:AI125,Sheet2!$B$3:$U$3)</f>
        <v>569998</v>
      </c>
      <c r="P125" s="18">
        <f>CEILING(INDEX([1]系统模型!$VD:$VD,MATCH(C125,[1]系统模型!$A:$A,0))*POWER(C125/220,3.8)-50+(1000-A125),1)</f>
        <v>11988</v>
      </c>
      <c r="Q125" s="18">
        <f>CEILING(INDEX([1]系统模型!$VE:$VE,MATCH(C125,[1]系统模型!$A:$A,0))*POWER(C125/220,4),1)</f>
        <v>2356</v>
      </c>
      <c r="R125" s="18">
        <f>INT(INDEX([1]系统模型!$VF:$VF,MATCH(C125,[1]系统模型!$A:$A,0))*MAX(POWER(C125/180,4),0.5))</f>
        <v>135198</v>
      </c>
      <c r="S125" s="5">
        <v>1000</v>
      </c>
      <c r="T125" s="25">
        <v>0</v>
      </c>
      <c r="U125" s="25">
        <v>0</v>
      </c>
      <c r="V125" s="25">
        <v>0</v>
      </c>
      <c r="W125" s="25">
        <v>0</v>
      </c>
      <c r="X125" s="25">
        <f t="shared" si="16"/>
        <v>6759</v>
      </c>
      <c r="Y125" s="12">
        <v>0</v>
      </c>
      <c r="Z125" s="25">
        <v>100</v>
      </c>
      <c r="AA125" s="25">
        <v>150</v>
      </c>
      <c r="AB125" s="25">
        <v>0</v>
      </c>
      <c r="AC125" s="25">
        <v>0</v>
      </c>
      <c r="AD125" s="25">
        <v>0</v>
      </c>
      <c r="AE125" s="25">
        <f t="shared" si="17"/>
        <v>462</v>
      </c>
      <c r="AF125" s="25">
        <f t="shared" si="18"/>
        <v>462</v>
      </c>
      <c r="AG125" s="25">
        <v>0</v>
      </c>
      <c r="AH125" s="25">
        <f t="shared" si="19"/>
        <v>8575</v>
      </c>
      <c r="AI125" s="25">
        <f t="shared" si="20"/>
        <v>159</v>
      </c>
      <c r="AJ125" s="25">
        <v>1</v>
      </c>
      <c r="AK125" s="25">
        <v>1000</v>
      </c>
      <c r="AL125" s="25">
        <v>100</v>
      </c>
      <c r="AM125" s="26">
        <v>10</v>
      </c>
      <c r="AN125" s="26">
        <v>10</v>
      </c>
      <c r="AO125" s="22" t="s">
        <v>2211</v>
      </c>
      <c r="AP125" s="26">
        <v>0</v>
      </c>
      <c r="AQ125" s="26">
        <f t="shared" si="21"/>
        <v>880</v>
      </c>
      <c r="AR125" s="18" t="str">
        <f ca="1">CONCATENATE(OFFSET(Sheet1!$A$2,RANDBETWEEN(2,500),0,1,1),OFFSET(Sheet1!$A$2,RANDBETWEEN(2,500),RANDBETWEEN(1,5),1,1))</f>
        <v>布鲁斯希尔达</v>
      </c>
      <c r="AS125">
        <f>SUMPRODUCT(P125:AI125,Sheet2!$B$3:$U$3)</f>
        <v>569998</v>
      </c>
    </row>
    <row r="126" spans="1:45" x14ac:dyDescent="0.15">
      <c r="A126" s="18">
        <v>125</v>
      </c>
      <c r="B126" s="18" t="s">
        <v>1890</v>
      </c>
      <c r="C126" s="18">
        <f t="shared" si="11"/>
        <v>231</v>
      </c>
      <c r="D126" s="19">
        <f t="shared" si="12"/>
        <v>3</v>
      </c>
      <c r="E126" s="19">
        <f>VLOOKUP(MOD(A126,4),各职业基础配置!C$32:D$35,2,FALSE)</f>
        <v>3</v>
      </c>
      <c r="F126" s="19">
        <f>IF(A126&lt;900,INDEX(各职业基础配置!C$23:C$28,MOD(ROW(A126),4)+1),0)</f>
        <v>14</v>
      </c>
      <c r="G126" s="19">
        <f t="shared" si="13"/>
        <v>155</v>
      </c>
      <c r="H126" s="27">
        <f t="shared" si="14"/>
        <v>3</v>
      </c>
      <c r="I126" s="6" t="s">
        <v>164</v>
      </c>
      <c r="J126" s="23" t="str">
        <f>VLOOKUP(E126,各职业基础配置!$B$9:$C$12,2,FALSE)</f>
        <v>106|107|108|4201|110</v>
      </c>
      <c r="K126" s="18" t="str">
        <f>VLOOKUP(E126,各职业基础配置!$B$15:$C$18,2,FALSE)</f>
        <v>20|21|22|23</v>
      </c>
      <c r="L126" s="18" t="str">
        <f>VLOOKUP(E126,各职业基础配置!B:C,2,FALSE)</f>
        <v>[{20,1,1},{21,1,1},{22,1,1},{23,1,1},{4,1,1},{5,1,1},{6,1,1}]</v>
      </c>
      <c r="M126" s="18">
        <v>0</v>
      </c>
      <c r="N126" s="18">
        <f t="shared" si="15"/>
        <v>7</v>
      </c>
      <c r="O126" s="18">
        <f>SUMPRODUCT(P126:AI126,Sheet2!$B$3:$U$3)</f>
        <v>569973</v>
      </c>
      <c r="P126" s="18">
        <f>CEILING(INDEX([1]系统模型!$VD:$VD,MATCH(C126,[1]系统模型!$A:$A,0))*POWER(C126/220,3.8)-50+(1000-A126),1)</f>
        <v>11987</v>
      </c>
      <c r="Q126" s="18">
        <f>CEILING(INDEX([1]系统模型!$VE:$VE,MATCH(C126,[1]系统模型!$A:$A,0))*POWER(C126/220,4),1)</f>
        <v>2356</v>
      </c>
      <c r="R126" s="18">
        <f>INT(INDEX([1]系统模型!$VF:$VF,MATCH(C126,[1]系统模型!$A:$A,0))*MAX(POWER(C126/180,4),0.5))</f>
        <v>135198</v>
      </c>
      <c r="S126" s="5">
        <v>1000</v>
      </c>
      <c r="T126" s="25">
        <v>0</v>
      </c>
      <c r="U126" s="25">
        <v>0</v>
      </c>
      <c r="V126" s="25">
        <v>0</v>
      </c>
      <c r="W126" s="25">
        <v>0</v>
      </c>
      <c r="X126" s="25">
        <f t="shared" si="16"/>
        <v>6759</v>
      </c>
      <c r="Y126" s="12">
        <v>0</v>
      </c>
      <c r="Z126" s="25">
        <v>100</v>
      </c>
      <c r="AA126" s="25">
        <v>150</v>
      </c>
      <c r="AB126" s="25">
        <v>0</v>
      </c>
      <c r="AC126" s="25">
        <v>0</v>
      </c>
      <c r="AD126" s="25">
        <v>0</v>
      </c>
      <c r="AE126" s="25">
        <f t="shared" si="17"/>
        <v>462</v>
      </c>
      <c r="AF126" s="25">
        <f t="shared" si="18"/>
        <v>462</v>
      </c>
      <c r="AG126" s="25">
        <v>0</v>
      </c>
      <c r="AH126" s="25">
        <f t="shared" si="19"/>
        <v>8575</v>
      </c>
      <c r="AI126" s="25">
        <f t="shared" si="20"/>
        <v>159</v>
      </c>
      <c r="AJ126" s="25">
        <v>1</v>
      </c>
      <c r="AK126" s="25">
        <v>1000</v>
      </c>
      <c r="AL126" s="25">
        <v>100</v>
      </c>
      <c r="AM126" s="26">
        <v>10</v>
      </c>
      <c r="AN126" s="26">
        <v>10</v>
      </c>
      <c r="AO126" s="22" t="s">
        <v>2211</v>
      </c>
      <c r="AP126" s="26">
        <v>0</v>
      </c>
      <c r="AQ126" s="26">
        <f t="shared" si="21"/>
        <v>880</v>
      </c>
      <c r="AR126" s="18" t="str">
        <f ca="1">CONCATENATE(OFFSET(Sheet1!$A$2,RANDBETWEEN(2,500),0,1,1),OFFSET(Sheet1!$A$2,RANDBETWEEN(2,500),RANDBETWEEN(1,5),1,1))</f>
        <v>伊夫海伦</v>
      </c>
      <c r="AS126">
        <f>SUMPRODUCT(P126:AI126,Sheet2!$B$3:$U$3)</f>
        <v>569973</v>
      </c>
    </row>
    <row r="127" spans="1:45" x14ac:dyDescent="0.15">
      <c r="A127" s="23">
        <v>126</v>
      </c>
      <c r="B127" s="18" t="s">
        <v>1341</v>
      </c>
      <c r="C127" s="18">
        <f t="shared" si="11"/>
        <v>231</v>
      </c>
      <c r="D127" s="19">
        <f t="shared" si="12"/>
        <v>2</v>
      </c>
      <c r="E127" s="19">
        <f>VLOOKUP(MOD(A127,4),各职业基础配置!C$32:D$35,2,FALSE)</f>
        <v>6</v>
      </c>
      <c r="F127" s="19">
        <f>IF(A127&lt;900,INDEX(各职业基础配置!C$23:C$28,MOD(ROW(A127),4)+1),0)</f>
        <v>16</v>
      </c>
      <c r="G127" s="19">
        <f t="shared" si="13"/>
        <v>155</v>
      </c>
      <c r="H127" s="27">
        <f t="shared" si="14"/>
        <v>3</v>
      </c>
      <c r="I127" s="6" t="s">
        <v>164</v>
      </c>
      <c r="J127" s="23" t="str">
        <f>VLOOKUP(E127,各职业基础配置!$B$9:$C$12,2,FALSE)</f>
        <v>111|112|113|4201|115</v>
      </c>
      <c r="K127" s="18" t="str">
        <f>VLOOKUP(E127,各职业基础配置!$B$15:$C$18,2,FALSE)</f>
        <v>32|33|34</v>
      </c>
      <c r="L127" s="18" t="str">
        <f>VLOOKUP(E127,各职业基础配置!B:C,2,FALSE)</f>
        <v>[{32,1,1},{33,1,1},{34,1,1},{35,1,1},{7,1,1},{8,1,1},{9,1,1}]</v>
      </c>
      <c r="M127" s="18">
        <v>0</v>
      </c>
      <c r="N127" s="18">
        <f t="shared" si="15"/>
        <v>7</v>
      </c>
      <c r="O127" s="18">
        <f>SUMPRODUCT(P127:AI127,Sheet2!$B$3:$U$3)</f>
        <v>569948</v>
      </c>
      <c r="P127" s="18">
        <f>CEILING(INDEX([1]系统模型!$VD:$VD,MATCH(C127,[1]系统模型!$A:$A,0))*POWER(C127/220,3.8)-50+(1000-A127),1)</f>
        <v>11986</v>
      </c>
      <c r="Q127" s="18">
        <f>CEILING(INDEX([1]系统模型!$VE:$VE,MATCH(C127,[1]系统模型!$A:$A,0))*POWER(C127/220,4),1)</f>
        <v>2356</v>
      </c>
      <c r="R127" s="18">
        <f>INT(INDEX([1]系统模型!$VF:$VF,MATCH(C127,[1]系统模型!$A:$A,0))*MAX(POWER(C127/180,4),0.5))</f>
        <v>135198</v>
      </c>
      <c r="S127" s="5">
        <v>1000</v>
      </c>
      <c r="T127" s="25">
        <v>0</v>
      </c>
      <c r="U127" s="25">
        <v>0</v>
      </c>
      <c r="V127" s="25">
        <v>0</v>
      </c>
      <c r="W127" s="25">
        <v>0</v>
      </c>
      <c r="X127" s="25">
        <f t="shared" si="16"/>
        <v>6759</v>
      </c>
      <c r="Y127" s="12">
        <v>0</v>
      </c>
      <c r="Z127" s="25">
        <v>100</v>
      </c>
      <c r="AA127" s="25">
        <v>150</v>
      </c>
      <c r="AB127" s="25">
        <v>0</v>
      </c>
      <c r="AC127" s="25">
        <v>0</v>
      </c>
      <c r="AD127" s="25">
        <v>0</v>
      </c>
      <c r="AE127" s="25">
        <f t="shared" si="17"/>
        <v>462</v>
      </c>
      <c r="AF127" s="25">
        <f t="shared" si="18"/>
        <v>462</v>
      </c>
      <c r="AG127" s="25">
        <v>0</v>
      </c>
      <c r="AH127" s="25">
        <f t="shared" si="19"/>
        <v>8575</v>
      </c>
      <c r="AI127" s="25">
        <f t="shared" si="20"/>
        <v>159</v>
      </c>
      <c r="AJ127" s="25">
        <v>1</v>
      </c>
      <c r="AK127" s="25">
        <v>1000</v>
      </c>
      <c r="AL127" s="25">
        <v>100</v>
      </c>
      <c r="AM127" s="26">
        <v>10</v>
      </c>
      <c r="AN127" s="26">
        <v>10</v>
      </c>
      <c r="AO127" s="22" t="s">
        <v>2211</v>
      </c>
      <c r="AP127" s="26">
        <v>0</v>
      </c>
      <c r="AQ127" s="26">
        <f t="shared" si="21"/>
        <v>880</v>
      </c>
      <c r="AR127" s="18" t="str">
        <f ca="1">CONCATENATE(OFFSET(Sheet1!$A$2,RANDBETWEEN(2,500),0,1,1),OFFSET(Sheet1!$A$2,RANDBETWEEN(2,500),RANDBETWEEN(1,5),1,1))</f>
        <v>艾塞亚</v>
      </c>
      <c r="AS127">
        <f>SUMPRODUCT(P127:AI127,Sheet2!$B$3:$U$3)</f>
        <v>569948</v>
      </c>
    </row>
    <row r="128" spans="1:45" x14ac:dyDescent="0.15">
      <c r="A128" s="18">
        <v>127</v>
      </c>
      <c r="B128" s="18" t="s">
        <v>1179</v>
      </c>
      <c r="C128" s="18">
        <f t="shared" si="11"/>
        <v>231</v>
      </c>
      <c r="D128" s="19">
        <f t="shared" si="12"/>
        <v>3</v>
      </c>
      <c r="E128" s="19">
        <f>VLOOKUP(MOD(A128,4),各职业基础配置!C$32:D$35,2,FALSE)</f>
        <v>9</v>
      </c>
      <c r="F128" s="19">
        <f>IF(A128&lt;900,INDEX(各职业基础配置!C$23:C$28,MOD(ROW(A128),4)+1),0)</f>
        <v>8</v>
      </c>
      <c r="G128" s="19">
        <f t="shared" si="13"/>
        <v>155</v>
      </c>
      <c r="H128" s="27">
        <f t="shared" si="14"/>
        <v>3</v>
      </c>
      <c r="I128" s="6" t="s">
        <v>164</v>
      </c>
      <c r="J128" s="23" t="str">
        <f>VLOOKUP(E128,各职业基础配置!$B$9:$C$12,2,FALSE)</f>
        <v>116|117|118|4201|120</v>
      </c>
      <c r="K128" s="18" t="str">
        <f>VLOOKUP(E128,各职业基础配置!$B$15:$C$18,2,FALSE)</f>
        <v>28|29|30|31</v>
      </c>
      <c r="L128" s="18" t="str">
        <f>VLOOKUP(E128,各职业基础配置!B:C,2,FALSE)</f>
        <v>[{28,1,1},{29,1,1},{30,1,1},{31,1,1},{10,1,1},{11,1,1},{12,1,1}]</v>
      </c>
      <c r="M128" s="18">
        <v>0</v>
      </c>
      <c r="N128" s="18">
        <f t="shared" si="15"/>
        <v>3</v>
      </c>
      <c r="O128" s="18">
        <f>SUMPRODUCT(P128:AI128,Sheet2!$B$3:$U$3)</f>
        <v>569923</v>
      </c>
      <c r="P128" s="18">
        <f>CEILING(INDEX([1]系统模型!$VD:$VD,MATCH(C128,[1]系统模型!$A:$A,0))*POWER(C128/220,3.8)-50+(1000-A128),1)</f>
        <v>11985</v>
      </c>
      <c r="Q128" s="18">
        <f>CEILING(INDEX([1]系统模型!$VE:$VE,MATCH(C128,[1]系统模型!$A:$A,0))*POWER(C128/220,4),1)</f>
        <v>2356</v>
      </c>
      <c r="R128" s="18">
        <f>INT(INDEX([1]系统模型!$VF:$VF,MATCH(C128,[1]系统模型!$A:$A,0))*MAX(POWER(C128/180,4),0.5))</f>
        <v>135198</v>
      </c>
      <c r="S128" s="5">
        <v>1000</v>
      </c>
      <c r="T128" s="25">
        <v>0</v>
      </c>
      <c r="U128" s="25">
        <v>0</v>
      </c>
      <c r="V128" s="25">
        <v>0</v>
      </c>
      <c r="W128" s="25">
        <v>0</v>
      </c>
      <c r="X128" s="25">
        <f t="shared" si="16"/>
        <v>6759</v>
      </c>
      <c r="Y128" s="12">
        <v>0</v>
      </c>
      <c r="Z128" s="25">
        <v>100</v>
      </c>
      <c r="AA128" s="25">
        <v>150</v>
      </c>
      <c r="AB128" s="25">
        <v>0</v>
      </c>
      <c r="AC128" s="25">
        <v>0</v>
      </c>
      <c r="AD128" s="25">
        <v>0</v>
      </c>
      <c r="AE128" s="25">
        <f t="shared" si="17"/>
        <v>462</v>
      </c>
      <c r="AF128" s="25">
        <f t="shared" si="18"/>
        <v>462</v>
      </c>
      <c r="AG128" s="25">
        <v>0</v>
      </c>
      <c r="AH128" s="25">
        <f t="shared" si="19"/>
        <v>8575</v>
      </c>
      <c r="AI128" s="25">
        <f t="shared" si="20"/>
        <v>159</v>
      </c>
      <c r="AJ128" s="25">
        <v>1</v>
      </c>
      <c r="AK128" s="25">
        <v>1000</v>
      </c>
      <c r="AL128" s="25">
        <v>100</v>
      </c>
      <c r="AM128" s="26">
        <v>10</v>
      </c>
      <c r="AN128" s="26">
        <v>10</v>
      </c>
      <c r="AO128" s="22" t="s">
        <v>2211</v>
      </c>
      <c r="AP128" s="26">
        <v>0</v>
      </c>
      <c r="AQ128" s="26">
        <f t="shared" si="21"/>
        <v>880</v>
      </c>
      <c r="AR128" s="18" t="str">
        <f ca="1">CONCATENATE(OFFSET(Sheet1!$A$2,RANDBETWEEN(2,500),0,1,1),OFFSET(Sheet1!$A$2,RANDBETWEEN(2,500),RANDBETWEEN(1,5),1,1))</f>
        <v>伊娃</v>
      </c>
      <c r="AS128">
        <f>SUMPRODUCT(P128:AI128,Sheet2!$B$3:$U$3)</f>
        <v>569923</v>
      </c>
    </row>
    <row r="129" spans="1:45" x14ac:dyDescent="0.15">
      <c r="A129" s="18">
        <v>128</v>
      </c>
      <c r="B129" s="18" t="s">
        <v>1891</v>
      </c>
      <c r="C129" s="18">
        <f t="shared" si="11"/>
        <v>231</v>
      </c>
      <c r="D129" s="19">
        <f t="shared" si="12"/>
        <v>2</v>
      </c>
      <c r="E129" s="19">
        <f>VLOOKUP(MOD(A129,4),各职业基础配置!C$32:D$35,2,FALSE)</f>
        <v>1</v>
      </c>
      <c r="F129" s="19">
        <f>IF(A129&lt;900,INDEX(各职业基础配置!C$23:C$28,MOD(ROW(A129),4)+1),0)</f>
        <v>13</v>
      </c>
      <c r="G129" s="19">
        <f t="shared" si="13"/>
        <v>155</v>
      </c>
      <c r="H129" s="27">
        <f t="shared" si="14"/>
        <v>3</v>
      </c>
      <c r="I129" s="6" t="s">
        <v>164</v>
      </c>
      <c r="J129" s="23" t="str">
        <f>VLOOKUP(E129,各职业基础配置!$B$9:$C$12,2,FALSE)</f>
        <v>101|102|103|4201|105</v>
      </c>
      <c r="K129" s="18" t="str">
        <f>VLOOKUP(E129,各职业基础配置!$B$15:$C$18,2,FALSE)</f>
        <v>24|25|26|27</v>
      </c>
      <c r="L129" s="18" t="str">
        <f>VLOOKUP(E129,各职业基础配置!B:C,2,FALSE)</f>
        <v>[{24,1,1},{25,1,1},{26,1,1},{27,1,1},{1,1,1},{2,1,1},{3,1,1}]</v>
      </c>
      <c r="M129" s="18">
        <v>0</v>
      </c>
      <c r="N129" s="18">
        <f t="shared" si="15"/>
        <v>3</v>
      </c>
      <c r="O129" s="18">
        <f>SUMPRODUCT(P129:AI129,Sheet2!$B$3:$U$3)</f>
        <v>569898</v>
      </c>
      <c r="P129" s="18">
        <f>CEILING(INDEX([1]系统模型!$VD:$VD,MATCH(C129,[1]系统模型!$A:$A,0))*POWER(C129/220,3.8)-50+(1000-A129),1)</f>
        <v>11984</v>
      </c>
      <c r="Q129" s="18">
        <f>CEILING(INDEX([1]系统模型!$VE:$VE,MATCH(C129,[1]系统模型!$A:$A,0))*POWER(C129/220,4),1)</f>
        <v>2356</v>
      </c>
      <c r="R129" s="18">
        <f>INT(INDEX([1]系统模型!$VF:$VF,MATCH(C129,[1]系统模型!$A:$A,0))*MAX(POWER(C129/180,4),0.5))</f>
        <v>135198</v>
      </c>
      <c r="S129" s="5">
        <v>1000</v>
      </c>
      <c r="T129" s="25">
        <v>0</v>
      </c>
      <c r="U129" s="25">
        <v>0</v>
      </c>
      <c r="V129" s="25">
        <v>0</v>
      </c>
      <c r="W129" s="25">
        <v>0</v>
      </c>
      <c r="X129" s="25">
        <f t="shared" si="16"/>
        <v>6759</v>
      </c>
      <c r="Y129" s="12">
        <v>0</v>
      </c>
      <c r="Z129" s="25">
        <v>100</v>
      </c>
      <c r="AA129" s="25">
        <v>150</v>
      </c>
      <c r="AB129" s="25">
        <v>0</v>
      </c>
      <c r="AC129" s="25">
        <v>0</v>
      </c>
      <c r="AD129" s="25">
        <v>0</v>
      </c>
      <c r="AE129" s="25">
        <f t="shared" si="17"/>
        <v>462</v>
      </c>
      <c r="AF129" s="25">
        <f t="shared" si="18"/>
        <v>462</v>
      </c>
      <c r="AG129" s="25">
        <v>0</v>
      </c>
      <c r="AH129" s="25">
        <f t="shared" si="19"/>
        <v>8575</v>
      </c>
      <c r="AI129" s="25">
        <f t="shared" si="20"/>
        <v>159</v>
      </c>
      <c r="AJ129" s="25">
        <v>1</v>
      </c>
      <c r="AK129" s="25">
        <v>1000</v>
      </c>
      <c r="AL129" s="25">
        <v>100</v>
      </c>
      <c r="AM129" s="26">
        <v>10</v>
      </c>
      <c r="AN129" s="26">
        <v>10</v>
      </c>
      <c r="AO129" s="22" t="s">
        <v>2211</v>
      </c>
      <c r="AP129" s="26">
        <v>0</v>
      </c>
      <c r="AQ129" s="26">
        <f t="shared" si="21"/>
        <v>870</v>
      </c>
      <c r="AR129" s="18" t="str">
        <f ca="1">CONCATENATE(OFFSET(Sheet1!$A$2,RANDBETWEEN(2,500),0,1,1),OFFSET(Sheet1!$A$2,RANDBETWEEN(2,500),RANDBETWEEN(1,5),1,1))</f>
        <v>黑兹利特罗伦</v>
      </c>
      <c r="AS129">
        <f>SUMPRODUCT(P129:AI129,Sheet2!$B$3:$U$3)</f>
        <v>569898</v>
      </c>
    </row>
    <row r="130" spans="1:45" x14ac:dyDescent="0.15">
      <c r="A130" s="23">
        <v>129</v>
      </c>
      <c r="B130" s="18" t="s">
        <v>1892</v>
      </c>
      <c r="C130" s="18">
        <f t="shared" si="11"/>
        <v>230</v>
      </c>
      <c r="D130" s="19">
        <f t="shared" si="12"/>
        <v>3</v>
      </c>
      <c r="E130" s="19">
        <f>VLOOKUP(MOD(A130,4),各职业基础配置!C$32:D$35,2,FALSE)</f>
        <v>3</v>
      </c>
      <c r="F130" s="19">
        <f>IF(A130&lt;900,INDEX(各职业基础配置!C$23:C$28,MOD(ROW(A130),4)+1),0)</f>
        <v>14</v>
      </c>
      <c r="G130" s="19">
        <f t="shared" si="13"/>
        <v>151</v>
      </c>
      <c r="H130" s="27">
        <f t="shared" si="14"/>
        <v>3</v>
      </c>
      <c r="I130" s="6" t="s">
        <v>164</v>
      </c>
      <c r="J130" s="23" t="str">
        <f>VLOOKUP(E130,各职业基础配置!$B$9:$C$12,2,FALSE)</f>
        <v>106|107|108|4201|110</v>
      </c>
      <c r="K130" s="18" t="str">
        <f>VLOOKUP(E130,各职业基础配置!$B$15:$C$18,2,FALSE)</f>
        <v>20|21|22|23</v>
      </c>
      <c r="L130" s="18" t="str">
        <f>VLOOKUP(E130,各职业基础配置!B:C,2,FALSE)</f>
        <v>[{20,1,1},{21,1,1},{22,1,1},{23,1,1},{4,1,1},{5,1,1},{6,1,1}]</v>
      </c>
      <c r="M130" s="18">
        <v>0</v>
      </c>
      <c r="N130" s="18">
        <f t="shared" si="15"/>
        <v>7</v>
      </c>
      <c r="O130" s="18">
        <f>SUMPRODUCT(P130:AI130,Sheet2!$B$3:$U$3)</f>
        <v>556766</v>
      </c>
      <c r="P130" s="18">
        <f>CEILING(INDEX([1]系统模型!$VD:$VD,MATCH(C130,[1]系统模型!$A:$A,0))*POWER(C130/220,3.8)-50+(1000-A130),1)</f>
        <v>11700</v>
      </c>
      <c r="Q130" s="18">
        <f>CEILING(INDEX([1]系统模型!$VE:$VE,MATCH(C130,[1]系统模型!$A:$A,0))*POWER(C130/220,4),1)</f>
        <v>2288</v>
      </c>
      <c r="R130" s="18">
        <f>INT(INDEX([1]系统模型!$VF:$VF,MATCH(C130,[1]系统模型!$A:$A,0))*MAX(POWER(C130/180,4),0.5))</f>
        <v>131416</v>
      </c>
      <c r="S130" s="5">
        <v>1000</v>
      </c>
      <c r="T130" s="25">
        <v>0</v>
      </c>
      <c r="U130" s="25">
        <v>0</v>
      </c>
      <c r="V130" s="25">
        <v>0</v>
      </c>
      <c r="W130" s="25">
        <v>0</v>
      </c>
      <c r="X130" s="25">
        <f t="shared" si="16"/>
        <v>6570</v>
      </c>
      <c r="Y130" s="12">
        <v>0</v>
      </c>
      <c r="Z130" s="25">
        <v>100</v>
      </c>
      <c r="AA130" s="25">
        <v>150</v>
      </c>
      <c r="AB130" s="25">
        <v>0</v>
      </c>
      <c r="AC130" s="25">
        <v>0</v>
      </c>
      <c r="AD130" s="25">
        <v>0</v>
      </c>
      <c r="AE130" s="25">
        <f t="shared" si="17"/>
        <v>460</v>
      </c>
      <c r="AF130" s="25">
        <f t="shared" si="18"/>
        <v>460</v>
      </c>
      <c r="AG130" s="25">
        <v>0</v>
      </c>
      <c r="AH130" s="25">
        <f t="shared" si="19"/>
        <v>8500</v>
      </c>
      <c r="AI130" s="25">
        <f t="shared" si="20"/>
        <v>156</v>
      </c>
      <c r="AJ130" s="25">
        <v>1</v>
      </c>
      <c r="AK130" s="25">
        <v>1000</v>
      </c>
      <c r="AL130" s="25">
        <v>100</v>
      </c>
      <c r="AM130" s="26">
        <v>10</v>
      </c>
      <c r="AN130" s="26">
        <v>10</v>
      </c>
      <c r="AO130" s="22" t="s">
        <v>2211</v>
      </c>
      <c r="AP130" s="26">
        <v>0</v>
      </c>
      <c r="AQ130" s="26">
        <f t="shared" si="21"/>
        <v>870</v>
      </c>
      <c r="AR130" s="18" t="str">
        <f ca="1">CONCATENATE(OFFSET(Sheet1!$A$2,RANDBETWEEN(2,500),0,1,1),OFFSET(Sheet1!$A$2,RANDBETWEEN(2,500),RANDBETWEEN(1,5),1,1))</f>
        <v>贝尔</v>
      </c>
      <c r="AS130">
        <f>SUMPRODUCT(P130:AI130,Sheet2!$B$3:$U$3)</f>
        <v>556766</v>
      </c>
    </row>
    <row r="131" spans="1:45" x14ac:dyDescent="0.15">
      <c r="A131" s="18">
        <v>130</v>
      </c>
      <c r="B131" s="18" t="s">
        <v>1381</v>
      </c>
      <c r="C131" s="18">
        <f t="shared" ref="C131:C194" si="22">INT(250-(150-2)/1000*A131)</f>
        <v>230</v>
      </c>
      <c r="D131" s="19">
        <f t="shared" ref="D131:D194" si="23">MOD(A131,2)+2</f>
        <v>2</v>
      </c>
      <c r="E131" s="19">
        <f>VLOOKUP(MOD(A131,4),各职业基础配置!C$32:D$35,2,FALSE)</f>
        <v>6</v>
      </c>
      <c r="F131" s="19">
        <f>IF(A131&lt;900,INDEX(各职业基础配置!C$23:C$28,MOD(ROW(A131),4)+1),0)</f>
        <v>16</v>
      </c>
      <c r="G131" s="19">
        <f t="shared" ref="G131:G194" si="24">INT(C131*POWER(C131/250,5))</f>
        <v>151</v>
      </c>
      <c r="H131" s="27">
        <f t="shared" ref="H131:H194" si="25">CEILING(C131/75,1)-1</f>
        <v>3</v>
      </c>
      <c r="I131" s="6" t="s">
        <v>164</v>
      </c>
      <c r="J131" s="23" t="str">
        <f>VLOOKUP(E131,各职业基础配置!$B$9:$C$12,2,FALSE)</f>
        <v>111|112|113|4201|115</v>
      </c>
      <c r="K131" s="18" t="str">
        <f>VLOOKUP(E131,各职业基础配置!$B$15:$C$18,2,FALSE)</f>
        <v>32|33|34</v>
      </c>
      <c r="L131" s="18" t="str">
        <f>VLOOKUP(E131,各职业基础配置!B:C,2,FALSE)</f>
        <v>[{32,1,1},{33,1,1},{34,1,1},{35,1,1},{7,1,1},{8,1,1},{9,1,1}]</v>
      </c>
      <c r="M131" s="18">
        <v>0</v>
      </c>
      <c r="N131" s="18">
        <f t="shared" ref="N131:N194" si="26">IF(OR(E131=3,E131=6),7,3)</f>
        <v>7</v>
      </c>
      <c r="O131" s="18">
        <f>SUMPRODUCT(P131:AI131,Sheet2!$B$3:$U$3)</f>
        <v>556716</v>
      </c>
      <c r="P131" s="18">
        <f>CEILING(INDEX([1]系统模型!$VD:$VD,MATCH(C131,[1]系统模型!$A:$A,0))*POWER(C131/220,3.8)-50+(1000-A131),1)</f>
        <v>11699</v>
      </c>
      <c r="Q131" s="18">
        <f>CEILING(INDEX([1]系统模型!$VE:$VE,MATCH(C131,[1]系统模型!$A:$A,0))*POWER(C131/220,4),1)</f>
        <v>2288</v>
      </c>
      <c r="R131" s="18">
        <f>INT(INDEX([1]系统模型!$VF:$VF,MATCH(C131,[1]系统模型!$A:$A,0))*MAX(POWER(C131/180,4),0.5))</f>
        <v>131416</v>
      </c>
      <c r="S131" s="5">
        <v>1000</v>
      </c>
      <c r="T131" s="25">
        <v>0</v>
      </c>
      <c r="U131" s="25">
        <v>0</v>
      </c>
      <c r="V131" s="25">
        <v>0</v>
      </c>
      <c r="W131" s="25">
        <v>0</v>
      </c>
      <c r="X131" s="25">
        <f t="shared" ref="X131:X194" si="27">INT(R131/20)</f>
        <v>6570</v>
      </c>
      <c r="Y131" s="12">
        <v>0</v>
      </c>
      <c r="Z131" s="25">
        <v>100</v>
      </c>
      <c r="AA131" s="25">
        <v>150</v>
      </c>
      <c r="AB131" s="25">
        <v>0</v>
      </c>
      <c r="AC131" s="25">
        <v>0</v>
      </c>
      <c r="AD131" s="25">
        <v>0</v>
      </c>
      <c r="AE131" s="25">
        <f t="shared" ref="AE131:AE194" si="28">C131*2</f>
        <v>460</v>
      </c>
      <c r="AF131" s="25">
        <f t="shared" ref="AF131:AF194" si="29">C131*2</f>
        <v>460</v>
      </c>
      <c r="AG131" s="25">
        <v>0</v>
      </c>
      <c r="AH131" s="25">
        <f t="shared" ref="AH131:AH194" si="30">MAX(10000-(250-C131)*75,0)</f>
        <v>8500</v>
      </c>
      <c r="AI131" s="25">
        <f t="shared" ref="AI131:AI194" si="31">INT(P131/75)</f>
        <v>155</v>
      </c>
      <c r="AJ131" s="25">
        <v>1</v>
      </c>
      <c r="AK131" s="25">
        <v>1000</v>
      </c>
      <c r="AL131" s="25">
        <v>100</v>
      </c>
      <c r="AM131" s="26">
        <v>10</v>
      </c>
      <c r="AN131" s="26">
        <v>10</v>
      </c>
      <c r="AO131" s="22" t="s">
        <v>2211</v>
      </c>
      <c r="AP131" s="26">
        <v>0</v>
      </c>
      <c r="AQ131" s="26">
        <f t="shared" ref="AQ131:AQ194" si="32">MAX(CEILING(1000-A131*1.02,10),0)</f>
        <v>870</v>
      </c>
      <c r="AR131" s="18" t="str">
        <f ca="1">CONCATENATE(OFFSET(Sheet1!$A$2,RANDBETWEEN(2,500),0,1,1),OFFSET(Sheet1!$A$2,RANDBETWEEN(2,500),RANDBETWEEN(1,5),1,1))</f>
        <v>琼斯莉萨</v>
      </c>
      <c r="AS131">
        <f>SUMPRODUCT(P131:AI131,Sheet2!$B$3:$U$3)</f>
        <v>556716</v>
      </c>
    </row>
    <row r="132" spans="1:45" x14ac:dyDescent="0.15">
      <c r="A132" s="18">
        <v>131</v>
      </c>
      <c r="B132" s="18" t="s">
        <v>1893</v>
      </c>
      <c r="C132" s="18">
        <f t="shared" si="22"/>
        <v>230</v>
      </c>
      <c r="D132" s="19">
        <f t="shared" si="23"/>
        <v>3</v>
      </c>
      <c r="E132" s="19">
        <f>VLOOKUP(MOD(A132,4),各职业基础配置!C$32:D$35,2,FALSE)</f>
        <v>9</v>
      </c>
      <c r="F132" s="19">
        <f>IF(A132&lt;900,INDEX(各职业基础配置!C$23:C$28,MOD(ROW(A132),4)+1),0)</f>
        <v>8</v>
      </c>
      <c r="G132" s="19">
        <f t="shared" si="24"/>
        <v>151</v>
      </c>
      <c r="H132" s="27">
        <f t="shared" si="25"/>
        <v>3</v>
      </c>
      <c r="I132" s="6" t="s">
        <v>164</v>
      </c>
      <c r="J132" s="23" t="str">
        <f>VLOOKUP(E132,各职业基础配置!$B$9:$C$12,2,FALSE)</f>
        <v>116|117|118|4201|120</v>
      </c>
      <c r="K132" s="18" t="str">
        <f>VLOOKUP(E132,各职业基础配置!$B$15:$C$18,2,FALSE)</f>
        <v>28|29|30|31</v>
      </c>
      <c r="L132" s="18" t="str">
        <f>VLOOKUP(E132,各职业基础配置!B:C,2,FALSE)</f>
        <v>[{28,1,1},{29,1,1},{30,1,1},{31,1,1},{10,1,1},{11,1,1},{12,1,1}]</v>
      </c>
      <c r="M132" s="18">
        <v>0</v>
      </c>
      <c r="N132" s="18">
        <f t="shared" si="26"/>
        <v>3</v>
      </c>
      <c r="O132" s="18">
        <f>SUMPRODUCT(P132:AI132,Sheet2!$B$3:$U$3)</f>
        <v>556691</v>
      </c>
      <c r="P132" s="18">
        <f>CEILING(INDEX([1]系统模型!$VD:$VD,MATCH(C132,[1]系统模型!$A:$A,0))*POWER(C132/220,3.8)-50+(1000-A132),1)</f>
        <v>11698</v>
      </c>
      <c r="Q132" s="18">
        <f>CEILING(INDEX([1]系统模型!$VE:$VE,MATCH(C132,[1]系统模型!$A:$A,0))*POWER(C132/220,4),1)</f>
        <v>2288</v>
      </c>
      <c r="R132" s="18">
        <f>INT(INDEX([1]系统模型!$VF:$VF,MATCH(C132,[1]系统模型!$A:$A,0))*MAX(POWER(C132/180,4),0.5))</f>
        <v>131416</v>
      </c>
      <c r="S132" s="5">
        <v>1000</v>
      </c>
      <c r="T132" s="25">
        <v>0</v>
      </c>
      <c r="U132" s="25">
        <v>0</v>
      </c>
      <c r="V132" s="25">
        <v>0</v>
      </c>
      <c r="W132" s="25">
        <v>0</v>
      </c>
      <c r="X132" s="25">
        <f t="shared" si="27"/>
        <v>6570</v>
      </c>
      <c r="Y132" s="12">
        <v>0</v>
      </c>
      <c r="Z132" s="25">
        <v>100</v>
      </c>
      <c r="AA132" s="25">
        <v>150</v>
      </c>
      <c r="AB132" s="25">
        <v>0</v>
      </c>
      <c r="AC132" s="25">
        <v>0</v>
      </c>
      <c r="AD132" s="25">
        <v>0</v>
      </c>
      <c r="AE132" s="25">
        <f t="shared" si="28"/>
        <v>460</v>
      </c>
      <c r="AF132" s="25">
        <f t="shared" si="29"/>
        <v>460</v>
      </c>
      <c r="AG132" s="25">
        <v>0</v>
      </c>
      <c r="AH132" s="25">
        <f t="shared" si="30"/>
        <v>8500</v>
      </c>
      <c r="AI132" s="25">
        <f t="shared" si="31"/>
        <v>155</v>
      </c>
      <c r="AJ132" s="25">
        <v>1</v>
      </c>
      <c r="AK132" s="25">
        <v>1000</v>
      </c>
      <c r="AL132" s="25">
        <v>100</v>
      </c>
      <c r="AM132" s="26">
        <v>10</v>
      </c>
      <c r="AN132" s="26">
        <v>10</v>
      </c>
      <c r="AO132" s="22" t="s">
        <v>2211</v>
      </c>
      <c r="AP132" s="26">
        <v>0</v>
      </c>
      <c r="AQ132" s="26">
        <f t="shared" si="32"/>
        <v>870</v>
      </c>
      <c r="AR132" s="18" t="str">
        <f ca="1">CONCATENATE(OFFSET(Sheet1!$A$2,RANDBETWEEN(2,500),0,1,1),OFFSET(Sheet1!$A$2,RANDBETWEEN(2,500),RANDBETWEEN(1,5),1,1))</f>
        <v>夏洛特玛丽</v>
      </c>
      <c r="AS132">
        <f>SUMPRODUCT(P132:AI132,Sheet2!$B$3:$U$3)</f>
        <v>556691</v>
      </c>
    </row>
    <row r="133" spans="1:45" x14ac:dyDescent="0.15">
      <c r="A133" s="23">
        <v>132</v>
      </c>
      <c r="B133" s="18" t="s">
        <v>981</v>
      </c>
      <c r="C133" s="18">
        <f t="shared" si="22"/>
        <v>230</v>
      </c>
      <c r="D133" s="19">
        <f t="shared" si="23"/>
        <v>2</v>
      </c>
      <c r="E133" s="19">
        <f>VLOOKUP(MOD(A133,4),各职业基础配置!C$32:D$35,2,FALSE)</f>
        <v>1</v>
      </c>
      <c r="F133" s="19">
        <f>IF(A133&lt;900,INDEX(各职业基础配置!C$23:C$28,MOD(ROW(A133),4)+1),0)</f>
        <v>13</v>
      </c>
      <c r="G133" s="19">
        <f t="shared" si="24"/>
        <v>151</v>
      </c>
      <c r="H133" s="27">
        <f t="shared" si="25"/>
        <v>3</v>
      </c>
      <c r="I133" s="6" t="s">
        <v>164</v>
      </c>
      <c r="J133" s="23" t="str">
        <f>VLOOKUP(E133,各职业基础配置!$B$9:$C$12,2,FALSE)</f>
        <v>101|102|103|4201|105</v>
      </c>
      <c r="K133" s="18" t="str">
        <f>VLOOKUP(E133,各职业基础配置!$B$15:$C$18,2,FALSE)</f>
        <v>24|25|26|27</v>
      </c>
      <c r="L133" s="18" t="str">
        <f>VLOOKUP(E133,各职业基础配置!B:C,2,FALSE)</f>
        <v>[{24,1,1},{25,1,1},{26,1,1},{27,1,1},{1,1,1},{2,1,1},{3,1,1}]</v>
      </c>
      <c r="M133" s="18">
        <v>0</v>
      </c>
      <c r="N133" s="18">
        <f t="shared" si="26"/>
        <v>3</v>
      </c>
      <c r="O133" s="18">
        <f>SUMPRODUCT(P133:AI133,Sheet2!$B$3:$U$3)</f>
        <v>556666</v>
      </c>
      <c r="P133" s="18">
        <f>CEILING(INDEX([1]系统模型!$VD:$VD,MATCH(C133,[1]系统模型!$A:$A,0))*POWER(C133/220,3.8)-50+(1000-A133),1)</f>
        <v>11697</v>
      </c>
      <c r="Q133" s="18">
        <f>CEILING(INDEX([1]系统模型!$VE:$VE,MATCH(C133,[1]系统模型!$A:$A,0))*POWER(C133/220,4),1)</f>
        <v>2288</v>
      </c>
      <c r="R133" s="18">
        <f>INT(INDEX([1]系统模型!$VF:$VF,MATCH(C133,[1]系统模型!$A:$A,0))*MAX(POWER(C133/180,4),0.5))</f>
        <v>131416</v>
      </c>
      <c r="S133" s="5">
        <v>1000</v>
      </c>
      <c r="T133" s="25">
        <v>0</v>
      </c>
      <c r="U133" s="25">
        <v>0</v>
      </c>
      <c r="V133" s="25">
        <v>0</v>
      </c>
      <c r="W133" s="25">
        <v>0</v>
      </c>
      <c r="X133" s="25">
        <f t="shared" si="27"/>
        <v>6570</v>
      </c>
      <c r="Y133" s="12">
        <v>0</v>
      </c>
      <c r="Z133" s="25">
        <v>100</v>
      </c>
      <c r="AA133" s="25">
        <v>150</v>
      </c>
      <c r="AB133" s="25">
        <v>0</v>
      </c>
      <c r="AC133" s="25">
        <v>0</v>
      </c>
      <c r="AD133" s="25">
        <v>0</v>
      </c>
      <c r="AE133" s="25">
        <f t="shared" si="28"/>
        <v>460</v>
      </c>
      <c r="AF133" s="25">
        <f t="shared" si="29"/>
        <v>460</v>
      </c>
      <c r="AG133" s="25">
        <v>0</v>
      </c>
      <c r="AH133" s="25">
        <f t="shared" si="30"/>
        <v>8500</v>
      </c>
      <c r="AI133" s="25">
        <f t="shared" si="31"/>
        <v>155</v>
      </c>
      <c r="AJ133" s="25">
        <v>1</v>
      </c>
      <c r="AK133" s="25">
        <v>1000</v>
      </c>
      <c r="AL133" s="25">
        <v>100</v>
      </c>
      <c r="AM133" s="26">
        <v>10</v>
      </c>
      <c r="AN133" s="26">
        <v>10</v>
      </c>
      <c r="AO133" s="22" t="s">
        <v>2211</v>
      </c>
      <c r="AP133" s="26">
        <v>0</v>
      </c>
      <c r="AQ133" s="26">
        <f t="shared" si="32"/>
        <v>870</v>
      </c>
      <c r="AR133" s="18" t="str">
        <f ca="1">CONCATENATE(OFFSET(Sheet1!$A$2,RANDBETWEEN(2,500),0,1,1),OFFSET(Sheet1!$A$2,RANDBETWEEN(2,500),RANDBETWEEN(1,5),1,1))</f>
        <v>法斯特内丽</v>
      </c>
      <c r="AS133">
        <f>SUMPRODUCT(P133:AI133,Sheet2!$B$3:$U$3)</f>
        <v>556666</v>
      </c>
    </row>
    <row r="134" spans="1:45" x14ac:dyDescent="0.15">
      <c r="A134" s="18">
        <v>133</v>
      </c>
      <c r="B134" s="18" t="s">
        <v>1894</v>
      </c>
      <c r="C134" s="18">
        <f t="shared" si="22"/>
        <v>230</v>
      </c>
      <c r="D134" s="19">
        <f t="shared" si="23"/>
        <v>3</v>
      </c>
      <c r="E134" s="19">
        <f>VLOOKUP(MOD(A134,4),各职业基础配置!C$32:D$35,2,FALSE)</f>
        <v>3</v>
      </c>
      <c r="F134" s="19">
        <f>IF(A134&lt;900,INDEX(各职业基础配置!C$23:C$28,MOD(ROW(A134),4)+1),0)</f>
        <v>14</v>
      </c>
      <c r="G134" s="19">
        <f t="shared" si="24"/>
        <v>151</v>
      </c>
      <c r="H134" s="27">
        <f t="shared" si="25"/>
        <v>3</v>
      </c>
      <c r="I134" s="6" t="s">
        <v>164</v>
      </c>
      <c r="J134" s="23" t="str">
        <f>VLOOKUP(E134,各职业基础配置!$B$9:$C$12,2,FALSE)</f>
        <v>106|107|108|4201|110</v>
      </c>
      <c r="K134" s="18" t="str">
        <f>VLOOKUP(E134,各职业基础配置!$B$15:$C$18,2,FALSE)</f>
        <v>20|21|22|23</v>
      </c>
      <c r="L134" s="18" t="str">
        <f>VLOOKUP(E134,各职业基础配置!B:C,2,FALSE)</f>
        <v>[{20,1,1},{21,1,1},{22,1,1},{23,1,1},{4,1,1},{5,1,1},{6,1,1}]</v>
      </c>
      <c r="M134" s="18">
        <v>0</v>
      </c>
      <c r="N134" s="18">
        <f t="shared" si="26"/>
        <v>7</v>
      </c>
      <c r="O134" s="18">
        <f>SUMPRODUCT(P134:AI134,Sheet2!$B$3:$U$3)</f>
        <v>556641</v>
      </c>
      <c r="P134" s="18">
        <f>CEILING(INDEX([1]系统模型!$VD:$VD,MATCH(C134,[1]系统模型!$A:$A,0))*POWER(C134/220,3.8)-50+(1000-A134),1)</f>
        <v>11696</v>
      </c>
      <c r="Q134" s="18">
        <f>CEILING(INDEX([1]系统模型!$VE:$VE,MATCH(C134,[1]系统模型!$A:$A,0))*POWER(C134/220,4),1)</f>
        <v>2288</v>
      </c>
      <c r="R134" s="18">
        <f>INT(INDEX([1]系统模型!$VF:$VF,MATCH(C134,[1]系统模型!$A:$A,0))*MAX(POWER(C134/180,4),0.5))</f>
        <v>131416</v>
      </c>
      <c r="S134" s="5">
        <v>1000</v>
      </c>
      <c r="T134" s="25">
        <v>0</v>
      </c>
      <c r="U134" s="25">
        <v>0</v>
      </c>
      <c r="V134" s="25">
        <v>0</v>
      </c>
      <c r="W134" s="25">
        <v>0</v>
      </c>
      <c r="X134" s="25">
        <f t="shared" si="27"/>
        <v>6570</v>
      </c>
      <c r="Y134" s="12">
        <v>0</v>
      </c>
      <c r="Z134" s="25">
        <v>100</v>
      </c>
      <c r="AA134" s="25">
        <v>150</v>
      </c>
      <c r="AB134" s="25">
        <v>0</v>
      </c>
      <c r="AC134" s="25">
        <v>0</v>
      </c>
      <c r="AD134" s="25">
        <v>0</v>
      </c>
      <c r="AE134" s="25">
        <f t="shared" si="28"/>
        <v>460</v>
      </c>
      <c r="AF134" s="25">
        <f t="shared" si="29"/>
        <v>460</v>
      </c>
      <c r="AG134" s="25">
        <v>0</v>
      </c>
      <c r="AH134" s="25">
        <f t="shared" si="30"/>
        <v>8500</v>
      </c>
      <c r="AI134" s="25">
        <f t="shared" si="31"/>
        <v>155</v>
      </c>
      <c r="AJ134" s="25">
        <v>1</v>
      </c>
      <c r="AK134" s="25">
        <v>1000</v>
      </c>
      <c r="AL134" s="25">
        <v>100</v>
      </c>
      <c r="AM134" s="26">
        <v>10</v>
      </c>
      <c r="AN134" s="26">
        <v>10</v>
      </c>
      <c r="AO134" s="22" t="s">
        <v>2211</v>
      </c>
      <c r="AP134" s="26">
        <v>0</v>
      </c>
      <c r="AQ134" s="26">
        <f t="shared" si="32"/>
        <v>870</v>
      </c>
      <c r="AR134" s="18" t="str">
        <f ca="1">CONCATENATE(OFFSET(Sheet1!$A$2,RANDBETWEEN(2,500),0,1,1),OFFSET(Sheet1!$A$2,RANDBETWEEN(2,500),RANDBETWEEN(1,5),1,1))</f>
        <v>格莱斯顿</v>
      </c>
      <c r="AS134">
        <f>SUMPRODUCT(P134:AI134,Sheet2!$B$3:$U$3)</f>
        <v>556641</v>
      </c>
    </row>
    <row r="135" spans="1:45" x14ac:dyDescent="0.15">
      <c r="A135" s="18">
        <v>134</v>
      </c>
      <c r="B135" s="18" t="s">
        <v>397</v>
      </c>
      <c r="C135" s="18">
        <f t="shared" si="22"/>
        <v>230</v>
      </c>
      <c r="D135" s="19">
        <f t="shared" si="23"/>
        <v>2</v>
      </c>
      <c r="E135" s="19">
        <f>VLOOKUP(MOD(A135,4),各职业基础配置!C$32:D$35,2,FALSE)</f>
        <v>6</v>
      </c>
      <c r="F135" s="19">
        <f>IF(A135&lt;900,INDEX(各职业基础配置!C$23:C$28,MOD(ROW(A135),4)+1),0)</f>
        <v>16</v>
      </c>
      <c r="G135" s="19">
        <f t="shared" si="24"/>
        <v>151</v>
      </c>
      <c r="H135" s="27">
        <f t="shared" si="25"/>
        <v>3</v>
      </c>
      <c r="I135" s="6" t="s">
        <v>164</v>
      </c>
      <c r="J135" s="23" t="str">
        <f>VLOOKUP(E135,各职业基础配置!$B$9:$C$12,2,FALSE)</f>
        <v>111|112|113|4201|115</v>
      </c>
      <c r="K135" s="18" t="str">
        <f>VLOOKUP(E135,各职业基础配置!$B$15:$C$18,2,FALSE)</f>
        <v>32|33|34</v>
      </c>
      <c r="L135" s="18" t="str">
        <f>VLOOKUP(E135,各职业基础配置!B:C,2,FALSE)</f>
        <v>[{32,1,1},{33,1,1},{34,1,1},{35,1,1},{7,1,1},{8,1,1},{9,1,1}]</v>
      </c>
      <c r="M135" s="18">
        <v>0</v>
      </c>
      <c r="N135" s="18">
        <f t="shared" si="26"/>
        <v>7</v>
      </c>
      <c r="O135" s="18">
        <f>SUMPRODUCT(P135:AI135,Sheet2!$B$3:$U$3)</f>
        <v>556616</v>
      </c>
      <c r="P135" s="18">
        <f>CEILING(INDEX([1]系统模型!$VD:$VD,MATCH(C135,[1]系统模型!$A:$A,0))*POWER(C135/220,3.8)-50+(1000-A135),1)</f>
        <v>11695</v>
      </c>
      <c r="Q135" s="18">
        <f>CEILING(INDEX([1]系统模型!$VE:$VE,MATCH(C135,[1]系统模型!$A:$A,0))*POWER(C135/220,4),1)</f>
        <v>2288</v>
      </c>
      <c r="R135" s="18">
        <f>INT(INDEX([1]系统模型!$VF:$VF,MATCH(C135,[1]系统模型!$A:$A,0))*MAX(POWER(C135/180,4),0.5))</f>
        <v>131416</v>
      </c>
      <c r="S135" s="5">
        <v>1000</v>
      </c>
      <c r="T135" s="25">
        <v>0</v>
      </c>
      <c r="U135" s="25">
        <v>0</v>
      </c>
      <c r="V135" s="25">
        <v>0</v>
      </c>
      <c r="W135" s="25">
        <v>0</v>
      </c>
      <c r="X135" s="25">
        <f t="shared" si="27"/>
        <v>6570</v>
      </c>
      <c r="Y135" s="12">
        <v>0</v>
      </c>
      <c r="Z135" s="25">
        <v>100</v>
      </c>
      <c r="AA135" s="25">
        <v>150</v>
      </c>
      <c r="AB135" s="25">
        <v>0</v>
      </c>
      <c r="AC135" s="25">
        <v>0</v>
      </c>
      <c r="AD135" s="25">
        <v>0</v>
      </c>
      <c r="AE135" s="25">
        <f t="shared" si="28"/>
        <v>460</v>
      </c>
      <c r="AF135" s="25">
        <f t="shared" si="29"/>
        <v>460</v>
      </c>
      <c r="AG135" s="25">
        <v>0</v>
      </c>
      <c r="AH135" s="25">
        <f t="shared" si="30"/>
        <v>8500</v>
      </c>
      <c r="AI135" s="25">
        <f t="shared" si="31"/>
        <v>155</v>
      </c>
      <c r="AJ135" s="25">
        <v>1</v>
      </c>
      <c r="AK135" s="25">
        <v>1000</v>
      </c>
      <c r="AL135" s="25">
        <v>100</v>
      </c>
      <c r="AM135" s="26">
        <v>10</v>
      </c>
      <c r="AN135" s="26">
        <v>10</v>
      </c>
      <c r="AO135" s="22" t="s">
        <v>2211</v>
      </c>
      <c r="AP135" s="26">
        <v>0</v>
      </c>
      <c r="AQ135" s="26">
        <f t="shared" si="32"/>
        <v>870</v>
      </c>
      <c r="AR135" s="18" t="str">
        <f ca="1">CONCATENATE(OFFSET(Sheet1!$A$2,RANDBETWEEN(2,500),0,1,1),OFFSET(Sheet1!$A$2,RANDBETWEEN(2,500),RANDBETWEEN(1,5),1,1))</f>
        <v>杰姆斯</v>
      </c>
      <c r="AS135">
        <f>SUMPRODUCT(P135:AI135,Sheet2!$B$3:$U$3)</f>
        <v>556616</v>
      </c>
    </row>
    <row r="136" spans="1:45" x14ac:dyDescent="0.15">
      <c r="A136" s="23">
        <v>135</v>
      </c>
      <c r="B136" s="18" t="s">
        <v>468</v>
      </c>
      <c r="C136" s="18">
        <f t="shared" si="22"/>
        <v>230</v>
      </c>
      <c r="D136" s="19">
        <f t="shared" si="23"/>
        <v>3</v>
      </c>
      <c r="E136" s="19">
        <f>VLOOKUP(MOD(A136,4),各职业基础配置!C$32:D$35,2,FALSE)</f>
        <v>9</v>
      </c>
      <c r="F136" s="19">
        <f>IF(A136&lt;900,INDEX(各职业基础配置!C$23:C$28,MOD(ROW(A136),4)+1),0)</f>
        <v>8</v>
      </c>
      <c r="G136" s="19">
        <f t="shared" si="24"/>
        <v>151</v>
      </c>
      <c r="H136" s="27">
        <f t="shared" si="25"/>
        <v>3</v>
      </c>
      <c r="I136" s="6" t="s">
        <v>164</v>
      </c>
      <c r="J136" s="23" t="str">
        <f>VLOOKUP(E136,各职业基础配置!$B$9:$C$12,2,FALSE)</f>
        <v>116|117|118|4201|120</v>
      </c>
      <c r="K136" s="18" t="str">
        <f>VLOOKUP(E136,各职业基础配置!$B$15:$C$18,2,FALSE)</f>
        <v>28|29|30|31</v>
      </c>
      <c r="L136" s="18" t="str">
        <f>VLOOKUP(E136,各职业基础配置!B:C,2,FALSE)</f>
        <v>[{28,1,1},{29,1,1},{30,1,1},{31,1,1},{10,1,1},{11,1,1},{12,1,1}]</v>
      </c>
      <c r="M136" s="18">
        <v>0</v>
      </c>
      <c r="N136" s="18">
        <f t="shared" si="26"/>
        <v>3</v>
      </c>
      <c r="O136" s="18">
        <f>SUMPRODUCT(P136:AI136,Sheet2!$B$3:$U$3)</f>
        <v>556591</v>
      </c>
      <c r="P136" s="18">
        <f>CEILING(INDEX([1]系统模型!$VD:$VD,MATCH(C136,[1]系统模型!$A:$A,0))*POWER(C136/220,3.8)-50+(1000-A136),1)</f>
        <v>11694</v>
      </c>
      <c r="Q136" s="18">
        <f>CEILING(INDEX([1]系统模型!$VE:$VE,MATCH(C136,[1]系统模型!$A:$A,0))*POWER(C136/220,4),1)</f>
        <v>2288</v>
      </c>
      <c r="R136" s="18">
        <f>INT(INDEX([1]系统模型!$VF:$VF,MATCH(C136,[1]系统模型!$A:$A,0))*MAX(POWER(C136/180,4),0.5))</f>
        <v>131416</v>
      </c>
      <c r="S136" s="5">
        <v>1000</v>
      </c>
      <c r="T136" s="25">
        <v>0</v>
      </c>
      <c r="U136" s="25">
        <v>0</v>
      </c>
      <c r="V136" s="25">
        <v>0</v>
      </c>
      <c r="W136" s="25">
        <v>0</v>
      </c>
      <c r="X136" s="25">
        <f t="shared" si="27"/>
        <v>6570</v>
      </c>
      <c r="Y136" s="12">
        <v>0</v>
      </c>
      <c r="Z136" s="25">
        <v>100</v>
      </c>
      <c r="AA136" s="25">
        <v>150</v>
      </c>
      <c r="AB136" s="25">
        <v>0</v>
      </c>
      <c r="AC136" s="25">
        <v>0</v>
      </c>
      <c r="AD136" s="25">
        <v>0</v>
      </c>
      <c r="AE136" s="25">
        <f t="shared" si="28"/>
        <v>460</v>
      </c>
      <c r="AF136" s="25">
        <f t="shared" si="29"/>
        <v>460</v>
      </c>
      <c r="AG136" s="25">
        <v>0</v>
      </c>
      <c r="AH136" s="25">
        <f t="shared" si="30"/>
        <v>8500</v>
      </c>
      <c r="AI136" s="25">
        <f t="shared" si="31"/>
        <v>155</v>
      </c>
      <c r="AJ136" s="25">
        <v>1</v>
      </c>
      <c r="AK136" s="25">
        <v>1000</v>
      </c>
      <c r="AL136" s="25">
        <v>100</v>
      </c>
      <c r="AM136" s="26">
        <v>10</v>
      </c>
      <c r="AN136" s="26">
        <v>10</v>
      </c>
      <c r="AO136" s="22" t="s">
        <v>2211</v>
      </c>
      <c r="AP136" s="26">
        <v>0</v>
      </c>
      <c r="AQ136" s="26">
        <f t="shared" si="32"/>
        <v>870</v>
      </c>
      <c r="AR136" s="18" t="str">
        <f ca="1">CONCATENATE(OFFSET(Sheet1!$A$2,RANDBETWEEN(2,500),0,1,1),OFFSET(Sheet1!$A$2,RANDBETWEEN(2,500),RANDBETWEEN(1,5),1,1))</f>
        <v>胡德</v>
      </c>
      <c r="AS136">
        <f>SUMPRODUCT(P136:AI136,Sheet2!$B$3:$U$3)</f>
        <v>556591</v>
      </c>
    </row>
    <row r="137" spans="1:45" x14ac:dyDescent="0.15">
      <c r="A137" s="18">
        <v>136</v>
      </c>
      <c r="B137" s="18" t="s">
        <v>1895</v>
      </c>
      <c r="C137" s="18">
        <f t="shared" si="22"/>
        <v>229</v>
      </c>
      <c r="D137" s="19">
        <f t="shared" si="23"/>
        <v>2</v>
      </c>
      <c r="E137" s="19">
        <f>VLOOKUP(MOD(A137,4),各职业基础配置!C$32:D$35,2,FALSE)</f>
        <v>1</v>
      </c>
      <c r="F137" s="19">
        <f>IF(A137&lt;900,INDEX(各职业基础配置!C$23:C$28,MOD(ROW(A137),4)+1),0)</f>
        <v>13</v>
      </c>
      <c r="G137" s="19">
        <f t="shared" si="24"/>
        <v>147</v>
      </c>
      <c r="H137" s="27">
        <f t="shared" si="25"/>
        <v>3</v>
      </c>
      <c r="I137" s="6" t="s">
        <v>164</v>
      </c>
      <c r="J137" s="23" t="str">
        <f>VLOOKUP(E137,各职业基础配置!$B$9:$C$12,2,FALSE)</f>
        <v>101|102|103|4201|105</v>
      </c>
      <c r="K137" s="18" t="str">
        <f>VLOOKUP(E137,各职业基础配置!$B$15:$C$18,2,FALSE)</f>
        <v>24|25|26|27</v>
      </c>
      <c r="L137" s="18" t="str">
        <f>VLOOKUP(E137,各职业基础配置!B:C,2,FALSE)</f>
        <v>[{24,1,1},{25,1,1},{26,1,1},{27,1,1},{1,1,1},{2,1,1},{3,1,1}]</v>
      </c>
      <c r="M137" s="18">
        <v>0</v>
      </c>
      <c r="N137" s="18">
        <f t="shared" si="26"/>
        <v>3</v>
      </c>
      <c r="O137" s="18">
        <f>SUMPRODUCT(P137:AI137,Sheet2!$B$3:$U$3)</f>
        <v>542471</v>
      </c>
      <c r="P137" s="18">
        <f>CEILING(INDEX([1]系统模型!$VD:$VD,MATCH(C137,[1]系统模型!$A:$A,0))*POWER(C137/220,3.8)-50+(1000-A137),1)</f>
        <v>11361</v>
      </c>
      <c r="Q137" s="18">
        <f>CEILING(INDEX([1]系统模型!$VE:$VE,MATCH(C137,[1]系统模型!$A:$A,0))*POWER(C137/220,4),1)</f>
        <v>2222</v>
      </c>
      <c r="R137" s="18">
        <f>INT(INDEX([1]系统模型!$VF:$VF,MATCH(C137,[1]系统模型!$A:$A,0))*MAX(POWER(C137/180,4),0.5))</f>
        <v>127846</v>
      </c>
      <c r="S137" s="5">
        <v>1000</v>
      </c>
      <c r="T137" s="25">
        <v>0</v>
      </c>
      <c r="U137" s="25">
        <v>0</v>
      </c>
      <c r="V137" s="25">
        <v>0</v>
      </c>
      <c r="W137" s="25">
        <v>0</v>
      </c>
      <c r="X137" s="25">
        <f t="shared" si="27"/>
        <v>6392</v>
      </c>
      <c r="Y137" s="12">
        <v>0</v>
      </c>
      <c r="Z137" s="25">
        <v>100</v>
      </c>
      <c r="AA137" s="25">
        <v>150</v>
      </c>
      <c r="AB137" s="25">
        <v>0</v>
      </c>
      <c r="AC137" s="25">
        <v>0</v>
      </c>
      <c r="AD137" s="25">
        <v>0</v>
      </c>
      <c r="AE137" s="25">
        <f t="shared" si="28"/>
        <v>458</v>
      </c>
      <c r="AF137" s="25">
        <f t="shared" si="29"/>
        <v>458</v>
      </c>
      <c r="AG137" s="25">
        <v>0</v>
      </c>
      <c r="AH137" s="25">
        <f t="shared" si="30"/>
        <v>8425</v>
      </c>
      <c r="AI137" s="25">
        <f t="shared" si="31"/>
        <v>151</v>
      </c>
      <c r="AJ137" s="25">
        <v>1</v>
      </c>
      <c r="AK137" s="25">
        <v>1000</v>
      </c>
      <c r="AL137" s="25">
        <v>100</v>
      </c>
      <c r="AM137" s="26">
        <v>10</v>
      </c>
      <c r="AN137" s="26">
        <v>10</v>
      </c>
      <c r="AO137" s="22" t="s">
        <v>2211</v>
      </c>
      <c r="AP137" s="26">
        <v>0</v>
      </c>
      <c r="AQ137" s="26">
        <f t="shared" si="32"/>
        <v>870</v>
      </c>
      <c r="AR137" s="18" t="str">
        <f ca="1">CONCATENATE(OFFSET(Sheet1!$A$2,RANDBETWEEN(2,500),0,1,1),OFFSET(Sheet1!$A$2,RANDBETWEEN(2,500),RANDBETWEEN(1,5),1,1))</f>
        <v>汉弗莱小姐</v>
      </c>
      <c r="AS137">
        <f>SUMPRODUCT(P137:AI137,Sheet2!$B$3:$U$3)</f>
        <v>542471</v>
      </c>
    </row>
    <row r="138" spans="1:45" x14ac:dyDescent="0.15">
      <c r="A138" s="18">
        <v>137</v>
      </c>
      <c r="B138" s="18" t="s">
        <v>1896</v>
      </c>
      <c r="C138" s="18">
        <f t="shared" si="22"/>
        <v>229</v>
      </c>
      <c r="D138" s="19">
        <f t="shared" si="23"/>
        <v>3</v>
      </c>
      <c r="E138" s="19">
        <f>VLOOKUP(MOD(A138,4),各职业基础配置!C$32:D$35,2,FALSE)</f>
        <v>3</v>
      </c>
      <c r="F138" s="19">
        <f>IF(A138&lt;900,INDEX(各职业基础配置!C$23:C$28,MOD(ROW(A138),4)+1),0)</f>
        <v>14</v>
      </c>
      <c r="G138" s="19">
        <f t="shared" si="24"/>
        <v>147</v>
      </c>
      <c r="H138" s="27">
        <f t="shared" si="25"/>
        <v>3</v>
      </c>
      <c r="I138" s="6" t="s">
        <v>164</v>
      </c>
      <c r="J138" s="23" t="str">
        <f>VLOOKUP(E138,各职业基础配置!$B$9:$C$12,2,FALSE)</f>
        <v>106|107|108|4201|110</v>
      </c>
      <c r="K138" s="18" t="str">
        <f>VLOOKUP(E138,各职业基础配置!$B$15:$C$18,2,FALSE)</f>
        <v>20|21|22|23</v>
      </c>
      <c r="L138" s="18" t="str">
        <f>VLOOKUP(E138,各职业基础配置!B:C,2,FALSE)</f>
        <v>[{20,1,1},{21,1,1},{22,1,1},{23,1,1},{4,1,1},{5,1,1},{6,1,1}]</v>
      </c>
      <c r="M138" s="18">
        <v>0</v>
      </c>
      <c r="N138" s="18">
        <f t="shared" si="26"/>
        <v>7</v>
      </c>
      <c r="O138" s="18">
        <f>SUMPRODUCT(P138:AI138,Sheet2!$B$3:$U$3)</f>
        <v>542446</v>
      </c>
      <c r="P138" s="18">
        <f>CEILING(INDEX([1]系统模型!$VD:$VD,MATCH(C138,[1]系统模型!$A:$A,0))*POWER(C138/220,3.8)-50+(1000-A138),1)</f>
        <v>11360</v>
      </c>
      <c r="Q138" s="18">
        <f>CEILING(INDEX([1]系统模型!$VE:$VE,MATCH(C138,[1]系统模型!$A:$A,0))*POWER(C138/220,4),1)</f>
        <v>2222</v>
      </c>
      <c r="R138" s="18">
        <f>INT(INDEX([1]系统模型!$VF:$VF,MATCH(C138,[1]系统模型!$A:$A,0))*MAX(POWER(C138/180,4),0.5))</f>
        <v>127846</v>
      </c>
      <c r="S138" s="5">
        <v>1000</v>
      </c>
      <c r="T138" s="25">
        <v>0</v>
      </c>
      <c r="U138" s="25">
        <v>0</v>
      </c>
      <c r="V138" s="25">
        <v>0</v>
      </c>
      <c r="W138" s="25">
        <v>0</v>
      </c>
      <c r="X138" s="25">
        <f t="shared" si="27"/>
        <v>6392</v>
      </c>
      <c r="Y138" s="12">
        <v>0</v>
      </c>
      <c r="Z138" s="25">
        <v>100</v>
      </c>
      <c r="AA138" s="25">
        <v>150</v>
      </c>
      <c r="AB138" s="25">
        <v>0</v>
      </c>
      <c r="AC138" s="25">
        <v>0</v>
      </c>
      <c r="AD138" s="25">
        <v>0</v>
      </c>
      <c r="AE138" s="25">
        <f t="shared" si="28"/>
        <v>458</v>
      </c>
      <c r="AF138" s="25">
        <f t="shared" si="29"/>
        <v>458</v>
      </c>
      <c r="AG138" s="25">
        <v>0</v>
      </c>
      <c r="AH138" s="25">
        <f t="shared" si="30"/>
        <v>8425</v>
      </c>
      <c r="AI138" s="25">
        <f t="shared" si="31"/>
        <v>151</v>
      </c>
      <c r="AJ138" s="25">
        <v>1</v>
      </c>
      <c r="AK138" s="25">
        <v>1000</v>
      </c>
      <c r="AL138" s="25">
        <v>100</v>
      </c>
      <c r="AM138" s="26">
        <v>10</v>
      </c>
      <c r="AN138" s="26">
        <v>10</v>
      </c>
      <c r="AO138" s="22" t="s">
        <v>2211</v>
      </c>
      <c r="AP138" s="26">
        <v>0</v>
      </c>
      <c r="AQ138" s="26">
        <f t="shared" si="32"/>
        <v>870</v>
      </c>
      <c r="AR138" s="18" t="str">
        <f ca="1">CONCATENATE(OFFSET(Sheet1!$A$2,RANDBETWEEN(2,500),0,1,1),OFFSET(Sheet1!$A$2,RANDBETWEEN(2,500),RANDBETWEEN(1,5),1,1))</f>
        <v>卡内基克莱拉</v>
      </c>
      <c r="AS138">
        <f>SUMPRODUCT(P138:AI138,Sheet2!$B$3:$U$3)</f>
        <v>542446</v>
      </c>
    </row>
    <row r="139" spans="1:45" x14ac:dyDescent="0.15">
      <c r="A139" s="23">
        <v>138</v>
      </c>
      <c r="B139" s="18" t="s">
        <v>1897</v>
      </c>
      <c r="C139" s="18">
        <f t="shared" si="22"/>
        <v>229</v>
      </c>
      <c r="D139" s="19">
        <f t="shared" si="23"/>
        <v>2</v>
      </c>
      <c r="E139" s="19">
        <f>VLOOKUP(MOD(A139,4),各职业基础配置!C$32:D$35,2,FALSE)</f>
        <v>6</v>
      </c>
      <c r="F139" s="19">
        <f>IF(A139&lt;900,INDEX(各职业基础配置!C$23:C$28,MOD(ROW(A139),4)+1),0)</f>
        <v>16</v>
      </c>
      <c r="G139" s="19">
        <f t="shared" si="24"/>
        <v>147</v>
      </c>
      <c r="H139" s="27">
        <f t="shared" si="25"/>
        <v>3</v>
      </c>
      <c r="I139" s="6" t="s">
        <v>164</v>
      </c>
      <c r="J139" s="23" t="str">
        <f>VLOOKUP(E139,各职业基础配置!$B$9:$C$12,2,FALSE)</f>
        <v>111|112|113|4201|115</v>
      </c>
      <c r="K139" s="18" t="str">
        <f>VLOOKUP(E139,各职业基础配置!$B$15:$C$18,2,FALSE)</f>
        <v>32|33|34</v>
      </c>
      <c r="L139" s="18" t="str">
        <f>VLOOKUP(E139,各职业基础配置!B:C,2,FALSE)</f>
        <v>[{32,1,1},{33,1,1},{34,1,1},{35,1,1},{7,1,1},{8,1,1},{9,1,1}]</v>
      </c>
      <c r="M139" s="18">
        <v>0</v>
      </c>
      <c r="N139" s="18">
        <f t="shared" si="26"/>
        <v>7</v>
      </c>
      <c r="O139" s="18">
        <f>SUMPRODUCT(P139:AI139,Sheet2!$B$3:$U$3)</f>
        <v>542421</v>
      </c>
      <c r="P139" s="18">
        <f>CEILING(INDEX([1]系统模型!$VD:$VD,MATCH(C139,[1]系统模型!$A:$A,0))*POWER(C139/220,3.8)-50+(1000-A139),1)</f>
        <v>11359</v>
      </c>
      <c r="Q139" s="18">
        <f>CEILING(INDEX([1]系统模型!$VE:$VE,MATCH(C139,[1]系统模型!$A:$A,0))*POWER(C139/220,4),1)</f>
        <v>2222</v>
      </c>
      <c r="R139" s="18">
        <f>INT(INDEX([1]系统模型!$VF:$VF,MATCH(C139,[1]系统模型!$A:$A,0))*MAX(POWER(C139/180,4),0.5))</f>
        <v>127846</v>
      </c>
      <c r="S139" s="5">
        <v>1000</v>
      </c>
      <c r="T139" s="25">
        <v>0</v>
      </c>
      <c r="U139" s="25">
        <v>0</v>
      </c>
      <c r="V139" s="25">
        <v>0</v>
      </c>
      <c r="W139" s="25">
        <v>0</v>
      </c>
      <c r="X139" s="25">
        <f t="shared" si="27"/>
        <v>6392</v>
      </c>
      <c r="Y139" s="12">
        <v>0</v>
      </c>
      <c r="Z139" s="25">
        <v>100</v>
      </c>
      <c r="AA139" s="25">
        <v>150</v>
      </c>
      <c r="AB139" s="25">
        <v>0</v>
      </c>
      <c r="AC139" s="25">
        <v>0</v>
      </c>
      <c r="AD139" s="25">
        <v>0</v>
      </c>
      <c r="AE139" s="25">
        <f t="shared" si="28"/>
        <v>458</v>
      </c>
      <c r="AF139" s="25">
        <f t="shared" si="29"/>
        <v>458</v>
      </c>
      <c r="AG139" s="25">
        <v>0</v>
      </c>
      <c r="AH139" s="25">
        <f t="shared" si="30"/>
        <v>8425</v>
      </c>
      <c r="AI139" s="25">
        <f t="shared" si="31"/>
        <v>151</v>
      </c>
      <c r="AJ139" s="25">
        <v>1</v>
      </c>
      <c r="AK139" s="25">
        <v>1000</v>
      </c>
      <c r="AL139" s="25">
        <v>100</v>
      </c>
      <c r="AM139" s="26">
        <v>10</v>
      </c>
      <c r="AN139" s="26">
        <v>10</v>
      </c>
      <c r="AO139" s="22" t="s">
        <v>2211</v>
      </c>
      <c r="AP139" s="26">
        <v>0</v>
      </c>
      <c r="AQ139" s="26">
        <f t="shared" si="32"/>
        <v>860</v>
      </c>
      <c r="AR139" s="18" t="str">
        <f ca="1">CONCATENATE(OFFSET(Sheet1!$A$2,RANDBETWEEN(2,500),0,1,1),OFFSET(Sheet1!$A$2,RANDBETWEEN(2,500),RANDBETWEEN(1,5),1,1))</f>
        <v>布尔韦尔</v>
      </c>
      <c r="AS139">
        <f>SUMPRODUCT(P139:AI139,Sheet2!$B$3:$U$3)</f>
        <v>542421</v>
      </c>
    </row>
    <row r="140" spans="1:45" x14ac:dyDescent="0.15">
      <c r="A140" s="18">
        <v>139</v>
      </c>
      <c r="B140" s="18" t="s">
        <v>863</v>
      </c>
      <c r="C140" s="18">
        <f t="shared" si="22"/>
        <v>229</v>
      </c>
      <c r="D140" s="19">
        <f t="shared" si="23"/>
        <v>3</v>
      </c>
      <c r="E140" s="19">
        <f>VLOOKUP(MOD(A140,4),各职业基础配置!C$32:D$35,2,FALSE)</f>
        <v>9</v>
      </c>
      <c r="F140" s="19">
        <f>IF(A140&lt;900,INDEX(各职业基础配置!C$23:C$28,MOD(ROW(A140),4)+1),0)</f>
        <v>8</v>
      </c>
      <c r="G140" s="19">
        <f t="shared" si="24"/>
        <v>147</v>
      </c>
      <c r="H140" s="27">
        <f t="shared" si="25"/>
        <v>3</v>
      </c>
      <c r="I140" s="6" t="s">
        <v>164</v>
      </c>
      <c r="J140" s="23" t="str">
        <f>VLOOKUP(E140,各职业基础配置!$B$9:$C$12,2,FALSE)</f>
        <v>116|117|118|4201|120</v>
      </c>
      <c r="K140" s="18" t="str">
        <f>VLOOKUP(E140,各职业基础配置!$B$15:$C$18,2,FALSE)</f>
        <v>28|29|30|31</v>
      </c>
      <c r="L140" s="18" t="str">
        <f>VLOOKUP(E140,各职业基础配置!B:C,2,FALSE)</f>
        <v>[{28,1,1},{29,1,1},{30,1,1},{31,1,1},{10,1,1},{11,1,1},{12,1,1}]</v>
      </c>
      <c r="M140" s="18">
        <v>0</v>
      </c>
      <c r="N140" s="18">
        <f t="shared" si="26"/>
        <v>3</v>
      </c>
      <c r="O140" s="18">
        <f>SUMPRODUCT(P140:AI140,Sheet2!$B$3:$U$3)</f>
        <v>542396</v>
      </c>
      <c r="P140" s="18">
        <f>CEILING(INDEX([1]系统模型!$VD:$VD,MATCH(C140,[1]系统模型!$A:$A,0))*POWER(C140/220,3.8)-50+(1000-A140),1)</f>
        <v>11358</v>
      </c>
      <c r="Q140" s="18">
        <f>CEILING(INDEX([1]系统模型!$VE:$VE,MATCH(C140,[1]系统模型!$A:$A,0))*POWER(C140/220,4),1)</f>
        <v>2222</v>
      </c>
      <c r="R140" s="18">
        <f>INT(INDEX([1]系统模型!$VF:$VF,MATCH(C140,[1]系统模型!$A:$A,0))*MAX(POWER(C140/180,4),0.5))</f>
        <v>127846</v>
      </c>
      <c r="S140" s="5">
        <v>1000</v>
      </c>
      <c r="T140" s="25">
        <v>0</v>
      </c>
      <c r="U140" s="25">
        <v>0</v>
      </c>
      <c r="V140" s="25">
        <v>0</v>
      </c>
      <c r="W140" s="25">
        <v>0</v>
      </c>
      <c r="X140" s="25">
        <f t="shared" si="27"/>
        <v>6392</v>
      </c>
      <c r="Y140" s="12">
        <v>0</v>
      </c>
      <c r="Z140" s="25">
        <v>100</v>
      </c>
      <c r="AA140" s="25">
        <v>150</v>
      </c>
      <c r="AB140" s="25">
        <v>0</v>
      </c>
      <c r="AC140" s="25">
        <v>0</v>
      </c>
      <c r="AD140" s="25">
        <v>0</v>
      </c>
      <c r="AE140" s="25">
        <f t="shared" si="28"/>
        <v>458</v>
      </c>
      <c r="AF140" s="25">
        <f t="shared" si="29"/>
        <v>458</v>
      </c>
      <c r="AG140" s="25">
        <v>0</v>
      </c>
      <c r="AH140" s="25">
        <f t="shared" si="30"/>
        <v>8425</v>
      </c>
      <c r="AI140" s="25">
        <f t="shared" si="31"/>
        <v>151</v>
      </c>
      <c r="AJ140" s="25">
        <v>1</v>
      </c>
      <c r="AK140" s="25">
        <v>1000</v>
      </c>
      <c r="AL140" s="25">
        <v>100</v>
      </c>
      <c r="AM140" s="26">
        <v>10</v>
      </c>
      <c r="AN140" s="26">
        <v>10</v>
      </c>
      <c r="AO140" s="22" t="s">
        <v>2211</v>
      </c>
      <c r="AP140" s="26">
        <v>0</v>
      </c>
      <c r="AQ140" s="26">
        <f t="shared" si="32"/>
        <v>860</v>
      </c>
      <c r="AR140" s="18" t="str">
        <f ca="1">CONCATENATE(OFFSET(Sheet1!$A$2,RANDBETWEEN(2,500),0,1,1),OFFSET(Sheet1!$A$2,RANDBETWEEN(2,500),RANDBETWEEN(1,5),1,1))</f>
        <v>伯克</v>
      </c>
      <c r="AS140">
        <f>SUMPRODUCT(P140:AI140,Sheet2!$B$3:$U$3)</f>
        <v>542396</v>
      </c>
    </row>
    <row r="141" spans="1:45" x14ac:dyDescent="0.15">
      <c r="A141" s="18">
        <v>140</v>
      </c>
      <c r="B141" s="18" t="s">
        <v>1898</v>
      </c>
      <c r="C141" s="18">
        <f t="shared" si="22"/>
        <v>229</v>
      </c>
      <c r="D141" s="19">
        <f t="shared" si="23"/>
        <v>2</v>
      </c>
      <c r="E141" s="19">
        <f>VLOOKUP(MOD(A141,4),各职业基础配置!C$32:D$35,2,FALSE)</f>
        <v>1</v>
      </c>
      <c r="F141" s="19">
        <f>IF(A141&lt;900,INDEX(各职业基础配置!C$23:C$28,MOD(ROW(A141),4)+1),0)</f>
        <v>13</v>
      </c>
      <c r="G141" s="19">
        <f t="shared" si="24"/>
        <v>147</v>
      </c>
      <c r="H141" s="27">
        <f t="shared" si="25"/>
        <v>3</v>
      </c>
      <c r="I141" s="6" t="s">
        <v>164</v>
      </c>
      <c r="J141" s="23" t="str">
        <f>VLOOKUP(E141,各职业基础配置!$B$9:$C$12,2,FALSE)</f>
        <v>101|102|103|4201|105</v>
      </c>
      <c r="K141" s="18" t="str">
        <f>VLOOKUP(E141,各职业基础配置!$B$15:$C$18,2,FALSE)</f>
        <v>24|25|26|27</v>
      </c>
      <c r="L141" s="18" t="str">
        <f>VLOOKUP(E141,各职业基础配置!B:C,2,FALSE)</f>
        <v>[{24,1,1},{25,1,1},{26,1,1},{27,1,1},{1,1,1},{2,1,1},{3,1,1}]</v>
      </c>
      <c r="M141" s="18">
        <v>0</v>
      </c>
      <c r="N141" s="18">
        <f t="shared" si="26"/>
        <v>3</v>
      </c>
      <c r="O141" s="18">
        <f>SUMPRODUCT(P141:AI141,Sheet2!$B$3:$U$3)</f>
        <v>542371</v>
      </c>
      <c r="P141" s="18">
        <f>CEILING(INDEX([1]系统模型!$VD:$VD,MATCH(C141,[1]系统模型!$A:$A,0))*POWER(C141/220,3.8)-50+(1000-A141),1)</f>
        <v>11357</v>
      </c>
      <c r="Q141" s="18">
        <f>CEILING(INDEX([1]系统模型!$VE:$VE,MATCH(C141,[1]系统模型!$A:$A,0))*POWER(C141/220,4),1)</f>
        <v>2222</v>
      </c>
      <c r="R141" s="18">
        <f>INT(INDEX([1]系统模型!$VF:$VF,MATCH(C141,[1]系统模型!$A:$A,0))*MAX(POWER(C141/180,4),0.5))</f>
        <v>127846</v>
      </c>
      <c r="S141" s="5">
        <v>1000</v>
      </c>
      <c r="T141" s="25">
        <v>0</v>
      </c>
      <c r="U141" s="25">
        <v>0</v>
      </c>
      <c r="V141" s="25">
        <v>0</v>
      </c>
      <c r="W141" s="25">
        <v>0</v>
      </c>
      <c r="X141" s="25">
        <f t="shared" si="27"/>
        <v>6392</v>
      </c>
      <c r="Y141" s="12">
        <v>0</v>
      </c>
      <c r="Z141" s="25">
        <v>100</v>
      </c>
      <c r="AA141" s="25">
        <v>150</v>
      </c>
      <c r="AB141" s="25">
        <v>0</v>
      </c>
      <c r="AC141" s="25">
        <v>0</v>
      </c>
      <c r="AD141" s="25">
        <v>0</v>
      </c>
      <c r="AE141" s="25">
        <f t="shared" si="28"/>
        <v>458</v>
      </c>
      <c r="AF141" s="25">
        <f t="shared" si="29"/>
        <v>458</v>
      </c>
      <c r="AG141" s="25">
        <v>0</v>
      </c>
      <c r="AH141" s="25">
        <f t="shared" si="30"/>
        <v>8425</v>
      </c>
      <c r="AI141" s="25">
        <f t="shared" si="31"/>
        <v>151</v>
      </c>
      <c r="AJ141" s="25">
        <v>1</v>
      </c>
      <c r="AK141" s="25">
        <v>1000</v>
      </c>
      <c r="AL141" s="25">
        <v>100</v>
      </c>
      <c r="AM141" s="26">
        <v>10</v>
      </c>
      <c r="AN141" s="26">
        <v>10</v>
      </c>
      <c r="AO141" s="22" t="s">
        <v>2211</v>
      </c>
      <c r="AP141" s="26">
        <v>0</v>
      </c>
      <c r="AQ141" s="26">
        <f t="shared" si="32"/>
        <v>860</v>
      </c>
      <c r="AR141" s="18" t="str">
        <f ca="1">CONCATENATE(OFFSET(Sheet1!$A$2,RANDBETWEEN(2,500),0,1,1),OFFSET(Sheet1!$A$2,RANDBETWEEN(2,500),RANDBETWEEN(1,5),1,1))</f>
        <v>季星</v>
      </c>
      <c r="AS141">
        <f>SUMPRODUCT(P141:AI141,Sheet2!$B$3:$U$3)</f>
        <v>542371</v>
      </c>
    </row>
    <row r="142" spans="1:45" x14ac:dyDescent="0.15">
      <c r="A142" s="23">
        <v>141</v>
      </c>
      <c r="B142" s="18" t="s">
        <v>207</v>
      </c>
      <c r="C142" s="18">
        <f t="shared" si="22"/>
        <v>229</v>
      </c>
      <c r="D142" s="19">
        <f t="shared" si="23"/>
        <v>3</v>
      </c>
      <c r="E142" s="19">
        <f>VLOOKUP(MOD(A142,4),各职业基础配置!C$32:D$35,2,FALSE)</f>
        <v>3</v>
      </c>
      <c r="F142" s="19">
        <f>IF(A142&lt;900,INDEX(各职业基础配置!C$23:C$28,MOD(ROW(A142),4)+1),0)</f>
        <v>14</v>
      </c>
      <c r="G142" s="19">
        <f t="shared" si="24"/>
        <v>147</v>
      </c>
      <c r="H142" s="27">
        <f t="shared" si="25"/>
        <v>3</v>
      </c>
      <c r="I142" s="6" t="s">
        <v>164</v>
      </c>
      <c r="J142" s="23" t="str">
        <f>VLOOKUP(E142,各职业基础配置!$B$9:$C$12,2,FALSE)</f>
        <v>106|107|108|4201|110</v>
      </c>
      <c r="K142" s="18" t="str">
        <f>VLOOKUP(E142,各职业基础配置!$B$15:$C$18,2,FALSE)</f>
        <v>20|21|22|23</v>
      </c>
      <c r="L142" s="18" t="str">
        <f>VLOOKUP(E142,各职业基础配置!B:C,2,FALSE)</f>
        <v>[{20,1,1},{21,1,1},{22,1,1},{23,1,1},{4,1,1},{5,1,1},{6,1,1}]</v>
      </c>
      <c r="M142" s="18">
        <v>0</v>
      </c>
      <c r="N142" s="18">
        <f t="shared" si="26"/>
        <v>7</v>
      </c>
      <c r="O142" s="18">
        <f>SUMPRODUCT(P142:AI142,Sheet2!$B$3:$U$3)</f>
        <v>542346</v>
      </c>
      <c r="P142" s="18">
        <f>CEILING(INDEX([1]系统模型!$VD:$VD,MATCH(C142,[1]系统模型!$A:$A,0))*POWER(C142/220,3.8)-50+(1000-A142),1)</f>
        <v>11356</v>
      </c>
      <c r="Q142" s="18">
        <f>CEILING(INDEX([1]系统模型!$VE:$VE,MATCH(C142,[1]系统模型!$A:$A,0))*POWER(C142/220,4),1)</f>
        <v>2222</v>
      </c>
      <c r="R142" s="18">
        <f>INT(INDEX([1]系统模型!$VF:$VF,MATCH(C142,[1]系统模型!$A:$A,0))*MAX(POWER(C142/180,4),0.5))</f>
        <v>127846</v>
      </c>
      <c r="S142" s="5">
        <v>1000</v>
      </c>
      <c r="T142" s="25">
        <v>0</v>
      </c>
      <c r="U142" s="25">
        <v>0</v>
      </c>
      <c r="V142" s="25">
        <v>0</v>
      </c>
      <c r="W142" s="25">
        <v>0</v>
      </c>
      <c r="X142" s="25">
        <f t="shared" si="27"/>
        <v>6392</v>
      </c>
      <c r="Y142" s="12">
        <v>0</v>
      </c>
      <c r="Z142" s="25">
        <v>100</v>
      </c>
      <c r="AA142" s="25">
        <v>150</v>
      </c>
      <c r="AB142" s="25">
        <v>0</v>
      </c>
      <c r="AC142" s="25">
        <v>0</v>
      </c>
      <c r="AD142" s="25">
        <v>0</v>
      </c>
      <c r="AE142" s="25">
        <f t="shared" si="28"/>
        <v>458</v>
      </c>
      <c r="AF142" s="25">
        <f t="shared" si="29"/>
        <v>458</v>
      </c>
      <c r="AG142" s="25">
        <v>0</v>
      </c>
      <c r="AH142" s="25">
        <f t="shared" si="30"/>
        <v>8425</v>
      </c>
      <c r="AI142" s="25">
        <f t="shared" si="31"/>
        <v>151</v>
      </c>
      <c r="AJ142" s="25">
        <v>1</v>
      </c>
      <c r="AK142" s="25">
        <v>1000</v>
      </c>
      <c r="AL142" s="25">
        <v>100</v>
      </c>
      <c r="AM142" s="26">
        <v>10</v>
      </c>
      <c r="AN142" s="26">
        <v>10</v>
      </c>
      <c r="AO142" s="22" t="s">
        <v>2211</v>
      </c>
      <c r="AP142" s="26">
        <v>0</v>
      </c>
      <c r="AQ142" s="26">
        <f t="shared" si="32"/>
        <v>860</v>
      </c>
      <c r="AR142" s="18" t="str">
        <f ca="1">CONCATENATE(OFFSET(Sheet1!$A$2,RANDBETWEEN(2,500),0,1,1),OFFSET(Sheet1!$A$2,RANDBETWEEN(2,500),RANDBETWEEN(1,5),1,1))</f>
        <v>海明威西莱斯特</v>
      </c>
      <c r="AS142">
        <f>SUMPRODUCT(P142:AI142,Sheet2!$B$3:$U$3)</f>
        <v>542346</v>
      </c>
    </row>
    <row r="143" spans="1:45" x14ac:dyDescent="0.15">
      <c r="A143" s="18">
        <v>142</v>
      </c>
      <c r="B143" s="18" t="s">
        <v>1094</v>
      </c>
      <c r="C143" s="18">
        <f t="shared" si="22"/>
        <v>228</v>
      </c>
      <c r="D143" s="19">
        <f t="shared" si="23"/>
        <v>2</v>
      </c>
      <c r="E143" s="19">
        <f>VLOOKUP(MOD(A143,4),各职业基础配置!C$32:D$35,2,FALSE)</f>
        <v>6</v>
      </c>
      <c r="F143" s="19">
        <f>IF(A143&lt;900,INDEX(各职业基础配置!C$23:C$28,MOD(ROW(A143),4)+1),0)</f>
        <v>16</v>
      </c>
      <c r="G143" s="19">
        <f t="shared" si="24"/>
        <v>143</v>
      </c>
      <c r="H143" s="27">
        <f t="shared" si="25"/>
        <v>3</v>
      </c>
      <c r="I143" s="6" t="s">
        <v>164</v>
      </c>
      <c r="J143" s="23" t="str">
        <f>VLOOKUP(E143,各职业基础配置!$B$9:$C$12,2,FALSE)</f>
        <v>111|112|113|4201|115</v>
      </c>
      <c r="K143" s="18" t="str">
        <f>VLOOKUP(E143,各职业基础配置!$B$15:$C$18,2,FALSE)</f>
        <v>32|33|34</v>
      </c>
      <c r="L143" s="18" t="str">
        <f>VLOOKUP(E143,各职业基础配置!B:C,2,FALSE)</f>
        <v>[{32,1,1},{33,1,1},{34,1,1},{35,1,1},{7,1,1},{8,1,1},{9,1,1}]</v>
      </c>
      <c r="M143" s="18">
        <v>0</v>
      </c>
      <c r="N143" s="18">
        <f t="shared" si="26"/>
        <v>7</v>
      </c>
      <c r="O143" s="18">
        <f>SUMPRODUCT(P143:AI143,Sheet2!$B$3:$U$3)</f>
        <v>531057</v>
      </c>
      <c r="P143" s="18">
        <f>CEILING(INDEX([1]系统模型!$VD:$VD,MATCH(C143,[1]系统模型!$A:$A,0))*POWER(C143/220,3.8)-50+(1000-A143),1)</f>
        <v>11128</v>
      </c>
      <c r="Q143" s="18">
        <f>CEILING(INDEX([1]系统模型!$VE:$VE,MATCH(C143,[1]系统模型!$A:$A,0))*POWER(C143/220,4),1)</f>
        <v>2159</v>
      </c>
      <c r="R143" s="18">
        <f>INT(INDEX([1]系统模型!$VF:$VF,MATCH(C143,[1]系统模型!$A:$A,0))*MAX(POWER(C143/180,4),0.5))</f>
        <v>124382</v>
      </c>
      <c r="S143" s="5">
        <v>1000</v>
      </c>
      <c r="T143" s="25">
        <v>0</v>
      </c>
      <c r="U143" s="25">
        <v>0</v>
      </c>
      <c r="V143" s="25">
        <v>0</v>
      </c>
      <c r="W143" s="25">
        <v>0</v>
      </c>
      <c r="X143" s="25">
        <f t="shared" si="27"/>
        <v>6219</v>
      </c>
      <c r="Y143" s="12">
        <v>0</v>
      </c>
      <c r="Z143" s="25">
        <v>100</v>
      </c>
      <c r="AA143" s="25">
        <v>150</v>
      </c>
      <c r="AB143" s="25">
        <v>0</v>
      </c>
      <c r="AC143" s="25">
        <v>0</v>
      </c>
      <c r="AD143" s="25">
        <v>0</v>
      </c>
      <c r="AE143" s="25">
        <f t="shared" si="28"/>
        <v>456</v>
      </c>
      <c r="AF143" s="25">
        <f t="shared" si="29"/>
        <v>456</v>
      </c>
      <c r="AG143" s="25">
        <v>0</v>
      </c>
      <c r="AH143" s="25">
        <f t="shared" si="30"/>
        <v>8350</v>
      </c>
      <c r="AI143" s="25">
        <f t="shared" si="31"/>
        <v>148</v>
      </c>
      <c r="AJ143" s="25">
        <v>1</v>
      </c>
      <c r="AK143" s="25">
        <v>1000</v>
      </c>
      <c r="AL143" s="25">
        <v>100</v>
      </c>
      <c r="AM143" s="26">
        <v>10</v>
      </c>
      <c r="AN143" s="26">
        <v>10</v>
      </c>
      <c r="AO143" s="22" t="s">
        <v>2211</v>
      </c>
      <c r="AP143" s="26">
        <v>0</v>
      </c>
      <c r="AQ143" s="26">
        <f t="shared" si="32"/>
        <v>860</v>
      </c>
      <c r="AR143" s="18" t="str">
        <f ca="1">CONCATENATE(OFFSET(Sheet1!$A$2,RANDBETWEEN(2,500),0,1,1),OFFSET(Sheet1!$A$2,RANDBETWEEN(2,500),RANDBETWEEN(1,5),1,1))</f>
        <v>贺拉斯</v>
      </c>
      <c r="AS143">
        <f>SUMPRODUCT(P143:AI143,Sheet2!$B$3:$U$3)</f>
        <v>531057</v>
      </c>
    </row>
    <row r="144" spans="1:45" x14ac:dyDescent="0.15">
      <c r="A144" s="18">
        <v>143</v>
      </c>
      <c r="B144" s="18" t="s">
        <v>1899</v>
      </c>
      <c r="C144" s="18">
        <f t="shared" si="22"/>
        <v>228</v>
      </c>
      <c r="D144" s="19">
        <f t="shared" si="23"/>
        <v>3</v>
      </c>
      <c r="E144" s="19">
        <f>VLOOKUP(MOD(A144,4),各职业基础配置!C$32:D$35,2,FALSE)</f>
        <v>9</v>
      </c>
      <c r="F144" s="19">
        <f>IF(A144&lt;900,INDEX(各职业基础配置!C$23:C$28,MOD(ROW(A144),4)+1),0)</f>
        <v>8</v>
      </c>
      <c r="G144" s="19">
        <f t="shared" si="24"/>
        <v>143</v>
      </c>
      <c r="H144" s="27">
        <f t="shared" si="25"/>
        <v>3</v>
      </c>
      <c r="I144" s="6" t="s">
        <v>164</v>
      </c>
      <c r="J144" s="23" t="str">
        <f>VLOOKUP(E144,各职业基础配置!$B$9:$C$12,2,FALSE)</f>
        <v>116|117|118|4201|120</v>
      </c>
      <c r="K144" s="18" t="str">
        <f>VLOOKUP(E144,各职业基础配置!$B$15:$C$18,2,FALSE)</f>
        <v>28|29|30|31</v>
      </c>
      <c r="L144" s="18" t="str">
        <f>VLOOKUP(E144,各职业基础配置!B:C,2,FALSE)</f>
        <v>[{28,1,1},{29,1,1},{30,1,1},{31,1,1},{10,1,1},{11,1,1},{12,1,1}]</v>
      </c>
      <c r="M144" s="18">
        <v>0</v>
      </c>
      <c r="N144" s="18">
        <f t="shared" si="26"/>
        <v>3</v>
      </c>
      <c r="O144" s="18">
        <f>SUMPRODUCT(P144:AI144,Sheet2!$B$3:$U$3)</f>
        <v>531032</v>
      </c>
      <c r="P144" s="18">
        <f>CEILING(INDEX([1]系统模型!$VD:$VD,MATCH(C144,[1]系统模型!$A:$A,0))*POWER(C144/220,3.8)-50+(1000-A144),1)</f>
        <v>11127</v>
      </c>
      <c r="Q144" s="18">
        <f>CEILING(INDEX([1]系统模型!$VE:$VE,MATCH(C144,[1]系统模型!$A:$A,0))*POWER(C144/220,4),1)</f>
        <v>2159</v>
      </c>
      <c r="R144" s="18">
        <f>INT(INDEX([1]系统模型!$VF:$VF,MATCH(C144,[1]系统模型!$A:$A,0))*MAX(POWER(C144/180,4),0.5))</f>
        <v>124382</v>
      </c>
      <c r="S144" s="5">
        <v>1000</v>
      </c>
      <c r="T144" s="25">
        <v>0</v>
      </c>
      <c r="U144" s="25">
        <v>0</v>
      </c>
      <c r="V144" s="25">
        <v>0</v>
      </c>
      <c r="W144" s="25">
        <v>0</v>
      </c>
      <c r="X144" s="25">
        <f t="shared" si="27"/>
        <v>6219</v>
      </c>
      <c r="Y144" s="12">
        <v>0</v>
      </c>
      <c r="Z144" s="25">
        <v>100</v>
      </c>
      <c r="AA144" s="25">
        <v>150</v>
      </c>
      <c r="AB144" s="25">
        <v>0</v>
      </c>
      <c r="AC144" s="25">
        <v>0</v>
      </c>
      <c r="AD144" s="25">
        <v>0</v>
      </c>
      <c r="AE144" s="25">
        <f t="shared" si="28"/>
        <v>456</v>
      </c>
      <c r="AF144" s="25">
        <f t="shared" si="29"/>
        <v>456</v>
      </c>
      <c r="AG144" s="25">
        <v>0</v>
      </c>
      <c r="AH144" s="25">
        <f t="shared" si="30"/>
        <v>8350</v>
      </c>
      <c r="AI144" s="25">
        <f t="shared" si="31"/>
        <v>148</v>
      </c>
      <c r="AJ144" s="25">
        <v>1</v>
      </c>
      <c r="AK144" s="25">
        <v>1000</v>
      </c>
      <c r="AL144" s="25">
        <v>100</v>
      </c>
      <c r="AM144" s="26">
        <v>10</v>
      </c>
      <c r="AN144" s="26">
        <v>10</v>
      </c>
      <c r="AO144" s="22" t="s">
        <v>2211</v>
      </c>
      <c r="AP144" s="26">
        <v>0</v>
      </c>
      <c r="AQ144" s="26">
        <f t="shared" si="32"/>
        <v>860</v>
      </c>
      <c r="AR144" s="18" t="str">
        <f ca="1">CONCATENATE(OFFSET(Sheet1!$A$2,RANDBETWEEN(2,500),0,1,1),OFFSET(Sheet1!$A$2,RANDBETWEEN(2,500),RANDBETWEEN(1,5),1,1))</f>
        <v>比顿</v>
      </c>
      <c r="AS144">
        <f>SUMPRODUCT(P144:AI144,Sheet2!$B$3:$U$3)</f>
        <v>531032</v>
      </c>
    </row>
    <row r="145" spans="1:45" x14ac:dyDescent="0.15">
      <c r="A145" s="23">
        <v>144</v>
      </c>
      <c r="B145" s="18" t="s">
        <v>987</v>
      </c>
      <c r="C145" s="18">
        <f t="shared" si="22"/>
        <v>228</v>
      </c>
      <c r="D145" s="19">
        <f t="shared" si="23"/>
        <v>2</v>
      </c>
      <c r="E145" s="19">
        <f>VLOOKUP(MOD(A145,4),各职业基础配置!C$32:D$35,2,FALSE)</f>
        <v>1</v>
      </c>
      <c r="F145" s="19">
        <f>IF(A145&lt;900,INDEX(各职业基础配置!C$23:C$28,MOD(ROW(A145),4)+1),0)</f>
        <v>13</v>
      </c>
      <c r="G145" s="19">
        <f t="shared" si="24"/>
        <v>143</v>
      </c>
      <c r="H145" s="27">
        <f t="shared" si="25"/>
        <v>3</v>
      </c>
      <c r="I145" s="6" t="s">
        <v>164</v>
      </c>
      <c r="J145" s="23" t="str">
        <f>VLOOKUP(E145,各职业基础配置!$B$9:$C$12,2,FALSE)</f>
        <v>101|102|103|4201|105</v>
      </c>
      <c r="K145" s="18" t="str">
        <f>VLOOKUP(E145,各职业基础配置!$B$15:$C$18,2,FALSE)</f>
        <v>24|25|26|27</v>
      </c>
      <c r="L145" s="18" t="str">
        <f>VLOOKUP(E145,各职业基础配置!B:C,2,FALSE)</f>
        <v>[{24,1,1},{25,1,1},{26,1,1},{27,1,1},{1,1,1},{2,1,1},{3,1,1}]</v>
      </c>
      <c r="M145" s="18">
        <v>0</v>
      </c>
      <c r="N145" s="18">
        <f t="shared" si="26"/>
        <v>3</v>
      </c>
      <c r="O145" s="18">
        <f>SUMPRODUCT(P145:AI145,Sheet2!$B$3:$U$3)</f>
        <v>531007</v>
      </c>
      <c r="P145" s="18">
        <f>CEILING(INDEX([1]系统模型!$VD:$VD,MATCH(C145,[1]系统模型!$A:$A,0))*POWER(C145/220,3.8)-50+(1000-A145),1)</f>
        <v>11126</v>
      </c>
      <c r="Q145" s="18">
        <f>CEILING(INDEX([1]系统模型!$VE:$VE,MATCH(C145,[1]系统模型!$A:$A,0))*POWER(C145/220,4),1)</f>
        <v>2159</v>
      </c>
      <c r="R145" s="18">
        <f>INT(INDEX([1]系统模型!$VF:$VF,MATCH(C145,[1]系统模型!$A:$A,0))*MAX(POWER(C145/180,4),0.5))</f>
        <v>124382</v>
      </c>
      <c r="S145" s="5">
        <v>1000</v>
      </c>
      <c r="T145" s="25">
        <v>0</v>
      </c>
      <c r="U145" s="25">
        <v>0</v>
      </c>
      <c r="V145" s="25">
        <v>0</v>
      </c>
      <c r="W145" s="25">
        <v>0</v>
      </c>
      <c r="X145" s="25">
        <f t="shared" si="27"/>
        <v>6219</v>
      </c>
      <c r="Y145" s="12">
        <v>0</v>
      </c>
      <c r="Z145" s="25">
        <v>100</v>
      </c>
      <c r="AA145" s="25">
        <v>150</v>
      </c>
      <c r="AB145" s="25">
        <v>0</v>
      </c>
      <c r="AC145" s="25">
        <v>0</v>
      </c>
      <c r="AD145" s="25">
        <v>0</v>
      </c>
      <c r="AE145" s="25">
        <f t="shared" si="28"/>
        <v>456</v>
      </c>
      <c r="AF145" s="25">
        <f t="shared" si="29"/>
        <v>456</v>
      </c>
      <c r="AG145" s="25">
        <v>0</v>
      </c>
      <c r="AH145" s="25">
        <f t="shared" si="30"/>
        <v>8350</v>
      </c>
      <c r="AI145" s="25">
        <f t="shared" si="31"/>
        <v>148</v>
      </c>
      <c r="AJ145" s="25">
        <v>1</v>
      </c>
      <c r="AK145" s="25">
        <v>1000</v>
      </c>
      <c r="AL145" s="25">
        <v>100</v>
      </c>
      <c r="AM145" s="26">
        <v>10</v>
      </c>
      <c r="AN145" s="26">
        <v>10</v>
      </c>
      <c r="AO145" s="22" t="s">
        <v>2211</v>
      </c>
      <c r="AP145" s="26">
        <v>0</v>
      </c>
      <c r="AQ145" s="26">
        <f t="shared" si="32"/>
        <v>860</v>
      </c>
      <c r="AR145" s="18" t="str">
        <f ca="1">CONCATENATE(OFFSET(Sheet1!$A$2,RANDBETWEEN(2,500),0,1,1),OFFSET(Sheet1!$A$2,RANDBETWEEN(2,500),RANDBETWEEN(1,5),1,1))</f>
        <v>伊迪丝永恒</v>
      </c>
      <c r="AS145">
        <f>SUMPRODUCT(P145:AI145,Sheet2!$B$3:$U$3)</f>
        <v>531007</v>
      </c>
    </row>
    <row r="146" spans="1:45" x14ac:dyDescent="0.15">
      <c r="A146" s="18">
        <v>145</v>
      </c>
      <c r="B146" s="18" t="s">
        <v>1372</v>
      </c>
      <c r="C146" s="18">
        <f t="shared" si="22"/>
        <v>228</v>
      </c>
      <c r="D146" s="19">
        <f t="shared" si="23"/>
        <v>3</v>
      </c>
      <c r="E146" s="19">
        <f>VLOOKUP(MOD(A146,4),各职业基础配置!C$32:D$35,2,FALSE)</f>
        <v>3</v>
      </c>
      <c r="F146" s="19">
        <f>IF(A146&lt;900,INDEX(各职业基础配置!C$23:C$28,MOD(ROW(A146),4)+1),0)</f>
        <v>14</v>
      </c>
      <c r="G146" s="19">
        <f t="shared" si="24"/>
        <v>143</v>
      </c>
      <c r="H146" s="27">
        <f t="shared" si="25"/>
        <v>3</v>
      </c>
      <c r="I146" s="6" t="s">
        <v>164</v>
      </c>
      <c r="J146" s="23" t="str">
        <f>VLOOKUP(E146,各职业基础配置!$B$9:$C$12,2,FALSE)</f>
        <v>106|107|108|4201|110</v>
      </c>
      <c r="K146" s="18" t="str">
        <f>VLOOKUP(E146,各职业基础配置!$B$15:$C$18,2,FALSE)</f>
        <v>20|21|22|23</v>
      </c>
      <c r="L146" s="18" t="str">
        <f>VLOOKUP(E146,各职业基础配置!B:C,2,FALSE)</f>
        <v>[{20,1,1},{21,1,1},{22,1,1},{23,1,1},{4,1,1},{5,1,1},{6,1,1}]</v>
      </c>
      <c r="M146" s="18">
        <v>0</v>
      </c>
      <c r="N146" s="18">
        <f t="shared" si="26"/>
        <v>7</v>
      </c>
      <c r="O146" s="18">
        <f>SUMPRODUCT(P146:AI146,Sheet2!$B$3:$U$3)</f>
        <v>530982</v>
      </c>
      <c r="P146" s="18">
        <f>CEILING(INDEX([1]系统模型!$VD:$VD,MATCH(C146,[1]系统模型!$A:$A,0))*POWER(C146/220,3.8)-50+(1000-A146),1)</f>
        <v>11125</v>
      </c>
      <c r="Q146" s="18">
        <f>CEILING(INDEX([1]系统模型!$VE:$VE,MATCH(C146,[1]系统模型!$A:$A,0))*POWER(C146/220,4),1)</f>
        <v>2159</v>
      </c>
      <c r="R146" s="18">
        <f>INT(INDEX([1]系统模型!$VF:$VF,MATCH(C146,[1]系统模型!$A:$A,0))*MAX(POWER(C146/180,4),0.5))</f>
        <v>124382</v>
      </c>
      <c r="S146" s="5">
        <v>1000</v>
      </c>
      <c r="T146" s="25">
        <v>0</v>
      </c>
      <c r="U146" s="25">
        <v>0</v>
      </c>
      <c r="V146" s="25">
        <v>0</v>
      </c>
      <c r="W146" s="25">
        <v>0</v>
      </c>
      <c r="X146" s="25">
        <f t="shared" si="27"/>
        <v>6219</v>
      </c>
      <c r="Y146" s="12">
        <v>0</v>
      </c>
      <c r="Z146" s="25">
        <v>100</v>
      </c>
      <c r="AA146" s="25">
        <v>150</v>
      </c>
      <c r="AB146" s="25">
        <v>0</v>
      </c>
      <c r="AC146" s="25">
        <v>0</v>
      </c>
      <c r="AD146" s="25">
        <v>0</v>
      </c>
      <c r="AE146" s="25">
        <f t="shared" si="28"/>
        <v>456</v>
      </c>
      <c r="AF146" s="25">
        <f t="shared" si="29"/>
        <v>456</v>
      </c>
      <c r="AG146" s="25">
        <v>0</v>
      </c>
      <c r="AH146" s="25">
        <f t="shared" si="30"/>
        <v>8350</v>
      </c>
      <c r="AI146" s="25">
        <f t="shared" si="31"/>
        <v>148</v>
      </c>
      <c r="AJ146" s="25">
        <v>1</v>
      </c>
      <c r="AK146" s="25">
        <v>1000</v>
      </c>
      <c r="AL146" s="25">
        <v>100</v>
      </c>
      <c r="AM146" s="26">
        <v>10</v>
      </c>
      <c r="AN146" s="26">
        <v>10</v>
      </c>
      <c r="AO146" s="22" t="s">
        <v>2211</v>
      </c>
      <c r="AP146" s="26">
        <v>0</v>
      </c>
      <c r="AQ146" s="26">
        <f t="shared" si="32"/>
        <v>860</v>
      </c>
      <c r="AR146" s="18" t="str">
        <f ca="1">CONCATENATE(OFFSET(Sheet1!$A$2,RANDBETWEEN(2,500),0,1,1),OFFSET(Sheet1!$A$2,RANDBETWEEN(2,500),RANDBETWEEN(1,5),1,1))</f>
        <v>吉本</v>
      </c>
      <c r="AS146">
        <f>SUMPRODUCT(P146:AI146,Sheet2!$B$3:$U$3)</f>
        <v>530982</v>
      </c>
    </row>
    <row r="147" spans="1:45" x14ac:dyDescent="0.15">
      <c r="A147" s="18">
        <v>146</v>
      </c>
      <c r="B147" s="18" t="s">
        <v>1900</v>
      </c>
      <c r="C147" s="18">
        <f t="shared" si="22"/>
        <v>228</v>
      </c>
      <c r="D147" s="19">
        <f t="shared" si="23"/>
        <v>2</v>
      </c>
      <c r="E147" s="19">
        <f>VLOOKUP(MOD(A147,4),各职业基础配置!C$32:D$35,2,FALSE)</f>
        <v>6</v>
      </c>
      <c r="F147" s="19">
        <f>IF(A147&lt;900,INDEX(各职业基础配置!C$23:C$28,MOD(ROW(A147),4)+1),0)</f>
        <v>16</v>
      </c>
      <c r="G147" s="19">
        <f t="shared" si="24"/>
        <v>143</v>
      </c>
      <c r="H147" s="27">
        <f t="shared" si="25"/>
        <v>3</v>
      </c>
      <c r="I147" s="6" t="s">
        <v>164</v>
      </c>
      <c r="J147" s="23" t="str">
        <f>VLOOKUP(E147,各职业基础配置!$B$9:$C$12,2,FALSE)</f>
        <v>111|112|113|4201|115</v>
      </c>
      <c r="K147" s="18" t="str">
        <f>VLOOKUP(E147,各职业基础配置!$B$15:$C$18,2,FALSE)</f>
        <v>32|33|34</v>
      </c>
      <c r="L147" s="18" t="str">
        <f>VLOOKUP(E147,各职业基础配置!B:C,2,FALSE)</f>
        <v>[{32,1,1},{33,1,1},{34,1,1},{35,1,1},{7,1,1},{8,1,1},{9,1,1}]</v>
      </c>
      <c r="M147" s="18">
        <v>0</v>
      </c>
      <c r="N147" s="18">
        <f t="shared" si="26"/>
        <v>7</v>
      </c>
      <c r="O147" s="18">
        <f>SUMPRODUCT(P147:AI147,Sheet2!$B$3:$U$3)</f>
        <v>530957</v>
      </c>
      <c r="P147" s="18">
        <f>CEILING(INDEX([1]系统模型!$VD:$VD,MATCH(C147,[1]系统模型!$A:$A,0))*POWER(C147/220,3.8)-50+(1000-A147),1)</f>
        <v>11124</v>
      </c>
      <c r="Q147" s="18">
        <f>CEILING(INDEX([1]系统模型!$VE:$VE,MATCH(C147,[1]系统模型!$A:$A,0))*POWER(C147/220,4),1)</f>
        <v>2159</v>
      </c>
      <c r="R147" s="18">
        <f>INT(INDEX([1]系统模型!$VF:$VF,MATCH(C147,[1]系统模型!$A:$A,0))*MAX(POWER(C147/180,4),0.5))</f>
        <v>124382</v>
      </c>
      <c r="S147" s="5">
        <v>1000</v>
      </c>
      <c r="T147" s="25">
        <v>0</v>
      </c>
      <c r="U147" s="25">
        <v>0</v>
      </c>
      <c r="V147" s="25">
        <v>0</v>
      </c>
      <c r="W147" s="25">
        <v>0</v>
      </c>
      <c r="X147" s="25">
        <f t="shared" si="27"/>
        <v>6219</v>
      </c>
      <c r="Y147" s="12">
        <v>0</v>
      </c>
      <c r="Z147" s="25">
        <v>100</v>
      </c>
      <c r="AA147" s="25">
        <v>150</v>
      </c>
      <c r="AB147" s="25">
        <v>0</v>
      </c>
      <c r="AC147" s="25">
        <v>0</v>
      </c>
      <c r="AD147" s="25">
        <v>0</v>
      </c>
      <c r="AE147" s="25">
        <f t="shared" si="28"/>
        <v>456</v>
      </c>
      <c r="AF147" s="25">
        <f t="shared" si="29"/>
        <v>456</v>
      </c>
      <c r="AG147" s="25">
        <v>0</v>
      </c>
      <c r="AH147" s="25">
        <f t="shared" si="30"/>
        <v>8350</v>
      </c>
      <c r="AI147" s="25">
        <f t="shared" si="31"/>
        <v>148</v>
      </c>
      <c r="AJ147" s="25">
        <v>1</v>
      </c>
      <c r="AK147" s="25">
        <v>1000</v>
      </c>
      <c r="AL147" s="25">
        <v>100</v>
      </c>
      <c r="AM147" s="26">
        <v>10</v>
      </c>
      <c r="AN147" s="26">
        <v>10</v>
      </c>
      <c r="AO147" s="22" t="s">
        <v>2211</v>
      </c>
      <c r="AP147" s="26">
        <v>0</v>
      </c>
      <c r="AQ147" s="26">
        <f t="shared" si="32"/>
        <v>860</v>
      </c>
      <c r="AR147" s="18" t="str">
        <f ca="1">CONCATENATE(OFFSET(Sheet1!$A$2,RANDBETWEEN(2,500),0,1,1),OFFSET(Sheet1!$A$2,RANDBETWEEN(2,500),RANDBETWEEN(1,5),1,1))</f>
        <v>科南</v>
      </c>
      <c r="AS147">
        <f>SUMPRODUCT(P147:AI147,Sheet2!$B$3:$U$3)</f>
        <v>530957</v>
      </c>
    </row>
    <row r="148" spans="1:45" x14ac:dyDescent="0.15">
      <c r="A148" s="23">
        <v>147</v>
      </c>
      <c r="B148" s="18" t="s">
        <v>1901</v>
      </c>
      <c r="C148" s="18">
        <f t="shared" si="22"/>
        <v>228</v>
      </c>
      <c r="D148" s="19">
        <f t="shared" si="23"/>
        <v>3</v>
      </c>
      <c r="E148" s="19">
        <f>VLOOKUP(MOD(A148,4),各职业基础配置!C$32:D$35,2,FALSE)</f>
        <v>9</v>
      </c>
      <c r="F148" s="19">
        <f>IF(A148&lt;900,INDEX(各职业基础配置!C$23:C$28,MOD(ROW(A148),4)+1),0)</f>
        <v>8</v>
      </c>
      <c r="G148" s="19">
        <f t="shared" si="24"/>
        <v>143</v>
      </c>
      <c r="H148" s="27">
        <f t="shared" si="25"/>
        <v>3</v>
      </c>
      <c r="I148" s="6" t="s">
        <v>164</v>
      </c>
      <c r="J148" s="23" t="str">
        <f>VLOOKUP(E148,各职业基础配置!$B$9:$C$12,2,FALSE)</f>
        <v>116|117|118|4201|120</v>
      </c>
      <c r="K148" s="18" t="str">
        <f>VLOOKUP(E148,各职业基础配置!$B$15:$C$18,2,FALSE)</f>
        <v>28|29|30|31</v>
      </c>
      <c r="L148" s="18" t="str">
        <f>VLOOKUP(E148,各职业基础配置!B:C,2,FALSE)</f>
        <v>[{28,1,1},{29,1,1},{30,1,1},{31,1,1},{10,1,1},{11,1,1},{12,1,1}]</v>
      </c>
      <c r="M148" s="18">
        <v>0</v>
      </c>
      <c r="N148" s="18">
        <f t="shared" si="26"/>
        <v>3</v>
      </c>
      <c r="O148" s="18">
        <f>SUMPRODUCT(P148:AI148,Sheet2!$B$3:$U$3)</f>
        <v>530932</v>
      </c>
      <c r="P148" s="18">
        <f>CEILING(INDEX([1]系统模型!$VD:$VD,MATCH(C148,[1]系统模型!$A:$A,0))*POWER(C148/220,3.8)-50+(1000-A148),1)</f>
        <v>11123</v>
      </c>
      <c r="Q148" s="18">
        <f>CEILING(INDEX([1]系统模型!$VE:$VE,MATCH(C148,[1]系统模型!$A:$A,0))*POWER(C148/220,4),1)</f>
        <v>2159</v>
      </c>
      <c r="R148" s="18">
        <f>INT(INDEX([1]系统模型!$VF:$VF,MATCH(C148,[1]系统模型!$A:$A,0))*MAX(POWER(C148/180,4),0.5))</f>
        <v>124382</v>
      </c>
      <c r="S148" s="5">
        <v>1000</v>
      </c>
      <c r="T148" s="25">
        <v>0</v>
      </c>
      <c r="U148" s="25">
        <v>0</v>
      </c>
      <c r="V148" s="25">
        <v>0</v>
      </c>
      <c r="W148" s="25">
        <v>0</v>
      </c>
      <c r="X148" s="25">
        <f t="shared" si="27"/>
        <v>6219</v>
      </c>
      <c r="Y148" s="12">
        <v>0</v>
      </c>
      <c r="Z148" s="25">
        <v>100</v>
      </c>
      <c r="AA148" s="25">
        <v>150</v>
      </c>
      <c r="AB148" s="25">
        <v>0</v>
      </c>
      <c r="AC148" s="25">
        <v>0</v>
      </c>
      <c r="AD148" s="25">
        <v>0</v>
      </c>
      <c r="AE148" s="25">
        <f t="shared" si="28"/>
        <v>456</v>
      </c>
      <c r="AF148" s="25">
        <f t="shared" si="29"/>
        <v>456</v>
      </c>
      <c r="AG148" s="25">
        <v>0</v>
      </c>
      <c r="AH148" s="25">
        <f t="shared" si="30"/>
        <v>8350</v>
      </c>
      <c r="AI148" s="25">
        <f t="shared" si="31"/>
        <v>148</v>
      </c>
      <c r="AJ148" s="25">
        <v>1</v>
      </c>
      <c r="AK148" s="25">
        <v>1000</v>
      </c>
      <c r="AL148" s="25">
        <v>100</v>
      </c>
      <c r="AM148" s="26">
        <v>10</v>
      </c>
      <c r="AN148" s="26">
        <v>10</v>
      </c>
      <c r="AO148" s="22" t="s">
        <v>2211</v>
      </c>
      <c r="AP148" s="26">
        <v>0</v>
      </c>
      <c r="AQ148" s="26">
        <f t="shared" si="32"/>
        <v>860</v>
      </c>
      <c r="AR148" s="18" t="str">
        <f ca="1">CONCATENATE(OFFSET(Sheet1!$A$2,RANDBETWEEN(2,500),0,1,1),OFFSET(Sheet1!$A$2,RANDBETWEEN(2,500),RANDBETWEEN(1,5),1,1))</f>
        <v>比尔博姆</v>
      </c>
      <c r="AS148">
        <f>SUMPRODUCT(P148:AI148,Sheet2!$B$3:$U$3)</f>
        <v>530932</v>
      </c>
    </row>
    <row r="149" spans="1:45" x14ac:dyDescent="0.15">
      <c r="A149" s="18">
        <v>148</v>
      </c>
      <c r="B149" s="18" t="s">
        <v>1371</v>
      </c>
      <c r="C149" s="18">
        <f t="shared" si="22"/>
        <v>228</v>
      </c>
      <c r="D149" s="19">
        <f t="shared" si="23"/>
        <v>2</v>
      </c>
      <c r="E149" s="19">
        <f>VLOOKUP(MOD(A149,4),各职业基础配置!C$32:D$35,2,FALSE)</f>
        <v>1</v>
      </c>
      <c r="F149" s="19">
        <f>IF(A149&lt;900,INDEX(各职业基础配置!C$23:C$28,MOD(ROW(A149),4)+1),0)</f>
        <v>13</v>
      </c>
      <c r="G149" s="19">
        <f t="shared" si="24"/>
        <v>143</v>
      </c>
      <c r="H149" s="27">
        <f t="shared" si="25"/>
        <v>3</v>
      </c>
      <c r="I149" s="6" t="s">
        <v>164</v>
      </c>
      <c r="J149" s="23" t="str">
        <f>VLOOKUP(E149,各职业基础配置!$B$9:$C$12,2,FALSE)</f>
        <v>101|102|103|4201|105</v>
      </c>
      <c r="K149" s="18" t="str">
        <f>VLOOKUP(E149,各职业基础配置!$B$15:$C$18,2,FALSE)</f>
        <v>24|25|26|27</v>
      </c>
      <c r="L149" s="18" t="str">
        <f>VLOOKUP(E149,各职业基础配置!B:C,2,FALSE)</f>
        <v>[{24,1,1},{25,1,1},{26,1,1},{27,1,1},{1,1,1},{2,1,1},{3,1,1}]</v>
      </c>
      <c r="M149" s="18">
        <v>0</v>
      </c>
      <c r="N149" s="18">
        <f t="shared" si="26"/>
        <v>3</v>
      </c>
      <c r="O149" s="18">
        <f>SUMPRODUCT(P149:AI149,Sheet2!$B$3:$U$3)</f>
        <v>530907</v>
      </c>
      <c r="P149" s="18">
        <f>CEILING(INDEX([1]系统模型!$VD:$VD,MATCH(C149,[1]系统模型!$A:$A,0))*POWER(C149/220,3.8)-50+(1000-A149),1)</f>
        <v>11122</v>
      </c>
      <c r="Q149" s="18">
        <f>CEILING(INDEX([1]系统模型!$VE:$VE,MATCH(C149,[1]系统模型!$A:$A,0))*POWER(C149/220,4),1)</f>
        <v>2159</v>
      </c>
      <c r="R149" s="18">
        <f>INT(INDEX([1]系统模型!$VF:$VF,MATCH(C149,[1]系统模型!$A:$A,0))*MAX(POWER(C149/180,4),0.5))</f>
        <v>124382</v>
      </c>
      <c r="S149" s="5">
        <v>1000</v>
      </c>
      <c r="T149" s="25">
        <v>0</v>
      </c>
      <c r="U149" s="25">
        <v>0</v>
      </c>
      <c r="V149" s="25">
        <v>0</v>
      </c>
      <c r="W149" s="25">
        <v>0</v>
      </c>
      <c r="X149" s="25">
        <f t="shared" si="27"/>
        <v>6219</v>
      </c>
      <c r="Y149" s="12">
        <v>0</v>
      </c>
      <c r="Z149" s="25">
        <v>100</v>
      </c>
      <c r="AA149" s="25">
        <v>150</v>
      </c>
      <c r="AB149" s="25">
        <v>0</v>
      </c>
      <c r="AC149" s="25">
        <v>0</v>
      </c>
      <c r="AD149" s="25">
        <v>0</v>
      </c>
      <c r="AE149" s="25">
        <f t="shared" si="28"/>
        <v>456</v>
      </c>
      <c r="AF149" s="25">
        <f t="shared" si="29"/>
        <v>456</v>
      </c>
      <c r="AG149" s="25">
        <v>0</v>
      </c>
      <c r="AH149" s="25">
        <f t="shared" si="30"/>
        <v>8350</v>
      </c>
      <c r="AI149" s="25">
        <f t="shared" si="31"/>
        <v>148</v>
      </c>
      <c r="AJ149" s="25">
        <v>1</v>
      </c>
      <c r="AK149" s="25">
        <v>1000</v>
      </c>
      <c r="AL149" s="25">
        <v>100</v>
      </c>
      <c r="AM149" s="26">
        <v>10</v>
      </c>
      <c r="AN149" s="26">
        <v>10</v>
      </c>
      <c r="AO149" s="22" t="s">
        <v>2211</v>
      </c>
      <c r="AP149" s="26">
        <v>0</v>
      </c>
      <c r="AQ149" s="26">
        <f t="shared" si="32"/>
        <v>850</v>
      </c>
      <c r="AR149" s="18" t="str">
        <f ca="1">CONCATENATE(OFFSET(Sheet1!$A$2,RANDBETWEEN(2,500),0,1,1),OFFSET(Sheet1!$A$2,RANDBETWEEN(2,500),RANDBETWEEN(1,5),1,1))</f>
        <v>查尔斯</v>
      </c>
      <c r="AS149">
        <f>SUMPRODUCT(P149:AI149,Sheet2!$B$3:$U$3)</f>
        <v>530907</v>
      </c>
    </row>
    <row r="150" spans="1:45" x14ac:dyDescent="0.15">
      <c r="A150" s="18">
        <v>149</v>
      </c>
      <c r="B150" s="18" t="s">
        <v>421</v>
      </c>
      <c r="C150" s="18">
        <f t="shared" si="22"/>
        <v>227</v>
      </c>
      <c r="D150" s="19">
        <f t="shared" si="23"/>
        <v>3</v>
      </c>
      <c r="E150" s="19">
        <f>VLOOKUP(MOD(A150,4),各职业基础配置!C$32:D$35,2,FALSE)</f>
        <v>3</v>
      </c>
      <c r="F150" s="19">
        <f>IF(A150&lt;900,INDEX(各职业基础配置!C$23:C$28,MOD(ROW(A150),4)+1),0)</f>
        <v>14</v>
      </c>
      <c r="G150" s="19">
        <f t="shared" si="24"/>
        <v>140</v>
      </c>
      <c r="H150" s="27">
        <f t="shared" si="25"/>
        <v>3</v>
      </c>
      <c r="I150" s="6" t="s">
        <v>164</v>
      </c>
      <c r="J150" s="23" t="str">
        <f>VLOOKUP(E150,各职业基础配置!$B$9:$C$12,2,FALSE)</f>
        <v>106|107|108|4201|110</v>
      </c>
      <c r="K150" s="18" t="str">
        <f>VLOOKUP(E150,各职业基础配置!$B$15:$C$18,2,FALSE)</f>
        <v>20|21|22|23</v>
      </c>
      <c r="L150" s="18" t="str">
        <f>VLOOKUP(E150,各职业基础配置!B:C,2,FALSE)</f>
        <v>[{20,1,1},{21,1,1},{22,1,1},{23,1,1},{4,1,1},{5,1,1},{6,1,1}]</v>
      </c>
      <c r="M150" s="18">
        <v>0</v>
      </c>
      <c r="N150" s="18">
        <f t="shared" si="26"/>
        <v>7</v>
      </c>
      <c r="O150" s="18">
        <f>SUMPRODUCT(P150:AI150,Sheet2!$B$3:$U$3)</f>
        <v>520395</v>
      </c>
      <c r="P150" s="18">
        <f>CEILING(INDEX([1]系统模型!$VD:$VD,MATCH(C150,[1]系统模型!$A:$A,0))*POWER(C150/220,3.8)-50+(1000-A150),1)</f>
        <v>10901</v>
      </c>
      <c r="Q150" s="18">
        <f>CEILING(INDEX([1]系统模型!$VE:$VE,MATCH(C150,[1]系统模型!$A:$A,0))*POWER(C150/220,4),1)</f>
        <v>2109</v>
      </c>
      <c r="R150" s="18">
        <f>INT(INDEX([1]系统模型!$VF:$VF,MATCH(C150,[1]系统模型!$A:$A,0))*MAX(POWER(C150/180,4),0.5))</f>
        <v>121195</v>
      </c>
      <c r="S150" s="5">
        <v>1000</v>
      </c>
      <c r="T150" s="25">
        <v>0</v>
      </c>
      <c r="U150" s="25">
        <v>0</v>
      </c>
      <c r="V150" s="25">
        <v>0</v>
      </c>
      <c r="W150" s="25">
        <v>0</v>
      </c>
      <c r="X150" s="25">
        <f t="shared" si="27"/>
        <v>6059</v>
      </c>
      <c r="Y150" s="12">
        <v>0</v>
      </c>
      <c r="Z150" s="25">
        <v>100</v>
      </c>
      <c r="AA150" s="25">
        <v>150</v>
      </c>
      <c r="AB150" s="25">
        <v>0</v>
      </c>
      <c r="AC150" s="25">
        <v>0</v>
      </c>
      <c r="AD150" s="25">
        <v>0</v>
      </c>
      <c r="AE150" s="25">
        <f t="shared" si="28"/>
        <v>454</v>
      </c>
      <c r="AF150" s="25">
        <f t="shared" si="29"/>
        <v>454</v>
      </c>
      <c r="AG150" s="25">
        <v>0</v>
      </c>
      <c r="AH150" s="25">
        <f t="shared" si="30"/>
        <v>8275</v>
      </c>
      <c r="AI150" s="25">
        <f t="shared" si="31"/>
        <v>145</v>
      </c>
      <c r="AJ150" s="25">
        <v>1</v>
      </c>
      <c r="AK150" s="25">
        <v>1000</v>
      </c>
      <c r="AL150" s="25">
        <v>100</v>
      </c>
      <c r="AM150" s="26">
        <v>10</v>
      </c>
      <c r="AN150" s="26">
        <v>10</v>
      </c>
      <c r="AO150" s="22" t="s">
        <v>2211</v>
      </c>
      <c r="AP150" s="26">
        <v>0</v>
      </c>
      <c r="AQ150" s="26">
        <f t="shared" si="32"/>
        <v>850</v>
      </c>
      <c r="AR150" s="18" t="str">
        <f ca="1">CONCATENATE(OFFSET(Sheet1!$A$2,RANDBETWEEN(2,500),0,1,1),OFFSET(Sheet1!$A$2,RANDBETWEEN(2,500),RANDBETWEEN(1,5),1,1))</f>
        <v>布里奇斯</v>
      </c>
      <c r="AS150">
        <f>SUMPRODUCT(P150:AI150,Sheet2!$B$3:$U$3)</f>
        <v>520395</v>
      </c>
    </row>
    <row r="151" spans="1:45" x14ac:dyDescent="0.15">
      <c r="A151" s="23">
        <v>150</v>
      </c>
      <c r="B151" s="18" t="s">
        <v>1024</v>
      </c>
      <c r="C151" s="18">
        <f t="shared" si="22"/>
        <v>227</v>
      </c>
      <c r="D151" s="19">
        <f t="shared" si="23"/>
        <v>2</v>
      </c>
      <c r="E151" s="19">
        <f>VLOOKUP(MOD(A151,4),各职业基础配置!C$32:D$35,2,FALSE)</f>
        <v>6</v>
      </c>
      <c r="F151" s="19">
        <f>IF(A151&lt;900,INDEX(各职业基础配置!C$23:C$28,MOD(ROW(A151),4)+1),0)</f>
        <v>16</v>
      </c>
      <c r="G151" s="19">
        <f t="shared" si="24"/>
        <v>140</v>
      </c>
      <c r="H151" s="27">
        <f t="shared" si="25"/>
        <v>3</v>
      </c>
      <c r="I151" s="6" t="s">
        <v>164</v>
      </c>
      <c r="J151" s="23" t="str">
        <f>VLOOKUP(E151,各职业基础配置!$B$9:$C$12,2,FALSE)</f>
        <v>111|112|113|4201|115</v>
      </c>
      <c r="K151" s="18" t="str">
        <f>VLOOKUP(E151,各职业基础配置!$B$15:$C$18,2,FALSE)</f>
        <v>32|33|34</v>
      </c>
      <c r="L151" s="18" t="str">
        <f>VLOOKUP(E151,各职业基础配置!B:C,2,FALSE)</f>
        <v>[{32,1,1},{33,1,1},{34,1,1},{35,1,1},{7,1,1},{8,1,1},{9,1,1}]</v>
      </c>
      <c r="M151" s="18">
        <v>0</v>
      </c>
      <c r="N151" s="18">
        <f t="shared" si="26"/>
        <v>7</v>
      </c>
      <c r="O151" s="18">
        <f>SUMPRODUCT(P151:AI151,Sheet2!$B$3:$U$3)</f>
        <v>520370</v>
      </c>
      <c r="P151" s="18">
        <f>CEILING(INDEX([1]系统模型!$VD:$VD,MATCH(C151,[1]系统模型!$A:$A,0))*POWER(C151/220,3.8)-50+(1000-A151),1)</f>
        <v>10900</v>
      </c>
      <c r="Q151" s="18">
        <f>CEILING(INDEX([1]系统模型!$VE:$VE,MATCH(C151,[1]系统模型!$A:$A,0))*POWER(C151/220,4),1)</f>
        <v>2109</v>
      </c>
      <c r="R151" s="18">
        <f>INT(INDEX([1]系统模型!$VF:$VF,MATCH(C151,[1]系统模型!$A:$A,0))*MAX(POWER(C151/180,4),0.5))</f>
        <v>121195</v>
      </c>
      <c r="S151" s="5">
        <v>1000</v>
      </c>
      <c r="T151" s="25">
        <v>0</v>
      </c>
      <c r="U151" s="25">
        <v>0</v>
      </c>
      <c r="V151" s="25">
        <v>0</v>
      </c>
      <c r="W151" s="25">
        <v>0</v>
      </c>
      <c r="X151" s="25">
        <f t="shared" si="27"/>
        <v>6059</v>
      </c>
      <c r="Y151" s="12">
        <v>0</v>
      </c>
      <c r="Z151" s="25">
        <v>100</v>
      </c>
      <c r="AA151" s="25">
        <v>150</v>
      </c>
      <c r="AB151" s="25">
        <v>0</v>
      </c>
      <c r="AC151" s="25">
        <v>0</v>
      </c>
      <c r="AD151" s="25">
        <v>0</v>
      </c>
      <c r="AE151" s="25">
        <f t="shared" si="28"/>
        <v>454</v>
      </c>
      <c r="AF151" s="25">
        <f t="shared" si="29"/>
        <v>454</v>
      </c>
      <c r="AG151" s="25">
        <v>0</v>
      </c>
      <c r="AH151" s="25">
        <f t="shared" si="30"/>
        <v>8275</v>
      </c>
      <c r="AI151" s="25">
        <f t="shared" si="31"/>
        <v>145</v>
      </c>
      <c r="AJ151" s="25">
        <v>1</v>
      </c>
      <c r="AK151" s="25">
        <v>1000</v>
      </c>
      <c r="AL151" s="25">
        <v>100</v>
      </c>
      <c r="AM151" s="26">
        <v>10</v>
      </c>
      <c r="AN151" s="26">
        <v>10</v>
      </c>
      <c r="AO151" s="22" t="s">
        <v>2211</v>
      </c>
      <c r="AP151" s="26">
        <v>0</v>
      </c>
      <c r="AQ151" s="26">
        <f t="shared" si="32"/>
        <v>850</v>
      </c>
      <c r="AR151" s="18" t="str">
        <f ca="1">CONCATENATE(OFFSET(Sheet1!$A$2,RANDBETWEEN(2,500),0,1,1),OFFSET(Sheet1!$A$2,RANDBETWEEN(2,500),RANDBETWEEN(1,5),1,1))</f>
        <v>比利</v>
      </c>
      <c r="AS151">
        <f>SUMPRODUCT(P151:AI151,Sheet2!$B$3:$U$3)</f>
        <v>520370</v>
      </c>
    </row>
    <row r="152" spans="1:45" x14ac:dyDescent="0.15">
      <c r="A152" s="18">
        <v>151</v>
      </c>
      <c r="B152" s="18" t="s">
        <v>1204</v>
      </c>
      <c r="C152" s="18">
        <f t="shared" si="22"/>
        <v>227</v>
      </c>
      <c r="D152" s="19">
        <f t="shared" si="23"/>
        <v>3</v>
      </c>
      <c r="E152" s="19">
        <f>VLOOKUP(MOD(A152,4),各职业基础配置!C$32:D$35,2,FALSE)</f>
        <v>9</v>
      </c>
      <c r="F152" s="19">
        <f>IF(A152&lt;900,INDEX(各职业基础配置!C$23:C$28,MOD(ROW(A152),4)+1),0)</f>
        <v>8</v>
      </c>
      <c r="G152" s="19">
        <f t="shared" si="24"/>
        <v>140</v>
      </c>
      <c r="H152" s="27">
        <f t="shared" si="25"/>
        <v>3</v>
      </c>
      <c r="I152" s="6" t="s">
        <v>164</v>
      </c>
      <c r="J152" s="23" t="str">
        <f>VLOOKUP(E152,各职业基础配置!$B$9:$C$12,2,FALSE)</f>
        <v>116|117|118|4201|120</v>
      </c>
      <c r="K152" s="18" t="str">
        <f>VLOOKUP(E152,各职业基础配置!$B$15:$C$18,2,FALSE)</f>
        <v>28|29|30|31</v>
      </c>
      <c r="L152" s="18" t="str">
        <f>VLOOKUP(E152,各职业基础配置!B:C,2,FALSE)</f>
        <v>[{28,1,1},{29,1,1},{30,1,1},{31,1,1},{10,1,1},{11,1,1},{12,1,1}]</v>
      </c>
      <c r="M152" s="18">
        <v>0</v>
      </c>
      <c r="N152" s="18">
        <f t="shared" si="26"/>
        <v>3</v>
      </c>
      <c r="O152" s="18">
        <f>SUMPRODUCT(P152:AI152,Sheet2!$B$3:$U$3)</f>
        <v>520345</v>
      </c>
      <c r="P152" s="18">
        <f>CEILING(INDEX([1]系统模型!$VD:$VD,MATCH(C152,[1]系统模型!$A:$A,0))*POWER(C152/220,3.8)-50+(1000-A152),1)</f>
        <v>10899</v>
      </c>
      <c r="Q152" s="18">
        <f>CEILING(INDEX([1]系统模型!$VE:$VE,MATCH(C152,[1]系统模型!$A:$A,0))*POWER(C152/220,4),1)</f>
        <v>2109</v>
      </c>
      <c r="R152" s="18">
        <f>INT(INDEX([1]系统模型!$VF:$VF,MATCH(C152,[1]系统模型!$A:$A,0))*MAX(POWER(C152/180,4),0.5))</f>
        <v>121195</v>
      </c>
      <c r="S152" s="5">
        <v>1000</v>
      </c>
      <c r="T152" s="25">
        <v>0</v>
      </c>
      <c r="U152" s="25">
        <v>0</v>
      </c>
      <c r="V152" s="25">
        <v>0</v>
      </c>
      <c r="W152" s="25">
        <v>0</v>
      </c>
      <c r="X152" s="25">
        <f t="shared" si="27"/>
        <v>6059</v>
      </c>
      <c r="Y152" s="12">
        <v>0</v>
      </c>
      <c r="Z152" s="25">
        <v>100</v>
      </c>
      <c r="AA152" s="25">
        <v>150</v>
      </c>
      <c r="AB152" s="25">
        <v>0</v>
      </c>
      <c r="AC152" s="25">
        <v>0</v>
      </c>
      <c r="AD152" s="25">
        <v>0</v>
      </c>
      <c r="AE152" s="25">
        <f t="shared" si="28"/>
        <v>454</v>
      </c>
      <c r="AF152" s="25">
        <f t="shared" si="29"/>
        <v>454</v>
      </c>
      <c r="AG152" s="25">
        <v>0</v>
      </c>
      <c r="AH152" s="25">
        <f t="shared" si="30"/>
        <v>8275</v>
      </c>
      <c r="AI152" s="25">
        <f t="shared" si="31"/>
        <v>145</v>
      </c>
      <c r="AJ152" s="25">
        <v>1</v>
      </c>
      <c r="AK152" s="25">
        <v>1000</v>
      </c>
      <c r="AL152" s="25">
        <v>100</v>
      </c>
      <c r="AM152" s="26">
        <v>10</v>
      </c>
      <c r="AN152" s="26">
        <v>10</v>
      </c>
      <c r="AO152" s="22" t="s">
        <v>2211</v>
      </c>
      <c r="AP152" s="26">
        <v>0</v>
      </c>
      <c r="AQ152" s="26">
        <f t="shared" si="32"/>
        <v>850</v>
      </c>
      <c r="AR152" s="18" t="str">
        <f ca="1">CONCATENATE(OFFSET(Sheet1!$A$2,RANDBETWEEN(2,500),0,1,1),OFFSET(Sheet1!$A$2,RANDBETWEEN(2,500),RANDBETWEEN(1,5),1,1))</f>
        <v>富兰克林伊莲恩</v>
      </c>
      <c r="AS152">
        <f>SUMPRODUCT(P152:AI152,Sheet2!$B$3:$U$3)</f>
        <v>520345</v>
      </c>
    </row>
    <row r="153" spans="1:45" x14ac:dyDescent="0.15">
      <c r="A153" s="18">
        <v>152</v>
      </c>
      <c r="B153" s="18" t="s">
        <v>1902</v>
      </c>
      <c r="C153" s="18">
        <f t="shared" si="22"/>
        <v>227</v>
      </c>
      <c r="D153" s="19">
        <f t="shared" si="23"/>
        <v>2</v>
      </c>
      <c r="E153" s="19">
        <f>VLOOKUP(MOD(A153,4),各职业基础配置!C$32:D$35,2,FALSE)</f>
        <v>1</v>
      </c>
      <c r="F153" s="19">
        <f>IF(A153&lt;900,INDEX(各职业基础配置!C$23:C$28,MOD(ROW(A153),4)+1),0)</f>
        <v>13</v>
      </c>
      <c r="G153" s="19">
        <f t="shared" si="24"/>
        <v>140</v>
      </c>
      <c r="H153" s="27">
        <f t="shared" si="25"/>
        <v>3</v>
      </c>
      <c r="I153" s="6" t="s">
        <v>164</v>
      </c>
      <c r="J153" s="23" t="str">
        <f>VLOOKUP(E153,各职业基础配置!$B$9:$C$12,2,FALSE)</f>
        <v>101|102|103|4201|105</v>
      </c>
      <c r="K153" s="18" t="str">
        <f>VLOOKUP(E153,各职业基础配置!$B$15:$C$18,2,FALSE)</f>
        <v>24|25|26|27</v>
      </c>
      <c r="L153" s="18" t="str">
        <f>VLOOKUP(E153,各职业基础配置!B:C,2,FALSE)</f>
        <v>[{24,1,1},{25,1,1},{26,1,1},{27,1,1},{1,1,1},{2,1,1},{3,1,1}]</v>
      </c>
      <c r="M153" s="18">
        <v>0</v>
      </c>
      <c r="N153" s="18">
        <f t="shared" si="26"/>
        <v>3</v>
      </c>
      <c r="O153" s="18">
        <f>SUMPRODUCT(P153:AI153,Sheet2!$B$3:$U$3)</f>
        <v>520320</v>
      </c>
      <c r="P153" s="18">
        <f>CEILING(INDEX([1]系统模型!$VD:$VD,MATCH(C153,[1]系统模型!$A:$A,0))*POWER(C153/220,3.8)-50+(1000-A153),1)</f>
        <v>10898</v>
      </c>
      <c r="Q153" s="18">
        <f>CEILING(INDEX([1]系统模型!$VE:$VE,MATCH(C153,[1]系统模型!$A:$A,0))*POWER(C153/220,4),1)</f>
        <v>2109</v>
      </c>
      <c r="R153" s="18">
        <f>INT(INDEX([1]系统模型!$VF:$VF,MATCH(C153,[1]系统模型!$A:$A,0))*MAX(POWER(C153/180,4),0.5))</f>
        <v>121195</v>
      </c>
      <c r="S153" s="5">
        <v>1000</v>
      </c>
      <c r="T153" s="25">
        <v>0</v>
      </c>
      <c r="U153" s="25">
        <v>0</v>
      </c>
      <c r="V153" s="25">
        <v>0</v>
      </c>
      <c r="W153" s="25">
        <v>0</v>
      </c>
      <c r="X153" s="25">
        <f t="shared" si="27"/>
        <v>6059</v>
      </c>
      <c r="Y153" s="12">
        <v>0</v>
      </c>
      <c r="Z153" s="25">
        <v>100</v>
      </c>
      <c r="AA153" s="25">
        <v>150</v>
      </c>
      <c r="AB153" s="25">
        <v>0</v>
      </c>
      <c r="AC153" s="25">
        <v>0</v>
      </c>
      <c r="AD153" s="25">
        <v>0</v>
      </c>
      <c r="AE153" s="25">
        <f t="shared" si="28"/>
        <v>454</v>
      </c>
      <c r="AF153" s="25">
        <f t="shared" si="29"/>
        <v>454</v>
      </c>
      <c r="AG153" s="25">
        <v>0</v>
      </c>
      <c r="AH153" s="25">
        <f t="shared" si="30"/>
        <v>8275</v>
      </c>
      <c r="AI153" s="25">
        <f t="shared" si="31"/>
        <v>145</v>
      </c>
      <c r="AJ153" s="25">
        <v>1</v>
      </c>
      <c r="AK153" s="25">
        <v>1000</v>
      </c>
      <c r="AL153" s="25">
        <v>100</v>
      </c>
      <c r="AM153" s="26">
        <v>10</v>
      </c>
      <c r="AN153" s="26">
        <v>10</v>
      </c>
      <c r="AO153" s="22" t="s">
        <v>2211</v>
      </c>
      <c r="AP153" s="26">
        <v>0</v>
      </c>
      <c r="AQ153" s="26">
        <f t="shared" si="32"/>
        <v>850</v>
      </c>
      <c r="AR153" s="18" t="str">
        <f ca="1">CONCATENATE(OFFSET(Sheet1!$A$2,RANDBETWEEN(2,500),0,1,1),OFFSET(Sheet1!$A$2,RANDBETWEEN(2,500),RANDBETWEEN(1,5),1,1))</f>
        <v>埃维莉娜</v>
      </c>
      <c r="AS153">
        <f>SUMPRODUCT(P153:AI153,Sheet2!$B$3:$U$3)</f>
        <v>520320</v>
      </c>
    </row>
    <row r="154" spans="1:45" x14ac:dyDescent="0.15">
      <c r="A154" s="23">
        <v>153</v>
      </c>
      <c r="B154" s="18" t="s">
        <v>998</v>
      </c>
      <c r="C154" s="18">
        <f t="shared" si="22"/>
        <v>227</v>
      </c>
      <c r="D154" s="19">
        <f t="shared" si="23"/>
        <v>3</v>
      </c>
      <c r="E154" s="19">
        <f>VLOOKUP(MOD(A154,4),各职业基础配置!C$32:D$35,2,FALSE)</f>
        <v>3</v>
      </c>
      <c r="F154" s="19">
        <f>IF(A154&lt;900,INDEX(各职业基础配置!C$23:C$28,MOD(ROW(A154),4)+1),0)</f>
        <v>14</v>
      </c>
      <c r="G154" s="19">
        <f t="shared" si="24"/>
        <v>140</v>
      </c>
      <c r="H154" s="27">
        <f t="shared" si="25"/>
        <v>3</v>
      </c>
      <c r="I154" s="6" t="s">
        <v>164</v>
      </c>
      <c r="J154" s="23" t="str">
        <f>VLOOKUP(E154,各职业基础配置!$B$9:$C$12,2,FALSE)</f>
        <v>106|107|108|4201|110</v>
      </c>
      <c r="K154" s="18" t="str">
        <f>VLOOKUP(E154,各职业基础配置!$B$15:$C$18,2,FALSE)</f>
        <v>20|21|22|23</v>
      </c>
      <c r="L154" s="18" t="str">
        <f>VLOOKUP(E154,各职业基础配置!B:C,2,FALSE)</f>
        <v>[{20,1,1},{21,1,1},{22,1,1},{23,1,1},{4,1,1},{5,1,1},{6,1,1}]</v>
      </c>
      <c r="M154" s="18">
        <v>0</v>
      </c>
      <c r="N154" s="18">
        <f t="shared" si="26"/>
        <v>7</v>
      </c>
      <c r="O154" s="18">
        <f>SUMPRODUCT(P154:AI154,Sheet2!$B$3:$U$3)</f>
        <v>520295</v>
      </c>
      <c r="P154" s="18">
        <f>CEILING(INDEX([1]系统模型!$VD:$VD,MATCH(C154,[1]系统模型!$A:$A,0))*POWER(C154/220,3.8)-50+(1000-A154),1)</f>
        <v>10897</v>
      </c>
      <c r="Q154" s="18">
        <f>CEILING(INDEX([1]系统模型!$VE:$VE,MATCH(C154,[1]系统模型!$A:$A,0))*POWER(C154/220,4),1)</f>
        <v>2109</v>
      </c>
      <c r="R154" s="18">
        <f>INT(INDEX([1]系统模型!$VF:$VF,MATCH(C154,[1]系统模型!$A:$A,0))*MAX(POWER(C154/180,4),0.5))</f>
        <v>121195</v>
      </c>
      <c r="S154" s="5">
        <v>1000</v>
      </c>
      <c r="T154" s="25">
        <v>0</v>
      </c>
      <c r="U154" s="25">
        <v>0</v>
      </c>
      <c r="V154" s="25">
        <v>0</v>
      </c>
      <c r="W154" s="25">
        <v>0</v>
      </c>
      <c r="X154" s="25">
        <f t="shared" si="27"/>
        <v>6059</v>
      </c>
      <c r="Y154" s="12">
        <v>0</v>
      </c>
      <c r="Z154" s="25">
        <v>100</v>
      </c>
      <c r="AA154" s="25">
        <v>150</v>
      </c>
      <c r="AB154" s="25">
        <v>0</v>
      </c>
      <c r="AC154" s="25">
        <v>0</v>
      </c>
      <c r="AD154" s="25">
        <v>0</v>
      </c>
      <c r="AE154" s="25">
        <f t="shared" si="28"/>
        <v>454</v>
      </c>
      <c r="AF154" s="25">
        <f t="shared" si="29"/>
        <v>454</v>
      </c>
      <c r="AG154" s="25">
        <v>0</v>
      </c>
      <c r="AH154" s="25">
        <f t="shared" si="30"/>
        <v>8275</v>
      </c>
      <c r="AI154" s="25">
        <f t="shared" si="31"/>
        <v>145</v>
      </c>
      <c r="AJ154" s="25">
        <v>1</v>
      </c>
      <c r="AK154" s="25">
        <v>1000</v>
      </c>
      <c r="AL154" s="25">
        <v>100</v>
      </c>
      <c r="AM154" s="26">
        <v>10</v>
      </c>
      <c r="AN154" s="26">
        <v>10</v>
      </c>
      <c r="AO154" s="22" t="s">
        <v>2211</v>
      </c>
      <c r="AP154" s="26">
        <v>0</v>
      </c>
      <c r="AQ154" s="26">
        <f t="shared" si="32"/>
        <v>850</v>
      </c>
      <c r="AR154" s="18" t="str">
        <f ca="1">CONCATENATE(OFFSET(Sheet1!$A$2,RANDBETWEEN(2,500),0,1,1),OFFSET(Sheet1!$A$2,RANDBETWEEN(2,500),RANDBETWEEN(1,5),1,1))</f>
        <v>埃丝特</v>
      </c>
      <c r="AS154">
        <f>SUMPRODUCT(P154:AI154,Sheet2!$B$3:$U$3)</f>
        <v>520295</v>
      </c>
    </row>
    <row r="155" spans="1:45" x14ac:dyDescent="0.15">
      <c r="A155" s="18">
        <v>154</v>
      </c>
      <c r="B155" s="18" t="s">
        <v>1903</v>
      </c>
      <c r="C155" s="18">
        <f t="shared" si="22"/>
        <v>227</v>
      </c>
      <c r="D155" s="19">
        <f t="shared" si="23"/>
        <v>2</v>
      </c>
      <c r="E155" s="19">
        <f>VLOOKUP(MOD(A155,4),各职业基础配置!C$32:D$35,2,FALSE)</f>
        <v>6</v>
      </c>
      <c r="F155" s="19">
        <f>IF(A155&lt;900,INDEX(各职业基础配置!C$23:C$28,MOD(ROW(A155),4)+1),0)</f>
        <v>16</v>
      </c>
      <c r="G155" s="19">
        <f t="shared" si="24"/>
        <v>140</v>
      </c>
      <c r="H155" s="27">
        <f t="shared" si="25"/>
        <v>3</v>
      </c>
      <c r="I155" s="6" t="s">
        <v>164</v>
      </c>
      <c r="J155" s="23" t="str">
        <f>VLOOKUP(E155,各职业基础配置!$B$9:$C$12,2,FALSE)</f>
        <v>111|112|113|4201|115</v>
      </c>
      <c r="K155" s="18" t="str">
        <f>VLOOKUP(E155,各职业基础配置!$B$15:$C$18,2,FALSE)</f>
        <v>32|33|34</v>
      </c>
      <c r="L155" s="18" t="str">
        <f>VLOOKUP(E155,各职业基础配置!B:C,2,FALSE)</f>
        <v>[{32,1,1},{33,1,1},{34,1,1},{35,1,1},{7,1,1},{8,1,1},{9,1,1}]</v>
      </c>
      <c r="M155" s="18">
        <v>0</v>
      </c>
      <c r="N155" s="18">
        <f t="shared" si="26"/>
        <v>7</v>
      </c>
      <c r="O155" s="18">
        <f>SUMPRODUCT(P155:AI155,Sheet2!$B$3:$U$3)</f>
        <v>520270</v>
      </c>
      <c r="P155" s="18">
        <f>CEILING(INDEX([1]系统模型!$VD:$VD,MATCH(C155,[1]系统模型!$A:$A,0))*POWER(C155/220,3.8)-50+(1000-A155),1)</f>
        <v>10896</v>
      </c>
      <c r="Q155" s="18">
        <f>CEILING(INDEX([1]系统模型!$VE:$VE,MATCH(C155,[1]系统模型!$A:$A,0))*POWER(C155/220,4),1)</f>
        <v>2109</v>
      </c>
      <c r="R155" s="18">
        <f>INT(INDEX([1]系统模型!$VF:$VF,MATCH(C155,[1]系统模型!$A:$A,0))*MAX(POWER(C155/180,4),0.5))</f>
        <v>121195</v>
      </c>
      <c r="S155" s="5">
        <v>1000</v>
      </c>
      <c r="T155" s="25">
        <v>0</v>
      </c>
      <c r="U155" s="25">
        <v>0</v>
      </c>
      <c r="V155" s="25">
        <v>0</v>
      </c>
      <c r="W155" s="25">
        <v>0</v>
      </c>
      <c r="X155" s="25">
        <f t="shared" si="27"/>
        <v>6059</v>
      </c>
      <c r="Y155" s="12">
        <v>0</v>
      </c>
      <c r="Z155" s="25">
        <v>100</v>
      </c>
      <c r="AA155" s="25">
        <v>150</v>
      </c>
      <c r="AB155" s="25">
        <v>0</v>
      </c>
      <c r="AC155" s="25">
        <v>0</v>
      </c>
      <c r="AD155" s="25">
        <v>0</v>
      </c>
      <c r="AE155" s="25">
        <f t="shared" si="28"/>
        <v>454</v>
      </c>
      <c r="AF155" s="25">
        <f t="shared" si="29"/>
        <v>454</v>
      </c>
      <c r="AG155" s="25">
        <v>0</v>
      </c>
      <c r="AH155" s="25">
        <f t="shared" si="30"/>
        <v>8275</v>
      </c>
      <c r="AI155" s="25">
        <f t="shared" si="31"/>
        <v>145</v>
      </c>
      <c r="AJ155" s="25">
        <v>1</v>
      </c>
      <c r="AK155" s="25">
        <v>1000</v>
      </c>
      <c r="AL155" s="25">
        <v>100</v>
      </c>
      <c r="AM155" s="26">
        <v>10</v>
      </c>
      <c r="AN155" s="26">
        <v>10</v>
      </c>
      <c r="AO155" s="22" t="s">
        <v>2211</v>
      </c>
      <c r="AP155" s="26">
        <v>0</v>
      </c>
      <c r="AQ155" s="26">
        <f t="shared" si="32"/>
        <v>850</v>
      </c>
      <c r="AR155" s="18" t="str">
        <f ca="1">CONCATENATE(OFFSET(Sheet1!$A$2,RANDBETWEEN(2,500),0,1,1),OFFSET(Sheet1!$A$2,RANDBETWEEN(2,500),RANDBETWEEN(1,5),1,1))</f>
        <v>查尔斯埃尔韦拉</v>
      </c>
      <c r="AS155">
        <f>SUMPRODUCT(P155:AI155,Sheet2!$B$3:$U$3)</f>
        <v>520270</v>
      </c>
    </row>
    <row r="156" spans="1:45" x14ac:dyDescent="0.15">
      <c r="A156" s="18">
        <v>155</v>
      </c>
      <c r="B156" s="18" t="s">
        <v>1904</v>
      </c>
      <c r="C156" s="18">
        <f t="shared" si="22"/>
        <v>227</v>
      </c>
      <c r="D156" s="19">
        <f t="shared" si="23"/>
        <v>3</v>
      </c>
      <c r="E156" s="19">
        <f>VLOOKUP(MOD(A156,4),各职业基础配置!C$32:D$35,2,FALSE)</f>
        <v>9</v>
      </c>
      <c r="F156" s="19">
        <f>IF(A156&lt;900,INDEX(各职业基础配置!C$23:C$28,MOD(ROW(A156),4)+1),0)</f>
        <v>8</v>
      </c>
      <c r="G156" s="19">
        <f t="shared" si="24"/>
        <v>140</v>
      </c>
      <c r="H156" s="27">
        <f t="shared" si="25"/>
        <v>3</v>
      </c>
      <c r="I156" s="6" t="s">
        <v>164</v>
      </c>
      <c r="J156" s="23" t="str">
        <f>VLOOKUP(E156,各职业基础配置!$B$9:$C$12,2,FALSE)</f>
        <v>116|117|118|4201|120</v>
      </c>
      <c r="K156" s="18" t="str">
        <f>VLOOKUP(E156,各职业基础配置!$B$15:$C$18,2,FALSE)</f>
        <v>28|29|30|31</v>
      </c>
      <c r="L156" s="18" t="str">
        <f>VLOOKUP(E156,各职业基础配置!B:C,2,FALSE)</f>
        <v>[{28,1,1},{29,1,1},{30,1,1},{31,1,1},{10,1,1},{11,1,1},{12,1,1}]</v>
      </c>
      <c r="M156" s="18">
        <v>0</v>
      </c>
      <c r="N156" s="18">
        <f t="shared" si="26"/>
        <v>3</v>
      </c>
      <c r="O156" s="18">
        <f>SUMPRODUCT(P156:AI156,Sheet2!$B$3:$U$3)</f>
        <v>520245</v>
      </c>
      <c r="P156" s="18">
        <f>CEILING(INDEX([1]系统模型!$VD:$VD,MATCH(C156,[1]系统模型!$A:$A,0))*POWER(C156/220,3.8)-50+(1000-A156),1)</f>
        <v>10895</v>
      </c>
      <c r="Q156" s="18">
        <f>CEILING(INDEX([1]系统模型!$VE:$VE,MATCH(C156,[1]系统模型!$A:$A,0))*POWER(C156/220,4),1)</f>
        <v>2109</v>
      </c>
      <c r="R156" s="18">
        <f>INT(INDEX([1]系统模型!$VF:$VF,MATCH(C156,[1]系统模型!$A:$A,0))*MAX(POWER(C156/180,4),0.5))</f>
        <v>121195</v>
      </c>
      <c r="S156" s="5">
        <v>1000</v>
      </c>
      <c r="T156" s="25">
        <v>0</v>
      </c>
      <c r="U156" s="25">
        <v>0</v>
      </c>
      <c r="V156" s="25">
        <v>0</v>
      </c>
      <c r="W156" s="25">
        <v>0</v>
      </c>
      <c r="X156" s="25">
        <f t="shared" si="27"/>
        <v>6059</v>
      </c>
      <c r="Y156" s="12">
        <v>0</v>
      </c>
      <c r="Z156" s="25">
        <v>100</v>
      </c>
      <c r="AA156" s="25">
        <v>150</v>
      </c>
      <c r="AB156" s="25">
        <v>0</v>
      </c>
      <c r="AC156" s="25">
        <v>0</v>
      </c>
      <c r="AD156" s="25">
        <v>0</v>
      </c>
      <c r="AE156" s="25">
        <f t="shared" si="28"/>
        <v>454</v>
      </c>
      <c r="AF156" s="25">
        <f t="shared" si="29"/>
        <v>454</v>
      </c>
      <c r="AG156" s="25">
        <v>0</v>
      </c>
      <c r="AH156" s="25">
        <f t="shared" si="30"/>
        <v>8275</v>
      </c>
      <c r="AI156" s="25">
        <f t="shared" si="31"/>
        <v>145</v>
      </c>
      <c r="AJ156" s="25">
        <v>1</v>
      </c>
      <c r="AK156" s="25">
        <v>1000</v>
      </c>
      <c r="AL156" s="25">
        <v>100</v>
      </c>
      <c r="AM156" s="26">
        <v>10</v>
      </c>
      <c r="AN156" s="26">
        <v>10</v>
      </c>
      <c r="AO156" s="22" t="s">
        <v>2211</v>
      </c>
      <c r="AP156" s="26">
        <v>0</v>
      </c>
      <c r="AQ156" s="26">
        <f t="shared" si="32"/>
        <v>850</v>
      </c>
      <c r="AR156" s="18" t="str">
        <f ca="1">CONCATENATE(OFFSET(Sheet1!$A$2,RANDBETWEEN(2,500),0,1,1),OFFSET(Sheet1!$A$2,RANDBETWEEN(2,500),RANDBETWEEN(1,5),1,1))</f>
        <v>克里斯蒂</v>
      </c>
      <c r="AS156">
        <f>SUMPRODUCT(P156:AI156,Sheet2!$B$3:$U$3)</f>
        <v>520245</v>
      </c>
    </row>
    <row r="157" spans="1:45" x14ac:dyDescent="0.15">
      <c r="A157" s="23">
        <v>156</v>
      </c>
      <c r="B157" s="18" t="s">
        <v>219</v>
      </c>
      <c r="C157" s="18">
        <f t="shared" si="22"/>
        <v>226</v>
      </c>
      <c r="D157" s="19">
        <f t="shared" si="23"/>
        <v>2</v>
      </c>
      <c r="E157" s="19">
        <f>VLOOKUP(MOD(A157,4),各职业基础配置!C$32:D$35,2,FALSE)</f>
        <v>1</v>
      </c>
      <c r="F157" s="19">
        <f>IF(A157&lt;900,INDEX(各职业基础配置!C$23:C$28,MOD(ROW(A157),4)+1),0)</f>
        <v>13</v>
      </c>
      <c r="G157" s="19">
        <f t="shared" si="24"/>
        <v>136</v>
      </c>
      <c r="H157" s="27">
        <f t="shared" si="25"/>
        <v>3</v>
      </c>
      <c r="I157" s="6" t="s">
        <v>164</v>
      </c>
      <c r="J157" s="23" t="str">
        <f>VLOOKUP(E157,各职业基础配置!$B$9:$C$12,2,FALSE)</f>
        <v>101|102|103|4201|105</v>
      </c>
      <c r="K157" s="18" t="str">
        <f>VLOOKUP(E157,各职业基础配置!$B$15:$C$18,2,FALSE)</f>
        <v>24|25|26|27</v>
      </c>
      <c r="L157" s="18" t="str">
        <f>VLOOKUP(E157,各职业基础配置!B:C,2,FALSE)</f>
        <v>[{24,1,1},{25,1,1},{26,1,1},{27,1,1},{1,1,1},{2,1,1},{3,1,1}]</v>
      </c>
      <c r="M157" s="18">
        <v>0</v>
      </c>
      <c r="N157" s="18">
        <f t="shared" si="26"/>
        <v>3</v>
      </c>
      <c r="O157" s="18">
        <f>SUMPRODUCT(P157:AI157,Sheet2!$B$3:$U$3)</f>
        <v>509550</v>
      </c>
      <c r="P157" s="18">
        <f>CEILING(INDEX([1]系统模型!$VD:$VD,MATCH(C157,[1]系统模型!$A:$A,0))*POWER(C157/220,3.8)-50+(1000-A157),1)</f>
        <v>10653</v>
      </c>
      <c r="Q157" s="18">
        <f>CEILING(INDEX([1]系统模型!$VE:$VE,MATCH(C157,[1]系统模型!$A:$A,0))*POWER(C157/220,4),1)</f>
        <v>2057</v>
      </c>
      <c r="R157" s="18">
        <f>INT(INDEX([1]系统模型!$VF:$VF,MATCH(C157,[1]系统模型!$A:$A,0))*MAX(POWER(C157/180,4),0.5))</f>
        <v>118400</v>
      </c>
      <c r="S157" s="5">
        <v>1000</v>
      </c>
      <c r="T157" s="25">
        <v>0</v>
      </c>
      <c r="U157" s="25">
        <v>0</v>
      </c>
      <c r="V157" s="25">
        <v>0</v>
      </c>
      <c r="W157" s="25">
        <v>0</v>
      </c>
      <c r="X157" s="25">
        <f t="shared" si="27"/>
        <v>5920</v>
      </c>
      <c r="Y157" s="12">
        <v>0</v>
      </c>
      <c r="Z157" s="25">
        <v>100</v>
      </c>
      <c r="AA157" s="25">
        <v>150</v>
      </c>
      <c r="AB157" s="25">
        <v>0</v>
      </c>
      <c r="AC157" s="25">
        <v>0</v>
      </c>
      <c r="AD157" s="25">
        <v>0</v>
      </c>
      <c r="AE157" s="25">
        <f t="shared" si="28"/>
        <v>452</v>
      </c>
      <c r="AF157" s="25">
        <f t="shared" si="29"/>
        <v>452</v>
      </c>
      <c r="AG157" s="25">
        <v>0</v>
      </c>
      <c r="AH157" s="25">
        <f t="shared" si="30"/>
        <v>8200</v>
      </c>
      <c r="AI157" s="25">
        <f t="shared" si="31"/>
        <v>142</v>
      </c>
      <c r="AJ157" s="25">
        <v>1</v>
      </c>
      <c r="AK157" s="25">
        <v>1000</v>
      </c>
      <c r="AL157" s="25">
        <v>100</v>
      </c>
      <c r="AM157" s="26">
        <v>10</v>
      </c>
      <c r="AN157" s="26">
        <v>10</v>
      </c>
      <c r="AO157" s="22" t="s">
        <v>2211</v>
      </c>
      <c r="AP157" s="26">
        <v>0</v>
      </c>
      <c r="AQ157" s="26">
        <f t="shared" si="32"/>
        <v>850</v>
      </c>
      <c r="AR157" s="18" t="str">
        <f ca="1">CONCATENATE(OFFSET(Sheet1!$A$2,RANDBETWEEN(2,500),0,1,1),OFFSET(Sheet1!$A$2,RANDBETWEEN(2,500),RANDBETWEEN(1,5),1,1))</f>
        <v>霍恩比夏侯</v>
      </c>
      <c r="AS157">
        <f>SUMPRODUCT(P157:AI157,Sheet2!$B$3:$U$3)</f>
        <v>509550</v>
      </c>
    </row>
    <row r="158" spans="1:45" x14ac:dyDescent="0.15">
      <c r="A158" s="18">
        <v>157</v>
      </c>
      <c r="B158" s="18" t="s">
        <v>1905</v>
      </c>
      <c r="C158" s="18">
        <f t="shared" si="22"/>
        <v>226</v>
      </c>
      <c r="D158" s="19">
        <f t="shared" si="23"/>
        <v>3</v>
      </c>
      <c r="E158" s="19">
        <f>VLOOKUP(MOD(A158,4),各职业基础配置!C$32:D$35,2,FALSE)</f>
        <v>3</v>
      </c>
      <c r="F158" s="19">
        <f>IF(A158&lt;900,INDEX(各职业基础配置!C$23:C$28,MOD(ROW(A158),4)+1),0)</f>
        <v>14</v>
      </c>
      <c r="G158" s="19">
        <f t="shared" si="24"/>
        <v>136</v>
      </c>
      <c r="H158" s="27">
        <f t="shared" si="25"/>
        <v>3</v>
      </c>
      <c r="I158" s="6" t="s">
        <v>164</v>
      </c>
      <c r="J158" s="23" t="str">
        <f>VLOOKUP(E158,各职业基础配置!$B$9:$C$12,2,FALSE)</f>
        <v>106|107|108|4201|110</v>
      </c>
      <c r="K158" s="18" t="str">
        <f>VLOOKUP(E158,各职业基础配置!$B$15:$C$18,2,FALSE)</f>
        <v>20|21|22|23</v>
      </c>
      <c r="L158" s="18" t="str">
        <f>VLOOKUP(E158,各职业基础配置!B:C,2,FALSE)</f>
        <v>[{20,1,1},{21,1,1},{22,1,1},{23,1,1},{4,1,1},{5,1,1},{6,1,1}]</v>
      </c>
      <c r="M158" s="18">
        <v>0</v>
      </c>
      <c r="N158" s="18">
        <f t="shared" si="26"/>
        <v>7</v>
      </c>
      <c r="O158" s="18">
        <f>SUMPRODUCT(P158:AI158,Sheet2!$B$3:$U$3)</f>
        <v>509525</v>
      </c>
      <c r="P158" s="18">
        <f>CEILING(INDEX([1]系统模型!$VD:$VD,MATCH(C158,[1]系统模型!$A:$A,0))*POWER(C158/220,3.8)-50+(1000-A158),1)</f>
        <v>10652</v>
      </c>
      <c r="Q158" s="18">
        <f>CEILING(INDEX([1]系统模型!$VE:$VE,MATCH(C158,[1]系统模型!$A:$A,0))*POWER(C158/220,4),1)</f>
        <v>2057</v>
      </c>
      <c r="R158" s="18">
        <f>INT(INDEX([1]系统模型!$VF:$VF,MATCH(C158,[1]系统模型!$A:$A,0))*MAX(POWER(C158/180,4),0.5))</f>
        <v>118400</v>
      </c>
      <c r="S158" s="5">
        <v>1000</v>
      </c>
      <c r="T158" s="25">
        <v>0</v>
      </c>
      <c r="U158" s="25">
        <v>0</v>
      </c>
      <c r="V158" s="25">
        <v>0</v>
      </c>
      <c r="W158" s="25">
        <v>0</v>
      </c>
      <c r="X158" s="25">
        <f t="shared" si="27"/>
        <v>5920</v>
      </c>
      <c r="Y158" s="12">
        <v>0</v>
      </c>
      <c r="Z158" s="25">
        <v>100</v>
      </c>
      <c r="AA158" s="25">
        <v>150</v>
      </c>
      <c r="AB158" s="25">
        <v>0</v>
      </c>
      <c r="AC158" s="25">
        <v>0</v>
      </c>
      <c r="AD158" s="25">
        <v>0</v>
      </c>
      <c r="AE158" s="25">
        <f t="shared" si="28"/>
        <v>452</v>
      </c>
      <c r="AF158" s="25">
        <f t="shared" si="29"/>
        <v>452</v>
      </c>
      <c r="AG158" s="25">
        <v>0</v>
      </c>
      <c r="AH158" s="25">
        <f t="shared" si="30"/>
        <v>8200</v>
      </c>
      <c r="AI158" s="25">
        <f t="shared" si="31"/>
        <v>142</v>
      </c>
      <c r="AJ158" s="25">
        <v>1</v>
      </c>
      <c r="AK158" s="25">
        <v>1000</v>
      </c>
      <c r="AL158" s="25">
        <v>100</v>
      </c>
      <c r="AM158" s="26">
        <v>10</v>
      </c>
      <c r="AN158" s="26">
        <v>10</v>
      </c>
      <c r="AO158" s="22" t="s">
        <v>2211</v>
      </c>
      <c r="AP158" s="26">
        <v>0</v>
      </c>
      <c r="AQ158" s="26">
        <f t="shared" si="32"/>
        <v>840</v>
      </c>
      <c r="AR158" s="18" t="str">
        <f ca="1">CONCATENATE(OFFSET(Sheet1!$A$2,RANDBETWEEN(2,500),0,1,1),OFFSET(Sheet1!$A$2,RANDBETWEEN(2,500),RANDBETWEEN(1,5),1,1))</f>
        <v>奥古斯塔斯艾琳娜</v>
      </c>
      <c r="AS158">
        <f>SUMPRODUCT(P158:AI158,Sheet2!$B$3:$U$3)</f>
        <v>509525</v>
      </c>
    </row>
    <row r="159" spans="1:45" x14ac:dyDescent="0.15">
      <c r="A159" s="18">
        <v>158</v>
      </c>
      <c r="B159" s="18" t="s">
        <v>817</v>
      </c>
      <c r="C159" s="18">
        <f t="shared" si="22"/>
        <v>226</v>
      </c>
      <c r="D159" s="19">
        <f t="shared" si="23"/>
        <v>2</v>
      </c>
      <c r="E159" s="19">
        <f>VLOOKUP(MOD(A159,4),各职业基础配置!C$32:D$35,2,FALSE)</f>
        <v>6</v>
      </c>
      <c r="F159" s="19">
        <f>IF(A159&lt;900,INDEX(各职业基础配置!C$23:C$28,MOD(ROW(A159),4)+1),0)</f>
        <v>16</v>
      </c>
      <c r="G159" s="19">
        <f t="shared" si="24"/>
        <v>136</v>
      </c>
      <c r="H159" s="27">
        <f t="shared" si="25"/>
        <v>3</v>
      </c>
      <c r="I159" s="6" t="s">
        <v>164</v>
      </c>
      <c r="J159" s="23" t="str">
        <f>VLOOKUP(E159,各职业基础配置!$B$9:$C$12,2,FALSE)</f>
        <v>111|112|113|4201|115</v>
      </c>
      <c r="K159" s="18" t="str">
        <f>VLOOKUP(E159,各职业基础配置!$B$15:$C$18,2,FALSE)</f>
        <v>32|33|34</v>
      </c>
      <c r="L159" s="18" t="str">
        <f>VLOOKUP(E159,各职业基础配置!B:C,2,FALSE)</f>
        <v>[{32,1,1},{33,1,1},{34,1,1},{35,1,1},{7,1,1},{8,1,1},{9,1,1}]</v>
      </c>
      <c r="M159" s="18">
        <v>0</v>
      </c>
      <c r="N159" s="18">
        <f t="shared" si="26"/>
        <v>7</v>
      </c>
      <c r="O159" s="18">
        <f>SUMPRODUCT(P159:AI159,Sheet2!$B$3:$U$3)</f>
        <v>509500</v>
      </c>
      <c r="P159" s="18">
        <f>CEILING(INDEX([1]系统模型!$VD:$VD,MATCH(C159,[1]系统模型!$A:$A,0))*POWER(C159/220,3.8)-50+(1000-A159),1)</f>
        <v>10651</v>
      </c>
      <c r="Q159" s="18">
        <f>CEILING(INDEX([1]系统模型!$VE:$VE,MATCH(C159,[1]系统模型!$A:$A,0))*POWER(C159/220,4),1)</f>
        <v>2057</v>
      </c>
      <c r="R159" s="18">
        <f>INT(INDEX([1]系统模型!$VF:$VF,MATCH(C159,[1]系统模型!$A:$A,0))*MAX(POWER(C159/180,4),0.5))</f>
        <v>118400</v>
      </c>
      <c r="S159" s="5">
        <v>1000</v>
      </c>
      <c r="T159" s="25">
        <v>0</v>
      </c>
      <c r="U159" s="25">
        <v>0</v>
      </c>
      <c r="V159" s="25">
        <v>0</v>
      </c>
      <c r="W159" s="25">
        <v>0</v>
      </c>
      <c r="X159" s="25">
        <f t="shared" si="27"/>
        <v>5920</v>
      </c>
      <c r="Y159" s="12">
        <v>0</v>
      </c>
      <c r="Z159" s="25">
        <v>100</v>
      </c>
      <c r="AA159" s="25">
        <v>150</v>
      </c>
      <c r="AB159" s="25">
        <v>0</v>
      </c>
      <c r="AC159" s="25">
        <v>0</v>
      </c>
      <c r="AD159" s="25">
        <v>0</v>
      </c>
      <c r="AE159" s="25">
        <f t="shared" si="28"/>
        <v>452</v>
      </c>
      <c r="AF159" s="25">
        <f t="shared" si="29"/>
        <v>452</v>
      </c>
      <c r="AG159" s="25">
        <v>0</v>
      </c>
      <c r="AH159" s="25">
        <f t="shared" si="30"/>
        <v>8200</v>
      </c>
      <c r="AI159" s="25">
        <f t="shared" si="31"/>
        <v>142</v>
      </c>
      <c r="AJ159" s="25">
        <v>1</v>
      </c>
      <c r="AK159" s="25">
        <v>1000</v>
      </c>
      <c r="AL159" s="25">
        <v>100</v>
      </c>
      <c r="AM159" s="26">
        <v>10</v>
      </c>
      <c r="AN159" s="26">
        <v>10</v>
      </c>
      <c r="AO159" s="22" t="s">
        <v>2211</v>
      </c>
      <c r="AP159" s="26">
        <v>0</v>
      </c>
      <c r="AQ159" s="26">
        <f t="shared" si="32"/>
        <v>840</v>
      </c>
      <c r="AR159" s="18" t="str">
        <f ca="1">CONCATENATE(OFFSET(Sheet1!$A$2,RANDBETWEEN(2,500),0,1,1),OFFSET(Sheet1!$A$2,RANDBETWEEN(2,500),RANDBETWEEN(1,5),1,1))</f>
        <v>杜德娜娜</v>
      </c>
      <c r="AS159">
        <f>SUMPRODUCT(P159:AI159,Sheet2!$B$3:$U$3)</f>
        <v>509500</v>
      </c>
    </row>
    <row r="160" spans="1:45" x14ac:dyDescent="0.15">
      <c r="A160" s="23">
        <v>159</v>
      </c>
      <c r="B160" s="18" t="s">
        <v>1906</v>
      </c>
      <c r="C160" s="18">
        <f t="shared" si="22"/>
        <v>226</v>
      </c>
      <c r="D160" s="19">
        <f t="shared" si="23"/>
        <v>3</v>
      </c>
      <c r="E160" s="19">
        <f>VLOOKUP(MOD(A160,4),各职业基础配置!C$32:D$35,2,FALSE)</f>
        <v>9</v>
      </c>
      <c r="F160" s="19">
        <f>IF(A160&lt;900,INDEX(各职业基础配置!C$23:C$28,MOD(ROW(A160),4)+1),0)</f>
        <v>8</v>
      </c>
      <c r="G160" s="19">
        <f t="shared" si="24"/>
        <v>136</v>
      </c>
      <c r="H160" s="27">
        <f t="shared" si="25"/>
        <v>3</v>
      </c>
      <c r="I160" s="6" t="s">
        <v>164</v>
      </c>
      <c r="J160" s="23" t="str">
        <f>VLOOKUP(E160,各职业基础配置!$B$9:$C$12,2,FALSE)</f>
        <v>116|117|118|4201|120</v>
      </c>
      <c r="K160" s="18" t="str">
        <f>VLOOKUP(E160,各职业基础配置!$B$15:$C$18,2,FALSE)</f>
        <v>28|29|30|31</v>
      </c>
      <c r="L160" s="18" t="str">
        <f>VLOOKUP(E160,各职业基础配置!B:C,2,FALSE)</f>
        <v>[{28,1,1},{29,1,1},{30,1,1},{31,1,1},{10,1,1},{11,1,1},{12,1,1}]</v>
      </c>
      <c r="M160" s="18">
        <v>0</v>
      </c>
      <c r="N160" s="18">
        <f t="shared" si="26"/>
        <v>3</v>
      </c>
      <c r="O160" s="18">
        <f>SUMPRODUCT(P160:AI160,Sheet2!$B$3:$U$3)</f>
        <v>509475</v>
      </c>
      <c r="P160" s="18">
        <f>CEILING(INDEX([1]系统模型!$VD:$VD,MATCH(C160,[1]系统模型!$A:$A,0))*POWER(C160/220,3.8)-50+(1000-A160),1)</f>
        <v>10650</v>
      </c>
      <c r="Q160" s="18">
        <f>CEILING(INDEX([1]系统模型!$VE:$VE,MATCH(C160,[1]系统模型!$A:$A,0))*POWER(C160/220,4),1)</f>
        <v>2057</v>
      </c>
      <c r="R160" s="18">
        <f>INT(INDEX([1]系统模型!$VF:$VF,MATCH(C160,[1]系统模型!$A:$A,0))*MAX(POWER(C160/180,4),0.5))</f>
        <v>118400</v>
      </c>
      <c r="S160" s="5">
        <v>1000</v>
      </c>
      <c r="T160" s="25">
        <v>0</v>
      </c>
      <c r="U160" s="25">
        <v>0</v>
      </c>
      <c r="V160" s="25">
        <v>0</v>
      </c>
      <c r="W160" s="25">
        <v>0</v>
      </c>
      <c r="X160" s="25">
        <f t="shared" si="27"/>
        <v>5920</v>
      </c>
      <c r="Y160" s="12">
        <v>0</v>
      </c>
      <c r="Z160" s="25">
        <v>100</v>
      </c>
      <c r="AA160" s="25">
        <v>150</v>
      </c>
      <c r="AB160" s="25">
        <v>0</v>
      </c>
      <c r="AC160" s="25">
        <v>0</v>
      </c>
      <c r="AD160" s="25">
        <v>0</v>
      </c>
      <c r="AE160" s="25">
        <f t="shared" si="28"/>
        <v>452</v>
      </c>
      <c r="AF160" s="25">
        <f t="shared" si="29"/>
        <v>452</v>
      </c>
      <c r="AG160" s="25">
        <v>0</v>
      </c>
      <c r="AH160" s="25">
        <f t="shared" si="30"/>
        <v>8200</v>
      </c>
      <c r="AI160" s="25">
        <f t="shared" si="31"/>
        <v>142</v>
      </c>
      <c r="AJ160" s="25">
        <v>1</v>
      </c>
      <c r="AK160" s="25">
        <v>1000</v>
      </c>
      <c r="AL160" s="25">
        <v>100</v>
      </c>
      <c r="AM160" s="26">
        <v>10</v>
      </c>
      <c r="AN160" s="26">
        <v>10</v>
      </c>
      <c r="AO160" s="22" t="s">
        <v>2211</v>
      </c>
      <c r="AP160" s="26">
        <v>0</v>
      </c>
      <c r="AQ160" s="26">
        <f t="shared" si="32"/>
        <v>840</v>
      </c>
      <c r="AR160" s="18" t="str">
        <f ca="1">CONCATENATE(OFFSET(Sheet1!$A$2,RANDBETWEEN(2,500),0,1,1),OFFSET(Sheet1!$A$2,RANDBETWEEN(2,500),RANDBETWEEN(1,5),1,1))</f>
        <v>阿狄森</v>
      </c>
      <c r="AS160">
        <f>SUMPRODUCT(P160:AI160,Sheet2!$B$3:$U$3)</f>
        <v>509475</v>
      </c>
    </row>
    <row r="161" spans="1:45" x14ac:dyDescent="0.15">
      <c r="A161" s="18">
        <v>160</v>
      </c>
      <c r="B161" s="18" t="s">
        <v>1200</v>
      </c>
      <c r="C161" s="18">
        <f t="shared" si="22"/>
        <v>226</v>
      </c>
      <c r="D161" s="19">
        <f t="shared" si="23"/>
        <v>2</v>
      </c>
      <c r="E161" s="19">
        <f>VLOOKUP(MOD(A161,4),各职业基础配置!C$32:D$35,2,FALSE)</f>
        <v>1</v>
      </c>
      <c r="F161" s="19">
        <f>IF(A161&lt;900,INDEX(各职业基础配置!C$23:C$28,MOD(ROW(A161),4)+1),0)</f>
        <v>13</v>
      </c>
      <c r="G161" s="19">
        <f t="shared" si="24"/>
        <v>136</v>
      </c>
      <c r="H161" s="27">
        <f t="shared" si="25"/>
        <v>3</v>
      </c>
      <c r="I161" s="6" t="s">
        <v>164</v>
      </c>
      <c r="J161" s="23" t="str">
        <f>VLOOKUP(E161,各职业基础配置!$B$9:$C$12,2,FALSE)</f>
        <v>101|102|103|4201|105</v>
      </c>
      <c r="K161" s="18" t="str">
        <f>VLOOKUP(E161,各职业基础配置!$B$15:$C$18,2,FALSE)</f>
        <v>24|25|26|27</v>
      </c>
      <c r="L161" s="18" t="str">
        <f>VLOOKUP(E161,各职业基础配置!B:C,2,FALSE)</f>
        <v>[{24,1,1},{25,1,1},{26,1,1},{27,1,1},{1,1,1},{2,1,1},{3,1,1}]</v>
      </c>
      <c r="M161" s="18">
        <v>0</v>
      </c>
      <c r="N161" s="18">
        <f t="shared" si="26"/>
        <v>3</v>
      </c>
      <c r="O161" s="18">
        <f>SUMPRODUCT(P161:AI161,Sheet2!$B$3:$U$3)</f>
        <v>509425</v>
      </c>
      <c r="P161" s="18">
        <f>CEILING(INDEX([1]系统模型!$VD:$VD,MATCH(C161,[1]系统模型!$A:$A,0))*POWER(C161/220,3.8)-50+(1000-A161),1)</f>
        <v>10649</v>
      </c>
      <c r="Q161" s="18">
        <f>CEILING(INDEX([1]系统模型!$VE:$VE,MATCH(C161,[1]系统模型!$A:$A,0))*POWER(C161/220,4),1)</f>
        <v>2057</v>
      </c>
      <c r="R161" s="18">
        <f>INT(INDEX([1]系统模型!$VF:$VF,MATCH(C161,[1]系统模型!$A:$A,0))*MAX(POWER(C161/180,4),0.5))</f>
        <v>118400</v>
      </c>
      <c r="S161" s="5">
        <v>1000</v>
      </c>
      <c r="T161" s="25">
        <v>0</v>
      </c>
      <c r="U161" s="25">
        <v>0</v>
      </c>
      <c r="V161" s="25">
        <v>0</v>
      </c>
      <c r="W161" s="25">
        <v>0</v>
      </c>
      <c r="X161" s="25">
        <f t="shared" si="27"/>
        <v>5920</v>
      </c>
      <c r="Y161" s="12">
        <v>0</v>
      </c>
      <c r="Z161" s="25">
        <v>100</v>
      </c>
      <c r="AA161" s="25">
        <v>150</v>
      </c>
      <c r="AB161" s="25">
        <v>0</v>
      </c>
      <c r="AC161" s="25">
        <v>0</v>
      </c>
      <c r="AD161" s="25">
        <v>0</v>
      </c>
      <c r="AE161" s="25">
        <f t="shared" si="28"/>
        <v>452</v>
      </c>
      <c r="AF161" s="25">
        <f t="shared" si="29"/>
        <v>452</v>
      </c>
      <c r="AG161" s="25">
        <v>0</v>
      </c>
      <c r="AH161" s="25">
        <f t="shared" si="30"/>
        <v>8200</v>
      </c>
      <c r="AI161" s="25">
        <f t="shared" si="31"/>
        <v>141</v>
      </c>
      <c r="AJ161" s="25">
        <v>1</v>
      </c>
      <c r="AK161" s="25">
        <v>1000</v>
      </c>
      <c r="AL161" s="25">
        <v>100</v>
      </c>
      <c r="AM161" s="26">
        <v>10</v>
      </c>
      <c r="AN161" s="26">
        <v>10</v>
      </c>
      <c r="AO161" s="22" t="s">
        <v>2211</v>
      </c>
      <c r="AP161" s="26">
        <v>0</v>
      </c>
      <c r="AQ161" s="26">
        <f t="shared" si="32"/>
        <v>840</v>
      </c>
      <c r="AR161" s="18" t="str">
        <f ca="1">CONCATENATE(OFFSET(Sheet1!$A$2,RANDBETWEEN(2,500),0,1,1),OFFSET(Sheet1!$A$2,RANDBETWEEN(2,500),RANDBETWEEN(1,5),1,1))</f>
        <v>勃朗特</v>
      </c>
      <c r="AS161">
        <f>SUMPRODUCT(P161:AI161,Sheet2!$B$3:$U$3)</f>
        <v>509425</v>
      </c>
    </row>
    <row r="162" spans="1:45" x14ac:dyDescent="0.15">
      <c r="A162" s="18">
        <v>161</v>
      </c>
      <c r="B162" s="18" t="s">
        <v>1326</v>
      </c>
      <c r="C162" s="18">
        <f t="shared" si="22"/>
        <v>226</v>
      </c>
      <c r="D162" s="19">
        <f t="shared" si="23"/>
        <v>3</v>
      </c>
      <c r="E162" s="19">
        <f>VLOOKUP(MOD(A162,4),各职业基础配置!C$32:D$35,2,FALSE)</f>
        <v>3</v>
      </c>
      <c r="F162" s="19">
        <f>IF(A162&lt;900,INDEX(各职业基础配置!C$23:C$28,MOD(ROW(A162),4)+1),0)</f>
        <v>14</v>
      </c>
      <c r="G162" s="19">
        <f t="shared" si="24"/>
        <v>136</v>
      </c>
      <c r="H162" s="27">
        <f t="shared" si="25"/>
        <v>3</v>
      </c>
      <c r="I162" s="6" t="s">
        <v>164</v>
      </c>
      <c r="J162" s="23" t="str">
        <f>VLOOKUP(E162,各职业基础配置!$B$9:$C$12,2,FALSE)</f>
        <v>106|107|108|4201|110</v>
      </c>
      <c r="K162" s="18" t="str">
        <f>VLOOKUP(E162,各职业基础配置!$B$15:$C$18,2,FALSE)</f>
        <v>20|21|22|23</v>
      </c>
      <c r="L162" s="18" t="str">
        <f>VLOOKUP(E162,各职业基础配置!B:C,2,FALSE)</f>
        <v>[{20,1,1},{21,1,1},{22,1,1},{23,1,1},{4,1,1},{5,1,1},{6,1,1}]</v>
      </c>
      <c r="M162" s="18">
        <v>0</v>
      </c>
      <c r="N162" s="18">
        <f t="shared" si="26"/>
        <v>7</v>
      </c>
      <c r="O162" s="18">
        <f>SUMPRODUCT(P162:AI162,Sheet2!$B$3:$U$3)</f>
        <v>509400</v>
      </c>
      <c r="P162" s="18">
        <f>CEILING(INDEX([1]系统模型!$VD:$VD,MATCH(C162,[1]系统模型!$A:$A,0))*POWER(C162/220,3.8)-50+(1000-A162),1)</f>
        <v>10648</v>
      </c>
      <c r="Q162" s="18">
        <f>CEILING(INDEX([1]系统模型!$VE:$VE,MATCH(C162,[1]系统模型!$A:$A,0))*POWER(C162/220,4),1)</f>
        <v>2057</v>
      </c>
      <c r="R162" s="18">
        <f>INT(INDEX([1]系统模型!$VF:$VF,MATCH(C162,[1]系统模型!$A:$A,0))*MAX(POWER(C162/180,4),0.5))</f>
        <v>118400</v>
      </c>
      <c r="S162" s="5">
        <v>1000</v>
      </c>
      <c r="T162" s="25">
        <v>0</v>
      </c>
      <c r="U162" s="25">
        <v>0</v>
      </c>
      <c r="V162" s="25">
        <v>0</v>
      </c>
      <c r="W162" s="25">
        <v>0</v>
      </c>
      <c r="X162" s="25">
        <f t="shared" si="27"/>
        <v>5920</v>
      </c>
      <c r="Y162" s="12">
        <v>0</v>
      </c>
      <c r="Z162" s="25">
        <v>100</v>
      </c>
      <c r="AA162" s="25">
        <v>150</v>
      </c>
      <c r="AB162" s="25">
        <v>0</v>
      </c>
      <c r="AC162" s="25">
        <v>0</v>
      </c>
      <c r="AD162" s="25">
        <v>0</v>
      </c>
      <c r="AE162" s="25">
        <f t="shared" si="28"/>
        <v>452</v>
      </c>
      <c r="AF162" s="25">
        <f t="shared" si="29"/>
        <v>452</v>
      </c>
      <c r="AG162" s="25">
        <v>0</v>
      </c>
      <c r="AH162" s="25">
        <f t="shared" si="30"/>
        <v>8200</v>
      </c>
      <c r="AI162" s="25">
        <f t="shared" si="31"/>
        <v>141</v>
      </c>
      <c r="AJ162" s="25">
        <v>1</v>
      </c>
      <c r="AK162" s="25">
        <v>1000</v>
      </c>
      <c r="AL162" s="25">
        <v>100</v>
      </c>
      <c r="AM162" s="26">
        <v>10</v>
      </c>
      <c r="AN162" s="26">
        <v>10</v>
      </c>
      <c r="AO162" s="22" t="s">
        <v>2211</v>
      </c>
      <c r="AP162" s="26">
        <v>0</v>
      </c>
      <c r="AQ162" s="26">
        <f t="shared" si="32"/>
        <v>840</v>
      </c>
      <c r="AR162" s="18" t="str">
        <f ca="1">CONCATENATE(OFFSET(Sheet1!$A$2,RANDBETWEEN(2,500),0,1,1),OFFSET(Sheet1!$A$2,RANDBETWEEN(2,500),RANDBETWEEN(1,5),1,1))</f>
        <v>范妮</v>
      </c>
      <c r="AS162">
        <f>SUMPRODUCT(P162:AI162,Sheet2!$B$3:$U$3)</f>
        <v>509400</v>
      </c>
    </row>
    <row r="163" spans="1:45" x14ac:dyDescent="0.15">
      <c r="A163" s="23">
        <v>162</v>
      </c>
      <c r="B163" s="18" t="s">
        <v>337</v>
      </c>
      <c r="C163" s="18">
        <f t="shared" si="22"/>
        <v>226</v>
      </c>
      <c r="D163" s="19">
        <f t="shared" si="23"/>
        <v>2</v>
      </c>
      <c r="E163" s="19">
        <f>VLOOKUP(MOD(A163,4),各职业基础配置!C$32:D$35,2,FALSE)</f>
        <v>6</v>
      </c>
      <c r="F163" s="19">
        <f>IF(A163&lt;900,INDEX(各职业基础配置!C$23:C$28,MOD(ROW(A163),4)+1),0)</f>
        <v>16</v>
      </c>
      <c r="G163" s="19">
        <f t="shared" si="24"/>
        <v>136</v>
      </c>
      <c r="H163" s="27">
        <f t="shared" si="25"/>
        <v>3</v>
      </c>
      <c r="I163" s="6" t="s">
        <v>164</v>
      </c>
      <c r="J163" s="23" t="str">
        <f>VLOOKUP(E163,各职业基础配置!$B$9:$C$12,2,FALSE)</f>
        <v>111|112|113|4201|115</v>
      </c>
      <c r="K163" s="18" t="str">
        <f>VLOOKUP(E163,各职业基础配置!$B$15:$C$18,2,FALSE)</f>
        <v>32|33|34</v>
      </c>
      <c r="L163" s="18" t="str">
        <f>VLOOKUP(E163,各职业基础配置!B:C,2,FALSE)</f>
        <v>[{32,1,1},{33,1,1},{34,1,1},{35,1,1},{7,1,1},{8,1,1},{9,1,1}]</v>
      </c>
      <c r="M163" s="18">
        <v>0</v>
      </c>
      <c r="N163" s="18">
        <f t="shared" si="26"/>
        <v>7</v>
      </c>
      <c r="O163" s="18">
        <f>SUMPRODUCT(P163:AI163,Sheet2!$B$3:$U$3)</f>
        <v>509375</v>
      </c>
      <c r="P163" s="18">
        <f>CEILING(INDEX([1]系统模型!$VD:$VD,MATCH(C163,[1]系统模型!$A:$A,0))*POWER(C163/220,3.8)-50+(1000-A163),1)</f>
        <v>10647</v>
      </c>
      <c r="Q163" s="18">
        <f>CEILING(INDEX([1]系统模型!$VE:$VE,MATCH(C163,[1]系统模型!$A:$A,0))*POWER(C163/220,4),1)</f>
        <v>2057</v>
      </c>
      <c r="R163" s="18">
        <f>INT(INDEX([1]系统模型!$VF:$VF,MATCH(C163,[1]系统模型!$A:$A,0))*MAX(POWER(C163/180,4),0.5))</f>
        <v>118400</v>
      </c>
      <c r="S163" s="5">
        <v>1000</v>
      </c>
      <c r="T163" s="25">
        <v>0</v>
      </c>
      <c r="U163" s="25">
        <v>0</v>
      </c>
      <c r="V163" s="25">
        <v>0</v>
      </c>
      <c r="W163" s="25">
        <v>0</v>
      </c>
      <c r="X163" s="25">
        <f t="shared" si="27"/>
        <v>5920</v>
      </c>
      <c r="Y163" s="12">
        <v>0</v>
      </c>
      <c r="Z163" s="25">
        <v>100</v>
      </c>
      <c r="AA163" s="25">
        <v>150</v>
      </c>
      <c r="AB163" s="25">
        <v>0</v>
      </c>
      <c r="AC163" s="25">
        <v>0</v>
      </c>
      <c r="AD163" s="25">
        <v>0</v>
      </c>
      <c r="AE163" s="25">
        <f t="shared" si="28"/>
        <v>452</v>
      </c>
      <c r="AF163" s="25">
        <f t="shared" si="29"/>
        <v>452</v>
      </c>
      <c r="AG163" s="25">
        <v>0</v>
      </c>
      <c r="AH163" s="25">
        <f t="shared" si="30"/>
        <v>8200</v>
      </c>
      <c r="AI163" s="25">
        <f t="shared" si="31"/>
        <v>141</v>
      </c>
      <c r="AJ163" s="25">
        <v>1</v>
      </c>
      <c r="AK163" s="25">
        <v>1000</v>
      </c>
      <c r="AL163" s="25">
        <v>100</v>
      </c>
      <c r="AM163" s="26">
        <v>10</v>
      </c>
      <c r="AN163" s="26">
        <v>10</v>
      </c>
      <c r="AO163" s="22" t="s">
        <v>2211</v>
      </c>
      <c r="AP163" s="26">
        <v>0</v>
      </c>
      <c r="AQ163" s="26">
        <f t="shared" si="32"/>
        <v>840</v>
      </c>
      <c r="AR163" s="18" t="str">
        <f ca="1">CONCATENATE(OFFSET(Sheet1!$A$2,RANDBETWEEN(2,500),0,1,1),OFFSET(Sheet1!$A$2,RANDBETWEEN(2,500),RANDBETWEEN(1,5),1,1))</f>
        <v>阿格尼丝</v>
      </c>
      <c r="AS163">
        <f>SUMPRODUCT(P163:AI163,Sheet2!$B$3:$U$3)</f>
        <v>509375</v>
      </c>
    </row>
    <row r="164" spans="1:45" x14ac:dyDescent="0.15">
      <c r="A164" s="18">
        <v>163</v>
      </c>
      <c r="B164" s="18" t="s">
        <v>1836</v>
      </c>
      <c r="C164" s="18">
        <f t="shared" si="22"/>
        <v>225</v>
      </c>
      <c r="D164" s="19">
        <f t="shared" si="23"/>
        <v>3</v>
      </c>
      <c r="E164" s="19">
        <f>VLOOKUP(MOD(A164,4),各职业基础配置!C$32:D$35,2,FALSE)</f>
        <v>9</v>
      </c>
      <c r="F164" s="19">
        <f>IF(A164&lt;900,INDEX(各职业基础配置!C$23:C$28,MOD(ROW(A164),4)+1),0)</f>
        <v>8</v>
      </c>
      <c r="G164" s="19">
        <f t="shared" si="24"/>
        <v>132</v>
      </c>
      <c r="H164" s="27">
        <f t="shared" si="25"/>
        <v>2</v>
      </c>
      <c r="I164" s="6" t="s">
        <v>164</v>
      </c>
      <c r="J164" s="23" t="str">
        <f>VLOOKUP(E164,各职业基础配置!$B$9:$C$12,2,FALSE)</f>
        <v>116|117|118|4201|120</v>
      </c>
      <c r="K164" s="18" t="str">
        <f>VLOOKUP(E164,各职业基础配置!$B$15:$C$18,2,FALSE)</f>
        <v>28|29|30|31</v>
      </c>
      <c r="L164" s="18" t="str">
        <f>VLOOKUP(E164,各职业基础配置!B:C,2,FALSE)</f>
        <v>[{28,1,1},{29,1,1},{30,1,1},{31,1,1},{10,1,1},{11,1,1},{12,1,1}]</v>
      </c>
      <c r="M164" s="18">
        <v>0</v>
      </c>
      <c r="N164" s="18">
        <f t="shared" si="26"/>
        <v>3</v>
      </c>
      <c r="O164" s="18">
        <f>SUMPRODUCT(P164:AI164,Sheet2!$B$3:$U$3)</f>
        <v>500081</v>
      </c>
      <c r="P164" s="18">
        <f>CEILING(INDEX([1]系统模型!$VD:$VD,MATCH(C164,[1]系统模型!$A:$A,0))*POWER(C164/220,3.8)-50+(1000-A164),1)</f>
        <v>10450</v>
      </c>
      <c r="Q164" s="18">
        <f>CEILING(INDEX([1]系统模型!$VE:$VE,MATCH(C164,[1]系统模型!$A:$A,0))*POWER(C164/220,4),1)</f>
        <v>2005</v>
      </c>
      <c r="R164" s="18">
        <f>INT(INDEX([1]系统模型!$VF:$VF,MATCH(C164,[1]系统模型!$A:$A,0))*MAX(POWER(C164/180,4),0.5))</f>
        <v>115856</v>
      </c>
      <c r="S164" s="5">
        <v>1000</v>
      </c>
      <c r="T164" s="25">
        <v>0</v>
      </c>
      <c r="U164" s="25">
        <v>0</v>
      </c>
      <c r="V164" s="25">
        <v>0</v>
      </c>
      <c r="W164" s="25">
        <v>0</v>
      </c>
      <c r="X164" s="25">
        <f t="shared" si="27"/>
        <v>5792</v>
      </c>
      <c r="Y164" s="12">
        <v>0</v>
      </c>
      <c r="Z164" s="25">
        <v>100</v>
      </c>
      <c r="AA164" s="25">
        <v>150</v>
      </c>
      <c r="AB164" s="25">
        <v>0</v>
      </c>
      <c r="AC164" s="25">
        <v>0</v>
      </c>
      <c r="AD164" s="25">
        <v>0</v>
      </c>
      <c r="AE164" s="25">
        <f t="shared" si="28"/>
        <v>450</v>
      </c>
      <c r="AF164" s="25">
        <f t="shared" si="29"/>
        <v>450</v>
      </c>
      <c r="AG164" s="25">
        <v>0</v>
      </c>
      <c r="AH164" s="25">
        <f t="shared" si="30"/>
        <v>8125</v>
      </c>
      <c r="AI164" s="25">
        <f t="shared" si="31"/>
        <v>139</v>
      </c>
      <c r="AJ164" s="25">
        <v>1</v>
      </c>
      <c r="AK164" s="25">
        <v>1000</v>
      </c>
      <c r="AL164" s="25">
        <v>100</v>
      </c>
      <c r="AM164" s="26">
        <v>10</v>
      </c>
      <c r="AN164" s="26">
        <v>10</v>
      </c>
      <c r="AO164" s="22" t="s">
        <v>2211</v>
      </c>
      <c r="AP164" s="26">
        <v>0</v>
      </c>
      <c r="AQ164" s="26">
        <f t="shared" si="32"/>
        <v>840</v>
      </c>
      <c r="AR164" s="18" t="str">
        <f ca="1">CONCATENATE(OFFSET(Sheet1!$A$2,RANDBETWEEN(2,500),0,1,1),OFFSET(Sheet1!$A$2,RANDBETWEEN(2,500),RANDBETWEEN(1,5),1,1))</f>
        <v>布卢姆</v>
      </c>
      <c r="AS164">
        <f>SUMPRODUCT(P164:AI164,Sheet2!$B$3:$U$3)</f>
        <v>500081</v>
      </c>
    </row>
    <row r="165" spans="1:45" x14ac:dyDescent="0.15">
      <c r="A165" s="18">
        <v>164</v>
      </c>
      <c r="B165" s="18" t="s">
        <v>993</v>
      </c>
      <c r="C165" s="18">
        <f t="shared" si="22"/>
        <v>225</v>
      </c>
      <c r="D165" s="19">
        <f t="shared" si="23"/>
        <v>2</v>
      </c>
      <c r="E165" s="19">
        <f>VLOOKUP(MOD(A165,4),各职业基础配置!C$32:D$35,2,FALSE)</f>
        <v>1</v>
      </c>
      <c r="F165" s="19">
        <f>IF(A165&lt;900,INDEX(各职业基础配置!C$23:C$28,MOD(ROW(A165),4)+1),0)</f>
        <v>13</v>
      </c>
      <c r="G165" s="19">
        <f t="shared" si="24"/>
        <v>132</v>
      </c>
      <c r="H165" s="27">
        <f t="shared" si="25"/>
        <v>2</v>
      </c>
      <c r="I165" s="6" t="s">
        <v>164</v>
      </c>
      <c r="J165" s="23" t="str">
        <f>VLOOKUP(E165,各职业基础配置!$B$9:$C$12,2,FALSE)</f>
        <v>101|102|103|4201|105</v>
      </c>
      <c r="K165" s="18" t="str">
        <f>VLOOKUP(E165,各职业基础配置!$B$15:$C$18,2,FALSE)</f>
        <v>24|25|26|27</v>
      </c>
      <c r="L165" s="18" t="str">
        <f>VLOOKUP(E165,各职业基础配置!B:C,2,FALSE)</f>
        <v>[{24,1,1},{25,1,1},{26,1,1},{27,1,1},{1,1,1},{2,1,1},{3,1,1}]</v>
      </c>
      <c r="M165" s="18">
        <v>0</v>
      </c>
      <c r="N165" s="18">
        <f t="shared" si="26"/>
        <v>3</v>
      </c>
      <c r="O165" s="18">
        <f>SUMPRODUCT(P165:AI165,Sheet2!$B$3:$U$3)</f>
        <v>500056</v>
      </c>
      <c r="P165" s="18">
        <f>CEILING(INDEX([1]系统模型!$VD:$VD,MATCH(C165,[1]系统模型!$A:$A,0))*POWER(C165/220,3.8)-50+(1000-A165),1)</f>
        <v>10449</v>
      </c>
      <c r="Q165" s="18">
        <f>CEILING(INDEX([1]系统模型!$VE:$VE,MATCH(C165,[1]系统模型!$A:$A,0))*POWER(C165/220,4),1)</f>
        <v>2005</v>
      </c>
      <c r="R165" s="18">
        <f>INT(INDEX([1]系统模型!$VF:$VF,MATCH(C165,[1]系统模型!$A:$A,0))*MAX(POWER(C165/180,4),0.5))</f>
        <v>115856</v>
      </c>
      <c r="S165" s="5">
        <v>1000</v>
      </c>
      <c r="T165" s="25">
        <v>0</v>
      </c>
      <c r="U165" s="25">
        <v>0</v>
      </c>
      <c r="V165" s="25">
        <v>0</v>
      </c>
      <c r="W165" s="25">
        <v>0</v>
      </c>
      <c r="X165" s="25">
        <f t="shared" si="27"/>
        <v>5792</v>
      </c>
      <c r="Y165" s="12">
        <v>0</v>
      </c>
      <c r="Z165" s="25">
        <v>100</v>
      </c>
      <c r="AA165" s="25">
        <v>150</v>
      </c>
      <c r="AB165" s="25">
        <v>0</v>
      </c>
      <c r="AC165" s="25">
        <v>0</v>
      </c>
      <c r="AD165" s="25">
        <v>0</v>
      </c>
      <c r="AE165" s="25">
        <f t="shared" si="28"/>
        <v>450</v>
      </c>
      <c r="AF165" s="25">
        <f t="shared" si="29"/>
        <v>450</v>
      </c>
      <c r="AG165" s="25">
        <v>0</v>
      </c>
      <c r="AH165" s="25">
        <f t="shared" si="30"/>
        <v>8125</v>
      </c>
      <c r="AI165" s="25">
        <f t="shared" si="31"/>
        <v>139</v>
      </c>
      <c r="AJ165" s="25">
        <v>1</v>
      </c>
      <c r="AK165" s="25">
        <v>1000</v>
      </c>
      <c r="AL165" s="25">
        <v>100</v>
      </c>
      <c r="AM165" s="26">
        <v>10</v>
      </c>
      <c r="AN165" s="26">
        <v>10</v>
      </c>
      <c r="AO165" s="22" t="s">
        <v>2211</v>
      </c>
      <c r="AP165" s="26">
        <v>0</v>
      </c>
      <c r="AQ165" s="26">
        <f t="shared" si="32"/>
        <v>840</v>
      </c>
      <c r="AR165" s="18" t="str">
        <f ca="1">CONCATENATE(OFFSET(Sheet1!$A$2,RANDBETWEEN(2,500),0,1,1),OFFSET(Sheet1!$A$2,RANDBETWEEN(2,500),RANDBETWEEN(1,5),1,1))</f>
        <v>贝克穆得</v>
      </c>
      <c r="AS165">
        <f>SUMPRODUCT(P165:AI165,Sheet2!$B$3:$U$3)</f>
        <v>500056</v>
      </c>
    </row>
    <row r="166" spans="1:45" x14ac:dyDescent="0.15">
      <c r="A166" s="23">
        <v>165</v>
      </c>
      <c r="B166" s="18" t="s">
        <v>590</v>
      </c>
      <c r="C166" s="18">
        <f t="shared" si="22"/>
        <v>225</v>
      </c>
      <c r="D166" s="19">
        <f t="shared" si="23"/>
        <v>3</v>
      </c>
      <c r="E166" s="19">
        <f>VLOOKUP(MOD(A166,4),各职业基础配置!C$32:D$35,2,FALSE)</f>
        <v>3</v>
      </c>
      <c r="F166" s="19">
        <f>IF(A166&lt;900,INDEX(各职业基础配置!C$23:C$28,MOD(ROW(A166),4)+1),0)</f>
        <v>14</v>
      </c>
      <c r="G166" s="19">
        <f t="shared" si="24"/>
        <v>132</v>
      </c>
      <c r="H166" s="27">
        <f t="shared" si="25"/>
        <v>2</v>
      </c>
      <c r="I166" s="6" t="s">
        <v>164</v>
      </c>
      <c r="J166" s="23" t="str">
        <f>VLOOKUP(E166,各职业基础配置!$B$9:$C$12,2,FALSE)</f>
        <v>106|107|108|4201|110</v>
      </c>
      <c r="K166" s="18" t="str">
        <f>VLOOKUP(E166,各职业基础配置!$B$15:$C$18,2,FALSE)</f>
        <v>20|21|22|23</v>
      </c>
      <c r="L166" s="18" t="str">
        <f>VLOOKUP(E166,各职业基础配置!B:C,2,FALSE)</f>
        <v>[{20,1,1},{21,1,1},{22,1,1},{23,1,1},{4,1,1},{5,1,1},{6,1,1}]</v>
      </c>
      <c r="M166" s="18">
        <v>0</v>
      </c>
      <c r="N166" s="18">
        <f t="shared" si="26"/>
        <v>7</v>
      </c>
      <c r="O166" s="18">
        <f>SUMPRODUCT(P166:AI166,Sheet2!$B$3:$U$3)</f>
        <v>500031</v>
      </c>
      <c r="P166" s="18">
        <f>CEILING(INDEX([1]系统模型!$VD:$VD,MATCH(C166,[1]系统模型!$A:$A,0))*POWER(C166/220,3.8)-50+(1000-A166),1)</f>
        <v>10448</v>
      </c>
      <c r="Q166" s="18">
        <f>CEILING(INDEX([1]系统模型!$VE:$VE,MATCH(C166,[1]系统模型!$A:$A,0))*POWER(C166/220,4),1)</f>
        <v>2005</v>
      </c>
      <c r="R166" s="18">
        <f>INT(INDEX([1]系统模型!$VF:$VF,MATCH(C166,[1]系统模型!$A:$A,0))*MAX(POWER(C166/180,4),0.5))</f>
        <v>115856</v>
      </c>
      <c r="S166" s="5">
        <v>1000</v>
      </c>
      <c r="T166" s="25">
        <v>0</v>
      </c>
      <c r="U166" s="25">
        <v>0</v>
      </c>
      <c r="V166" s="25">
        <v>0</v>
      </c>
      <c r="W166" s="25">
        <v>0</v>
      </c>
      <c r="X166" s="25">
        <f t="shared" si="27"/>
        <v>5792</v>
      </c>
      <c r="Y166" s="12">
        <v>0</v>
      </c>
      <c r="Z166" s="25">
        <v>100</v>
      </c>
      <c r="AA166" s="25">
        <v>150</v>
      </c>
      <c r="AB166" s="25">
        <v>0</v>
      </c>
      <c r="AC166" s="25">
        <v>0</v>
      </c>
      <c r="AD166" s="25">
        <v>0</v>
      </c>
      <c r="AE166" s="25">
        <f t="shared" si="28"/>
        <v>450</v>
      </c>
      <c r="AF166" s="25">
        <f t="shared" si="29"/>
        <v>450</v>
      </c>
      <c r="AG166" s="25">
        <v>0</v>
      </c>
      <c r="AH166" s="25">
        <f t="shared" si="30"/>
        <v>8125</v>
      </c>
      <c r="AI166" s="25">
        <f t="shared" si="31"/>
        <v>139</v>
      </c>
      <c r="AJ166" s="25">
        <v>1</v>
      </c>
      <c r="AK166" s="25">
        <v>1000</v>
      </c>
      <c r="AL166" s="25">
        <v>100</v>
      </c>
      <c r="AM166" s="26">
        <v>10</v>
      </c>
      <c r="AN166" s="26">
        <v>10</v>
      </c>
      <c r="AO166" s="22" t="s">
        <v>2211</v>
      </c>
      <c r="AP166" s="26">
        <v>0</v>
      </c>
      <c r="AQ166" s="26">
        <f t="shared" si="32"/>
        <v>840</v>
      </c>
      <c r="AR166" s="18" t="str">
        <f ca="1">CONCATENATE(OFFSET(Sheet1!$A$2,RANDBETWEEN(2,500),0,1,1),OFFSET(Sheet1!$A$2,RANDBETWEEN(2,500),RANDBETWEEN(1,5),1,1))</f>
        <v>克莱尔</v>
      </c>
      <c r="AS166">
        <f>SUMPRODUCT(P166:AI166,Sheet2!$B$3:$U$3)</f>
        <v>500031</v>
      </c>
    </row>
    <row r="167" spans="1:45" x14ac:dyDescent="0.15">
      <c r="A167" s="18">
        <v>166</v>
      </c>
      <c r="B167" s="18" t="s">
        <v>1224</v>
      </c>
      <c r="C167" s="18">
        <f t="shared" si="22"/>
        <v>225</v>
      </c>
      <c r="D167" s="19">
        <f t="shared" si="23"/>
        <v>2</v>
      </c>
      <c r="E167" s="19">
        <f>VLOOKUP(MOD(A167,4),各职业基础配置!C$32:D$35,2,FALSE)</f>
        <v>6</v>
      </c>
      <c r="F167" s="19">
        <f>IF(A167&lt;900,INDEX(各职业基础配置!C$23:C$28,MOD(ROW(A167),4)+1),0)</f>
        <v>16</v>
      </c>
      <c r="G167" s="19">
        <f t="shared" si="24"/>
        <v>132</v>
      </c>
      <c r="H167" s="27">
        <f t="shared" si="25"/>
        <v>2</v>
      </c>
      <c r="I167" s="6" t="s">
        <v>164</v>
      </c>
      <c r="J167" s="23" t="str">
        <f>VLOOKUP(E167,各职业基础配置!$B$9:$C$12,2,FALSE)</f>
        <v>111|112|113|4201|115</v>
      </c>
      <c r="K167" s="18" t="str">
        <f>VLOOKUP(E167,各职业基础配置!$B$15:$C$18,2,FALSE)</f>
        <v>32|33|34</v>
      </c>
      <c r="L167" s="18" t="str">
        <f>VLOOKUP(E167,各职业基础配置!B:C,2,FALSE)</f>
        <v>[{32,1,1},{33,1,1},{34,1,1},{35,1,1},{7,1,1},{8,1,1},{9,1,1}]</v>
      </c>
      <c r="M167" s="18">
        <v>0</v>
      </c>
      <c r="N167" s="18">
        <f t="shared" si="26"/>
        <v>7</v>
      </c>
      <c r="O167" s="18">
        <f>SUMPRODUCT(P167:AI167,Sheet2!$B$3:$U$3)</f>
        <v>500006</v>
      </c>
      <c r="P167" s="18">
        <f>CEILING(INDEX([1]系统模型!$VD:$VD,MATCH(C167,[1]系统模型!$A:$A,0))*POWER(C167/220,3.8)-50+(1000-A167),1)</f>
        <v>10447</v>
      </c>
      <c r="Q167" s="18">
        <f>CEILING(INDEX([1]系统模型!$VE:$VE,MATCH(C167,[1]系统模型!$A:$A,0))*POWER(C167/220,4),1)</f>
        <v>2005</v>
      </c>
      <c r="R167" s="18">
        <f>INT(INDEX([1]系统模型!$VF:$VF,MATCH(C167,[1]系统模型!$A:$A,0))*MAX(POWER(C167/180,4),0.5))</f>
        <v>115856</v>
      </c>
      <c r="S167" s="5">
        <v>1000</v>
      </c>
      <c r="T167" s="25">
        <v>0</v>
      </c>
      <c r="U167" s="25">
        <v>0</v>
      </c>
      <c r="V167" s="25">
        <v>0</v>
      </c>
      <c r="W167" s="25">
        <v>0</v>
      </c>
      <c r="X167" s="25">
        <f t="shared" si="27"/>
        <v>5792</v>
      </c>
      <c r="Y167" s="12">
        <v>0</v>
      </c>
      <c r="Z167" s="25">
        <v>100</v>
      </c>
      <c r="AA167" s="25">
        <v>150</v>
      </c>
      <c r="AB167" s="25">
        <v>0</v>
      </c>
      <c r="AC167" s="25">
        <v>0</v>
      </c>
      <c r="AD167" s="25">
        <v>0</v>
      </c>
      <c r="AE167" s="25">
        <f t="shared" si="28"/>
        <v>450</v>
      </c>
      <c r="AF167" s="25">
        <f t="shared" si="29"/>
        <v>450</v>
      </c>
      <c r="AG167" s="25">
        <v>0</v>
      </c>
      <c r="AH167" s="25">
        <f t="shared" si="30"/>
        <v>8125</v>
      </c>
      <c r="AI167" s="25">
        <f t="shared" si="31"/>
        <v>139</v>
      </c>
      <c r="AJ167" s="25">
        <v>1</v>
      </c>
      <c r="AK167" s="25">
        <v>1000</v>
      </c>
      <c r="AL167" s="25">
        <v>100</v>
      </c>
      <c r="AM167" s="26">
        <v>10</v>
      </c>
      <c r="AN167" s="26">
        <v>10</v>
      </c>
      <c r="AO167" s="22" t="s">
        <v>2211</v>
      </c>
      <c r="AP167" s="26">
        <v>0</v>
      </c>
      <c r="AQ167" s="26">
        <f t="shared" si="32"/>
        <v>840</v>
      </c>
      <c r="AR167" s="18" t="str">
        <f ca="1">CONCATENATE(OFFSET(Sheet1!$A$2,RANDBETWEEN(2,500),0,1,1),OFFSET(Sheet1!$A$2,RANDBETWEEN(2,500),RANDBETWEEN(1,5),1,1))</f>
        <v>博斯韦尔</v>
      </c>
      <c r="AS167">
        <f>SUMPRODUCT(P167:AI167,Sheet2!$B$3:$U$3)</f>
        <v>500006</v>
      </c>
    </row>
    <row r="168" spans="1:45" x14ac:dyDescent="0.15">
      <c r="A168" s="18">
        <v>167</v>
      </c>
      <c r="B168" s="18" t="s">
        <v>1907</v>
      </c>
      <c r="C168" s="18">
        <f t="shared" si="22"/>
        <v>225</v>
      </c>
      <c r="D168" s="19">
        <f t="shared" si="23"/>
        <v>3</v>
      </c>
      <c r="E168" s="19">
        <f>VLOOKUP(MOD(A168,4),各职业基础配置!C$32:D$35,2,FALSE)</f>
        <v>9</v>
      </c>
      <c r="F168" s="19">
        <f>IF(A168&lt;900,INDEX(各职业基础配置!C$23:C$28,MOD(ROW(A168),4)+1),0)</f>
        <v>8</v>
      </c>
      <c r="G168" s="19">
        <f t="shared" si="24"/>
        <v>132</v>
      </c>
      <c r="H168" s="27">
        <f t="shared" si="25"/>
        <v>2</v>
      </c>
      <c r="I168" s="6" t="s">
        <v>164</v>
      </c>
      <c r="J168" s="23" t="str">
        <f>VLOOKUP(E168,各职业基础配置!$B$9:$C$12,2,FALSE)</f>
        <v>116|117|118|4201|120</v>
      </c>
      <c r="K168" s="18" t="str">
        <f>VLOOKUP(E168,各职业基础配置!$B$15:$C$18,2,FALSE)</f>
        <v>28|29|30|31</v>
      </c>
      <c r="L168" s="18" t="str">
        <f>VLOOKUP(E168,各职业基础配置!B:C,2,FALSE)</f>
        <v>[{28,1,1},{29,1,1},{30,1,1},{31,1,1},{10,1,1},{11,1,1},{12,1,1}]</v>
      </c>
      <c r="M168" s="18">
        <v>0</v>
      </c>
      <c r="N168" s="18">
        <f t="shared" si="26"/>
        <v>3</v>
      </c>
      <c r="O168" s="18">
        <f>SUMPRODUCT(P168:AI168,Sheet2!$B$3:$U$3)</f>
        <v>499981</v>
      </c>
      <c r="P168" s="18">
        <f>CEILING(INDEX([1]系统模型!$VD:$VD,MATCH(C168,[1]系统模型!$A:$A,0))*POWER(C168/220,3.8)-50+(1000-A168),1)</f>
        <v>10446</v>
      </c>
      <c r="Q168" s="18">
        <f>CEILING(INDEX([1]系统模型!$VE:$VE,MATCH(C168,[1]系统模型!$A:$A,0))*POWER(C168/220,4),1)</f>
        <v>2005</v>
      </c>
      <c r="R168" s="18">
        <f>INT(INDEX([1]系统模型!$VF:$VF,MATCH(C168,[1]系统模型!$A:$A,0))*MAX(POWER(C168/180,4),0.5))</f>
        <v>115856</v>
      </c>
      <c r="S168" s="5">
        <v>1000</v>
      </c>
      <c r="T168" s="25">
        <v>0</v>
      </c>
      <c r="U168" s="25">
        <v>0</v>
      </c>
      <c r="V168" s="25">
        <v>0</v>
      </c>
      <c r="W168" s="25">
        <v>0</v>
      </c>
      <c r="X168" s="25">
        <f t="shared" si="27"/>
        <v>5792</v>
      </c>
      <c r="Y168" s="12">
        <v>0</v>
      </c>
      <c r="Z168" s="25">
        <v>100</v>
      </c>
      <c r="AA168" s="25">
        <v>150</v>
      </c>
      <c r="AB168" s="25">
        <v>0</v>
      </c>
      <c r="AC168" s="25">
        <v>0</v>
      </c>
      <c r="AD168" s="25">
        <v>0</v>
      </c>
      <c r="AE168" s="25">
        <f t="shared" si="28"/>
        <v>450</v>
      </c>
      <c r="AF168" s="25">
        <f t="shared" si="29"/>
        <v>450</v>
      </c>
      <c r="AG168" s="25">
        <v>0</v>
      </c>
      <c r="AH168" s="25">
        <f t="shared" si="30"/>
        <v>8125</v>
      </c>
      <c r="AI168" s="25">
        <f t="shared" si="31"/>
        <v>139</v>
      </c>
      <c r="AJ168" s="25">
        <v>1</v>
      </c>
      <c r="AK168" s="25">
        <v>1000</v>
      </c>
      <c r="AL168" s="25">
        <v>100</v>
      </c>
      <c r="AM168" s="26">
        <v>10</v>
      </c>
      <c r="AN168" s="26">
        <v>10</v>
      </c>
      <c r="AO168" s="22" t="s">
        <v>2211</v>
      </c>
      <c r="AP168" s="26">
        <v>0</v>
      </c>
      <c r="AQ168" s="26">
        <f t="shared" si="32"/>
        <v>830</v>
      </c>
      <c r="AR168" s="18" t="str">
        <f ca="1">CONCATENATE(OFFSET(Sheet1!$A$2,RANDBETWEEN(2,500),0,1,1),OFFSET(Sheet1!$A$2,RANDBETWEEN(2,500),RANDBETWEEN(1,5),1,1))</f>
        <v>贝尔</v>
      </c>
      <c r="AS168">
        <f>SUMPRODUCT(P168:AI168,Sheet2!$B$3:$U$3)</f>
        <v>499981</v>
      </c>
    </row>
    <row r="169" spans="1:45" x14ac:dyDescent="0.15">
      <c r="A169" s="23">
        <v>168</v>
      </c>
      <c r="B169" s="18" t="s">
        <v>1103</v>
      </c>
      <c r="C169" s="18">
        <f t="shared" si="22"/>
        <v>225</v>
      </c>
      <c r="D169" s="19">
        <f t="shared" si="23"/>
        <v>2</v>
      </c>
      <c r="E169" s="19">
        <f>VLOOKUP(MOD(A169,4),各职业基础配置!C$32:D$35,2,FALSE)</f>
        <v>1</v>
      </c>
      <c r="F169" s="19">
        <f>IF(A169&lt;900,INDEX(各职业基础配置!C$23:C$28,MOD(ROW(A169),4)+1),0)</f>
        <v>13</v>
      </c>
      <c r="G169" s="19">
        <f t="shared" si="24"/>
        <v>132</v>
      </c>
      <c r="H169" s="27">
        <f t="shared" si="25"/>
        <v>2</v>
      </c>
      <c r="I169" s="6" t="s">
        <v>164</v>
      </c>
      <c r="J169" s="23" t="str">
        <f>VLOOKUP(E169,各职业基础配置!$B$9:$C$12,2,FALSE)</f>
        <v>101|102|103|4201|105</v>
      </c>
      <c r="K169" s="18" t="str">
        <f>VLOOKUP(E169,各职业基础配置!$B$15:$C$18,2,FALSE)</f>
        <v>24|25|26|27</v>
      </c>
      <c r="L169" s="18" t="str">
        <f>VLOOKUP(E169,各职业基础配置!B:C,2,FALSE)</f>
        <v>[{24,1,1},{25,1,1},{26,1,1},{27,1,1},{1,1,1},{2,1,1},{3,1,1}]</v>
      </c>
      <c r="M169" s="18">
        <v>0</v>
      </c>
      <c r="N169" s="18">
        <f t="shared" si="26"/>
        <v>3</v>
      </c>
      <c r="O169" s="18">
        <f>SUMPRODUCT(P169:AI169,Sheet2!$B$3:$U$3)</f>
        <v>499956</v>
      </c>
      <c r="P169" s="18">
        <f>CEILING(INDEX([1]系统模型!$VD:$VD,MATCH(C169,[1]系统模型!$A:$A,0))*POWER(C169/220,3.8)-50+(1000-A169),1)</f>
        <v>10445</v>
      </c>
      <c r="Q169" s="18">
        <f>CEILING(INDEX([1]系统模型!$VE:$VE,MATCH(C169,[1]系统模型!$A:$A,0))*POWER(C169/220,4),1)</f>
        <v>2005</v>
      </c>
      <c r="R169" s="18">
        <f>INT(INDEX([1]系统模型!$VF:$VF,MATCH(C169,[1]系统模型!$A:$A,0))*MAX(POWER(C169/180,4),0.5))</f>
        <v>115856</v>
      </c>
      <c r="S169" s="5">
        <v>1000</v>
      </c>
      <c r="T169" s="25">
        <v>0</v>
      </c>
      <c r="U169" s="25">
        <v>0</v>
      </c>
      <c r="V169" s="25">
        <v>0</v>
      </c>
      <c r="W169" s="25">
        <v>0</v>
      </c>
      <c r="X169" s="25">
        <f t="shared" si="27"/>
        <v>5792</v>
      </c>
      <c r="Y169" s="12">
        <v>0</v>
      </c>
      <c r="Z169" s="25">
        <v>100</v>
      </c>
      <c r="AA169" s="25">
        <v>150</v>
      </c>
      <c r="AB169" s="25">
        <v>0</v>
      </c>
      <c r="AC169" s="25">
        <v>0</v>
      </c>
      <c r="AD169" s="25">
        <v>0</v>
      </c>
      <c r="AE169" s="25">
        <f t="shared" si="28"/>
        <v>450</v>
      </c>
      <c r="AF169" s="25">
        <f t="shared" si="29"/>
        <v>450</v>
      </c>
      <c r="AG169" s="25">
        <v>0</v>
      </c>
      <c r="AH169" s="25">
        <f t="shared" si="30"/>
        <v>8125</v>
      </c>
      <c r="AI169" s="25">
        <f t="shared" si="31"/>
        <v>139</v>
      </c>
      <c r="AJ169" s="25">
        <v>1</v>
      </c>
      <c r="AK169" s="25">
        <v>1000</v>
      </c>
      <c r="AL169" s="25">
        <v>100</v>
      </c>
      <c r="AM169" s="26">
        <v>10</v>
      </c>
      <c r="AN169" s="26">
        <v>10</v>
      </c>
      <c r="AO169" s="22" t="s">
        <v>2211</v>
      </c>
      <c r="AP169" s="26">
        <v>0</v>
      </c>
      <c r="AQ169" s="26">
        <f t="shared" si="32"/>
        <v>830</v>
      </c>
      <c r="AR169" s="18" t="str">
        <f ca="1">CONCATENATE(OFFSET(Sheet1!$A$2,RANDBETWEEN(2,500),0,1,1),OFFSET(Sheet1!$A$2,RANDBETWEEN(2,500),RANDBETWEEN(1,5),1,1))</f>
        <v>道格拉斯</v>
      </c>
      <c r="AS169">
        <f>SUMPRODUCT(P169:AI169,Sheet2!$B$3:$U$3)</f>
        <v>499956</v>
      </c>
    </row>
    <row r="170" spans="1:45" x14ac:dyDescent="0.15">
      <c r="A170" s="18">
        <v>169</v>
      </c>
      <c r="B170" s="18" t="s">
        <v>1333</v>
      </c>
      <c r="C170" s="18">
        <f t="shared" si="22"/>
        <v>224</v>
      </c>
      <c r="D170" s="19">
        <f t="shared" si="23"/>
        <v>3</v>
      </c>
      <c r="E170" s="19">
        <f>VLOOKUP(MOD(A170,4),各职业基础配置!C$32:D$35,2,FALSE)</f>
        <v>3</v>
      </c>
      <c r="F170" s="19">
        <f>IF(A170&lt;900,INDEX(各职业基础配置!C$23:C$28,MOD(ROW(A170),4)+1),0)</f>
        <v>14</v>
      </c>
      <c r="G170" s="19">
        <f t="shared" si="24"/>
        <v>129</v>
      </c>
      <c r="H170" s="27">
        <f t="shared" si="25"/>
        <v>2</v>
      </c>
      <c r="I170" s="6" t="s">
        <v>164</v>
      </c>
      <c r="J170" s="23" t="str">
        <f>VLOOKUP(E170,各职业基础配置!$B$9:$C$12,2,FALSE)</f>
        <v>106|107|108|4201|110</v>
      </c>
      <c r="K170" s="18" t="str">
        <f>VLOOKUP(E170,各职业基础配置!$B$15:$C$18,2,FALSE)</f>
        <v>20|21|22|23</v>
      </c>
      <c r="L170" s="18" t="str">
        <f>VLOOKUP(E170,各职业基础配置!B:C,2,FALSE)</f>
        <v>[{20,1,1},{21,1,1},{22,1,1},{23,1,1},{4,1,1},{5,1,1},{6,1,1}]</v>
      </c>
      <c r="M170" s="18">
        <v>0</v>
      </c>
      <c r="N170" s="18">
        <f t="shared" si="26"/>
        <v>7</v>
      </c>
      <c r="O170" s="18">
        <f>SUMPRODUCT(P170:AI170,Sheet2!$B$3:$U$3)</f>
        <v>490649</v>
      </c>
      <c r="P170" s="18">
        <f>CEILING(INDEX([1]系统模型!$VD:$VD,MATCH(C170,[1]系统模型!$A:$A,0))*POWER(C170/220,3.8)-50+(1000-A170),1)</f>
        <v>10242</v>
      </c>
      <c r="Q170" s="18">
        <f>CEILING(INDEX([1]系统模型!$VE:$VE,MATCH(C170,[1]系统模型!$A:$A,0))*POWER(C170/220,4),1)</f>
        <v>1957</v>
      </c>
      <c r="R170" s="18">
        <f>INT(INDEX([1]系统模型!$VF:$VF,MATCH(C170,[1]系统模型!$A:$A,0))*MAX(POWER(C170/180,4),0.5))</f>
        <v>113374</v>
      </c>
      <c r="S170" s="5">
        <v>1000</v>
      </c>
      <c r="T170" s="25">
        <v>0</v>
      </c>
      <c r="U170" s="25">
        <v>0</v>
      </c>
      <c r="V170" s="25">
        <v>0</v>
      </c>
      <c r="W170" s="25">
        <v>0</v>
      </c>
      <c r="X170" s="25">
        <f t="shared" si="27"/>
        <v>5668</v>
      </c>
      <c r="Y170" s="12">
        <v>0</v>
      </c>
      <c r="Z170" s="25">
        <v>100</v>
      </c>
      <c r="AA170" s="25">
        <v>150</v>
      </c>
      <c r="AB170" s="25">
        <v>0</v>
      </c>
      <c r="AC170" s="25">
        <v>0</v>
      </c>
      <c r="AD170" s="25">
        <v>0</v>
      </c>
      <c r="AE170" s="25">
        <f t="shared" si="28"/>
        <v>448</v>
      </c>
      <c r="AF170" s="25">
        <f t="shared" si="29"/>
        <v>448</v>
      </c>
      <c r="AG170" s="25">
        <v>0</v>
      </c>
      <c r="AH170" s="25">
        <f t="shared" si="30"/>
        <v>8050</v>
      </c>
      <c r="AI170" s="25">
        <f t="shared" si="31"/>
        <v>136</v>
      </c>
      <c r="AJ170" s="25">
        <v>1</v>
      </c>
      <c r="AK170" s="25">
        <v>1000</v>
      </c>
      <c r="AL170" s="25">
        <v>100</v>
      </c>
      <c r="AM170" s="26">
        <v>10</v>
      </c>
      <c r="AN170" s="26">
        <v>10</v>
      </c>
      <c r="AO170" s="22" t="s">
        <v>2211</v>
      </c>
      <c r="AP170" s="26">
        <v>0</v>
      </c>
      <c r="AQ170" s="26">
        <f t="shared" si="32"/>
        <v>830</v>
      </c>
      <c r="AR170" s="18" t="str">
        <f ca="1">CONCATENATE(OFFSET(Sheet1!$A$2,RANDBETWEEN(2,500),0,1,1),OFFSET(Sheet1!$A$2,RANDBETWEEN(2,500),RANDBETWEEN(1,5),1,1))</f>
        <v>艾伯特奥德丽</v>
      </c>
      <c r="AS170">
        <f>SUMPRODUCT(P170:AI170,Sheet2!$B$3:$U$3)</f>
        <v>490649</v>
      </c>
    </row>
    <row r="171" spans="1:45" x14ac:dyDescent="0.15">
      <c r="A171" s="18">
        <v>170</v>
      </c>
      <c r="B171" s="18" t="s">
        <v>1110</v>
      </c>
      <c r="C171" s="18">
        <f t="shared" si="22"/>
        <v>224</v>
      </c>
      <c r="D171" s="19">
        <f t="shared" si="23"/>
        <v>2</v>
      </c>
      <c r="E171" s="19">
        <f>VLOOKUP(MOD(A171,4),各职业基础配置!C$32:D$35,2,FALSE)</f>
        <v>6</v>
      </c>
      <c r="F171" s="19">
        <f>IF(A171&lt;900,INDEX(各职业基础配置!C$23:C$28,MOD(ROW(A171),4)+1),0)</f>
        <v>16</v>
      </c>
      <c r="G171" s="19">
        <f t="shared" si="24"/>
        <v>129</v>
      </c>
      <c r="H171" s="27">
        <f t="shared" si="25"/>
        <v>2</v>
      </c>
      <c r="I171" s="6" t="s">
        <v>164</v>
      </c>
      <c r="J171" s="23" t="str">
        <f>VLOOKUP(E171,各职业基础配置!$B$9:$C$12,2,FALSE)</f>
        <v>111|112|113|4201|115</v>
      </c>
      <c r="K171" s="18" t="str">
        <f>VLOOKUP(E171,各职业基础配置!$B$15:$C$18,2,FALSE)</f>
        <v>32|33|34</v>
      </c>
      <c r="L171" s="18" t="str">
        <f>VLOOKUP(E171,各职业基础配置!B:C,2,FALSE)</f>
        <v>[{32,1,1},{33,1,1},{34,1,1},{35,1,1},{7,1,1},{8,1,1},{9,1,1}]</v>
      </c>
      <c r="M171" s="18">
        <v>0</v>
      </c>
      <c r="N171" s="18">
        <f t="shared" si="26"/>
        <v>7</v>
      </c>
      <c r="O171" s="18">
        <f>SUMPRODUCT(P171:AI171,Sheet2!$B$3:$U$3)</f>
        <v>490624</v>
      </c>
      <c r="P171" s="18">
        <f>CEILING(INDEX([1]系统模型!$VD:$VD,MATCH(C171,[1]系统模型!$A:$A,0))*POWER(C171/220,3.8)-50+(1000-A171),1)</f>
        <v>10241</v>
      </c>
      <c r="Q171" s="18">
        <f>CEILING(INDEX([1]系统模型!$VE:$VE,MATCH(C171,[1]系统模型!$A:$A,0))*POWER(C171/220,4),1)</f>
        <v>1957</v>
      </c>
      <c r="R171" s="18">
        <f>INT(INDEX([1]系统模型!$VF:$VF,MATCH(C171,[1]系统模型!$A:$A,0))*MAX(POWER(C171/180,4),0.5))</f>
        <v>113374</v>
      </c>
      <c r="S171" s="5">
        <v>1000</v>
      </c>
      <c r="T171" s="25">
        <v>0</v>
      </c>
      <c r="U171" s="25">
        <v>0</v>
      </c>
      <c r="V171" s="25">
        <v>0</v>
      </c>
      <c r="W171" s="25">
        <v>0</v>
      </c>
      <c r="X171" s="25">
        <f t="shared" si="27"/>
        <v>5668</v>
      </c>
      <c r="Y171" s="12">
        <v>0</v>
      </c>
      <c r="Z171" s="25">
        <v>100</v>
      </c>
      <c r="AA171" s="25">
        <v>150</v>
      </c>
      <c r="AB171" s="25">
        <v>0</v>
      </c>
      <c r="AC171" s="25">
        <v>0</v>
      </c>
      <c r="AD171" s="25">
        <v>0</v>
      </c>
      <c r="AE171" s="25">
        <f t="shared" si="28"/>
        <v>448</v>
      </c>
      <c r="AF171" s="25">
        <f t="shared" si="29"/>
        <v>448</v>
      </c>
      <c r="AG171" s="25">
        <v>0</v>
      </c>
      <c r="AH171" s="25">
        <f t="shared" si="30"/>
        <v>8050</v>
      </c>
      <c r="AI171" s="25">
        <f t="shared" si="31"/>
        <v>136</v>
      </c>
      <c r="AJ171" s="25">
        <v>1</v>
      </c>
      <c r="AK171" s="25">
        <v>1000</v>
      </c>
      <c r="AL171" s="25">
        <v>100</v>
      </c>
      <c r="AM171" s="26">
        <v>10</v>
      </c>
      <c r="AN171" s="26">
        <v>10</v>
      </c>
      <c r="AO171" s="22" t="s">
        <v>2211</v>
      </c>
      <c r="AP171" s="26">
        <v>0</v>
      </c>
      <c r="AQ171" s="26">
        <f t="shared" si="32"/>
        <v>830</v>
      </c>
      <c r="AR171" s="18" t="str">
        <f ca="1">CONCATENATE(OFFSET(Sheet1!$A$2,RANDBETWEEN(2,500),0,1,1),OFFSET(Sheet1!$A$2,RANDBETWEEN(2,500),RANDBETWEEN(1,5),1,1))</f>
        <v>豪厄尔</v>
      </c>
      <c r="AS171">
        <f>SUMPRODUCT(P171:AI171,Sheet2!$B$3:$U$3)</f>
        <v>490624</v>
      </c>
    </row>
    <row r="172" spans="1:45" x14ac:dyDescent="0.15">
      <c r="A172" s="23">
        <v>171</v>
      </c>
      <c r="B172" s="18" t="s">
        <v>923</v>
      </c>
      <c r="C172" s="18">
        <f t="shared" si="22"/>
        <v>224</v>
      </c>
      <c r="D172" s="19">
        <f t="shared" si="23"/>
        <v>3</v>
      </c>
      <c r="E172" s="19">
        <f>VLOOKUP(MOD(A172,4),各职业基础配置!C$32:D$35,2,FALSE)</f>
        <v>9</v>
      </c>
      <c r="F172" s="19">
        <f>IF(A172&lt;900,INDEX(各职业基础配置!C$23:C$28,MOD(ROW(A172),4)+1),0)</f>
        <v>8</v>
      </c>
      <c r="G172" s="19">
        <f t="shared" si="24"/>
        <v>129</v>
      </c>
      <c r="H172" s="27">
        <f t="shared" si="25"/>
        <v>2</v>
      </c>
      <c r="I172" s="6" t="s">
        <v>164</v>
      </c>
      <c r="J172" s="23" t="str">
        <f>VLOOKUP(E172,各职业基础配置!$B$9:$C$12,2,FALSE)</f>
        <v>116|117|118|4201|120</v>
      </c>
      <c r="K172" s="18" t="str">
        <f>VLOOKUP(E172,各职业基础配置!$B$15:$C$18,2,FALSE)</f>
        <v>28|29|30|31</v>
      </c>
      <c r="L172" s="18" t="str">
        <f>VLOOKUP(E172,各职业基础配置!B:C,2,FALSE)</f>
        <v>[{28,1,1},{29,1,1},{30,1,1},{31,1,1},{10,1,1},{11,1,1},{12,1,1}]</v>
      </c>
      <c r="M172" s="18">
        <v>0</v>
      </c>
      <c r="N172" s="18">
        <f t="shared" si="26"/>
        <v>3</v>
      </c>
      <c r="O172" s="18">
        <f>SUMPRODUCT(P172:AI172,Sheet2!$B$3:$U$3)</f>
        <v>490599</v>
      </c>
      <c r="P172" s="18">
        <f>CEILING(INDEX([1]系统模型!$VD:$VD,MATCH(C172,[1]系统模型!$A:$A,0))*POWER(C172/220,3.8)-50+(1000-A172),1)</f>
        <v>10240</v>
      </c>
      <c r="Q172" s="18">
        <f>CEILING(INDEX([1]系统模型!$VE:$VE,MATCH(C172,[1]系统模型!$A:$A,0))*POWER(C172/220,4),1)</f>
        <v>1957</v>
      </c>
      <c r="R172" s="18">
        <f>INT(INDEX([1]系统模型!$VF:$VF,MATCH(C172,[1]系统模型!$A:$A,0))*MAX(POWER(C172/180,4),0.5))</f>
        <v>113374</v>
      </c>
      <c r="S172" s="5">
        <v>1000</v>
      </c>
      <c r="T172" s="25">
        <v>0</v>
      </c>
      <c r="U172" s="25">
        <v>0</v>
      </c>
      <c r="V172" s="25">
        <v>0</v>
      </c>
      <c r="W172" s="25">
        <v>0</v>
      </c>
      <c r="X172" s="25">
        <f t="shared" si="27"/>
        <v>5668</v>
      </c>
      <c r="Y172" s="12">
        <v>0</v>
      </c>
      <c r="Z172" s="25">
        <v>100</v>
      </c>
      <c r="AA172" s="25">
        <v>150</v>
      </c>
      <c r="AB172" s="25">
        <v>0</v>
      </c>
      <c r="AC172" s="25">
        <v>0</v>
      </c>
      <c r="AD172" s="25">
        <v>0</v>
      </c>
      <c r="AE172" s="25">
        <f t="shared" si="28"/>
        <v>448</v>
      </c>
      <c r="AF172" s="25">
        <f t="shared" si="29"/>
        <v>448</v>
      </c>
      <c r="AG172" s="25">
        <v>0</v>
      </c>
      <c r="AH172" s="25">
        <f t="shared" si="30"/>
        <v>8050</v>
      </c>
      <c r="AI172" s="25">
        <f t="shared" si="31"/>
        <v>136</v>
      </c>
      <c r="AJ172" s="25">
        <v>1</v>
      </c>
      <c r="AK172" s="25">
        <v>1000</v>
      </c>
      <c r="AL172" s="25">
        <v>100</v>
      </c>
      <c r="AM172" s="26">
        <v>10</v>
      </c>
      <c r="AN172" s="26">
        <v>10</v>
      </c>
      <c r="AO172" s="22" t="s">
        <v>2211</v>
      </c>
      <c r="AP172" s="26">
        <v>0</v>
      </c>
      <c r="AQ172" s="26">
        <f t="shared" si="32"/>
        <v>830</v>
      </c>
      <c r="AR172" s="18" t="str">
        <f ca="1">CONCATENATE(OFFSET(Sheet1!$A$2,RANDBETWEEN(2,500),0,1,1),OFFSET(Sheet1!$A$2,RANDBETWEEN(2,500),RANDBETWEEN(1,5),1,1))</f>
        <v>埃兰娜</v>
      </c>
      <c r="AS172">
        <f>SUMPRODUCT(P172:AI172,Sheet2!$B$3:$U$3)</f>
        <v>490599</v>
      </c>
    </row>
    <row r="173" spans="1:45" x14ac:dyDescent="0.15">
      <c r="A173" s="18">
        <v>172</v>
      </c>
      <c r="B173" s="18" t="s">
        <v>1309</v>
      </c>
      <c r="C173" s="18">
        <f t="shared" si="22"/>
        <v>224</v>
      </c>
      <c r="D173" s="19">
        <f t="shared" si="23"/>
        <v>2</v>
      </c>
      <c r="E173" s="19">
        <f>VLOOKUP(MOD(A173,4),各职业基础配置!C$32:D$35,2,FALSE)</f>
        <v>1</v>
      </c>
      <c r="F173" s="19">
        <f>IF(A173&lt;900,INDEX(各职业基础配置!C$23:C$28,MOD(ROW(A173),4)+1),0)</f>
        <v>13</v>
      </c>
      <c r="G173" s="19">
        <f t="shared" si="24"/>
        <v>129</v>
      </c>
      <c r="H173" s="27">
        <f t="shared" si="25"/>
        <v>2</v>
      </c>
      <c r="I173" s="6" t="s">
        <v>164</v>
      </c>
      <c r="J173" s="23" t="str">
        <f>VLOOKUP(E173,各职业基础配置!$B$9:$C$12,2,FALSE)</f>
        <v>101|102|103|4201|105</v>
      </c>
      <c r="K173" s="18" t="str">
        <f>VLOOKUP(E173,各职业基础配置!$B$15:$C$18,2,FALSE)</f>
        <v>24|25|26|27</v>
      </c>
      <c r="L173" s="18" t="str">
        <f>VLOOKUP(E173,各职业基础配置!B:C,2,FALSE)</f>
        <v>[{24,1,1},{25,1,1},{26,1,1},{27,1,1},{1,1,1},{2,1,1},{3,1,1}]</v>
      </c>
      <c r="M173" s="18">
        <v>0</v>
      </c>
      <c r="N173" s="18">
        <f t="shared" si="26"/>
        <v>3</v>
      </c>
      <c r="O173" s="18">
        <f>SUMPRODUCT(P173:AI173,Sheet2!$B$3:$U$3)</f>
        <v>490574</v>
      </c>
      <c r="P173" s="18">
        <f>CEILING(INDEX([1]系统模型!$VD:$VD,MATCH(C173,[1]系统模型!$A:$A,0))*POWER(C173/220,3.8)-50+(1000-A173),1)</f>
        <v>10239</v>
      </c>
      <c r="Q173" s="18">
        <f>CEILING(INDEX([1]系统模型!$VE:$VE,MATCH(C173,[1]系统模型!$A:$A,0))*POWER(C173/220,4),1)</f>
        <v>1957</v>
      </c>
      <c r="R173" s="18">
        <f>INT(INDEX([1]系统模型!$VF:$VF,MATCH(C173,[1]系统模型!$A:$A,0))*MAX(POWER(C173/180,4),0.5))</f>
        <v>113374</v>
      </c>
      <c r="S173" s="5">
        <v>1000</v>
      </c>
      <c r="T173" s="25">
        <v>0</v>
      </c>
      <c r="U173" s="25">
        <v>0</v>
      </c>
      <c r="V173" s="25">
        <v>0</v>
      </c>
      <c r="W173" s="25">
        <v>0</v>
      </c>
      <c r="X173" s="25">
        <f t="shared" si="27"/>
        <v>5668</v>
      </c>
      <c r="Y173" s="12">
        <v>0</v>
      </c>
      <c r="Z173" s="25">
        <v>100</v>
      </c>
      <c r="AA173" s="25">
        <v>150</v>
      </c>
      <c r="AB173" s="25">
        <v>0</v>
      </c>
      <c r="AC173" s="25">
        <v>0</v>
      </c>
      <c r="AD173" s="25">
        <v>0</v>
      </c>
      <c r="AE173" s="25">
        <f t="shared" si="28"/>
        <v>448</v>
      </c>
      <c r="AF173" s="25">
        <f t="shared" si="29"/>
        <v>448</v>
      </c>
      <c r="AG173" s="25">
        <v>0</v>
      </c>
      <c r="AH173" s="25">
        <f t="shared" si="30"/>
        <v>8050</v>
      </c>
      <c r="AI173" s="25">
        <f t="shared" si="31"/>
        <v>136</v>
      </c>
      <c r="AJ173" s="25">
        <v>1</v>
      </c>
      <c r="AK173" s="25">
        <v>1000</v>
      </c>
      <c r="AL173" s="25">
        <v>100</v>
      </c>
      <c r="AM173" s="26">
        <v>10</v>
      </c>
      <c r="AN173" s="26">
        <v>10</v>
      </c>
      <c r="AO173" s="22" t="s">
        <v>2211</v>
      </c>
      <c r="AP173" s="26">
        <v>0</v>
      </c>
      <c r="AQ173" s="26">
        <f t="shared" si="32"/>
        <v>830</v>
      </c>
      <c r="AR173" s="18" t="str">
        <f ca="1">CONCATENATE(OFFSET(Sheet1!$A$2,RANDBETWEEN(2,500),0,1,1),OFFSET(Sheet1!$A$2,RANDBETWEEN(2,500),RANDBETWEEN(1,5),1,1))</f>
        <v>詹宁斯</v>
      </c>
      <c r="AS173">
        <f>SUMPRODUCT(P173:AI173,Sheet2!$B$3:$U$3)</f>
        <v>490574</v>
      </c>
    </row>
    <row r="174" spans="1:45" x14ac:dyDescent="0.15">
      <c r="A174" s="18">
        <v>173</v>
      </c>
      <c r="B174" s="18" t="s">
        <v>290</v>
      </c>
      <c r="C174" s="18">
        <f t="shared" si="22"/>
        <v>224</v>
      </c>
      <c r="D174" s="19">
        <f t="shared" si="23"/>
        <v>3</v>
      </c>
      <c r="E174" s="19">
        <f>VLOOKUP(MOD(A174,4),各职业基础配置!C$32:D$35,2,FALSE)</f>
        <v>3</v>
      </c>
      <c r="F174" s="19">
        <f>IF(A174&lt;900,INDEX(各职业基础配置!C$23:C$28,MOD(ROW(A174),4)+1),0)</f>
        <v>14</v>
      </c>
      <c r="G174" s="19">
        <f t="shared" si="24"/>
        <v>129</v>
      </c>
      <c r="H174" s="27">
        <f t="shared" si="25"/>
        <v>2</v>
      </c>
      <c r="I174" s="6" t="s">
        <v>164</v>
      </c>
      <c r="J174" s="23" t="str">
        <f>VLOOKUP(E174,各职业基础配置!$B$9:$C$12,2,FALSE)</f>
        <v>106|107|108|4201|110</v>
      </c>
      <c r="K174" s="18" t="str">
        <f>VLOOKUP(E174,各职业基础配置!$B$15:$C$18,2,FALSE)</f>
        <v>20|21|22|23</v>
      </c>
      <c r="L174" s="18" t="str">
        <f>VLOOKUP(E174,各职业基础配置!B:C,2,FALSE)</f>
        <v>[{20,1,1},{21,1,1},{22,1,1},{23,1,1},{4,1,1},{5,1,1},{6,1,1}]</v>
      </c>
      <c r="M174" s="18">
        <v>0</v>
      </c>
      <c r="N174" s="18">
        <f t="shared" si="26"/>
        <v>7</v>
      </c>
      <c r="O174" s="18">
        <f>SUMPRODUCT(P174:AI174,Sheet2!$B$3:$U$3)</f>
        <v>490549</v>
      </c>
      <c r="P174" s="18">
        <f>CEILING(INDEX([1]系统模型!$VD:$VD,MATCH(C174,[1]系统模型!$A:$A,0))*POWER(C174/220,3.8)-50+(1000-A174),1)</f>
        <v>10238</v>
      </c>
      <c r="Q174" s="18">
        <f>CEILING(INDEX([1]系统模型!$VE:$VE,MATCH(C174,[1]系统模型!$A:$A,0))*POWER(C174/220,4),1)</f>
        <v>1957</v>
      </c>
      <c r="R174" s="18">
        <f>INT(INDEX([1]系统模型!$VF:$VF,MATCH(C174,[1]系统模型!$A:$A,0))*MAX(POWER(C174/180,4),0.5))</f>
        <v>113374</v>
      </c>
      <c r="S174" s="5">
        <v>1000</v>
      </c>
      <c r="T174" s="25">
        <v>0</v>
      </c>
      <c r="U174" s="25">
        <v>0</v>
      </c>
      <c r="V174" s="25">
        <v>0</v>
      </c>
      <c r="W174" s="25">
        <v>0</v>
      </c>
      <c r="X174" s="25">
        <f t="shared" si="27"/>
        <v>5668</v>
      </c>
      <c r="Y174" s="12">
        <v>0</v>
      </c>
      <c r="Z174" s="25">
        <v>100</v>
      </c>
      <c r="AA174" s="25">
        <v>150</v>
      </c>
      <c r="AB174" s="25">
        <v>0</v>
      </c>
      <c r="AC174" s="25">
        <v>0</v>
      </c>
      <c r="AD174" s="25">
        <v>0</v>
      </c>
      <c r="AE174" s="25">
        <f t="shared" si="28"/>
        <v>448</v>
      </c>
      <c r="AF174" s="25">
        <f t="shared" si="29"/>
        <v>448</v>
      </c>
      <c r="AG174" s="25">
        <v>0</v>
      </c>
      <c r="AH174" s="25">
        <f t="shared" si="30"/>
        <v>8050</v>
      </c>
      <c r="AI174" s="25">
        <f t="shared" si="31"/>
        <v>136</v>
      </c>
      <c r="AJ174" s="25">
        <v>1</v>
      </c>
      <c r="AK174" s="25">
        <v>1000</v>
      </c>
      <c r="AL174" s="25">
        <v>100</v>
      </c>
      <c r="AM174" s="26">
        <v>10</v>
      </c>
      <c r="AN174" s="26">
        <v>10</v>
      </c>
      <c r="AO174" s="22" t="s">
        <v>2211</v>
      </c>
      <c r="AP174" s="26">
        <v>0</v>
      </c>
      <c r="AQ174" s="26">
        <f t="shared" si="32"/>
        <v>830</v>
      </c>
      <c r="AR174" s="18" t="str">
        <f ca="1">CONCATENATE(OFFSET(Sheet1!$A$2,RANDBETWEEN(2,500),0,1,1),OFFSET(Sheet1!$A$2,RANDBETWEEN(2,500),RANDBETWEEN(1,5),1,1))</f>
        <v>格雷汉姆</v>
      </c>
      <c r="AS174">
        <f>SUMPRODUCT(P174:AI174,Sheet2!$B$3:$U$3)</f>
        <v>490549</v>
      </c>
    </row>
    <row r="175" spans="1:45" x14ac:dyDescent="0.15">
      <c r="A175" s="23">
        <v>174</v>
      </c>
      <c r="B175" s="18" t="s">
        <v>1065</v>
      </c>
      <c r="C175" s="18">
        <f t="shared" si="22"/>
        <v>224</v>
      </c>
      <c r="D175" s="19">
        <f t="shared" si="23"/>
        <v>2</v>
      </c>
      <c r="E175" s="19">
        <f>VLOOKUP(MOD(A175,4),各职业基础配置!C$32:D$35,2,FALSE)</f>
        <v>6</v>
      </c>
      <c r="F175" s="19">
        <f>IF(A175&lt;900,INDEX(各职业基础配置!C$23:C$28,MOD(ROW(A175),4)+1),0)</f>
        <v>16</v>
      </c>
      <c r="G175" s="19">
        <f t="shared" si="24"/>
        <v>129</v>
      </c>
      <c r="H175" s="27">
        <f t="shared" si="25"/>
        <v>2</v>
      </c>
      <c r="I175" s="6" t="s">
        <v>164</v>
      </c>
      <c r="J175" s="23" t="str">
        <f>VLOOKUP(E175,各职业基础配置!$B$9:$C$12,2,FALSE)</f>
        <v>111|112|113|4201|115</v>
      </c>
      <c r="K175" s="18" t="str">
        <f>VLOOKUP(E175,各职业基础配置!$B$15:$C$18,2,FALSE)</f>
        <v>32|33|34</v>
      </c>
      <c r="L175" s="18" t="str">
        <f>VLOOKUP(E175,各职业基础配置!B:C,2,FALSE)</f>
        <v>[{32,1,1},{33,1,1},{34,1,1},{35,1,1},{7,1,1},{8,1,1},{9,1,1}]</v>
      </c>
      <c r="M175" s="18">
        <v>0</v>
      </c>
      <c r="N175" s="18">
        <f t="shared" si="26"/>
        <v>7</v>
      </c>
      <c r="O175" s="18">
        <f>SUMPRODUCT(P175:AI175,Sheet2!$B$3:$U$3)</f>
        <v>490524</v>
      </c>
      <c r="P175" s="18">
        <f>CEILING(INDEX([1]系统模型!$VD:$VD,MATCH(C175,[1]系统模型!$A:$A,0))*POWER(C175/220,3.8)-50+(1000-A175),1)</f>
        <v>10237</v>
      </c>
      <c r="Q175" s="18">
        <f>CEILING(INDEX([1]系统模型!$VE:$VE,MATCH(C175,[1]系统模型!$A:$A,0))*POWER(C175/220,4),1)</f>
        <v>1957</v>
      </c>
      <c r="R175" s="18">
        <f>INT(INDEX([1]系统模型!$VF:$VF,MATCH(C175,[1]系统模型!$A:$A,0))*MAX(POWER(C175/180,4),0.5))</f>
        <v>113374</v>
      </c>
      <c r="S175" s="5">
        <v>1000</v>
      </c>
      <c r="T175" s="25">
        <v>0</v>
      </c>
      <c r="U175" s="25">
        <v>0</v>
      </c>
      <c r="V175" s="25">
        <v>0</v>
      </c>
      <c r="W175" s="25">
        <v>0</v>
      </c>
      <c r="X175" s="25">
        <f t="shared" si="27"/>
        <v>5668</v>
      </c>
      <c r="Y175" s="12">
        <v>0</v>
      </c>
      <c r="Z175" s="25">
        <v>100</v>
      </c>
      <c r="AA175" s="25">
        <v>150</v>
      </c>
      <c r="AB175" s="25">
        <v>0</v>
      </c>
      <c r="AC175" s="25">
        <v>0</v>
      </c>
      <c r="AD175" s="25">
        <v>0</v>
      </c>
      <c r="AE175" s="25">
        <f t="shared" si="28"/>
        <v>448</v>
      </c>
      <c r="AF175" s="25">
        <f t="shared" si="29"/>
        <v>448</v>
      </c>
      <c r="AG175" s="25">
        <v>0</v>
      </c>
      <c r="AH175" s="25">
        <f t="shared" si="30"/>
        <v>8050</v>
      </c>
      <c r="AI175" s="25">
        <f t="shared" si="31"/>
        <v>136</v>
      </c>
      <c r="AJ175" s="25">
        <v>1</v>
      </c>
      <c r="AK175" s="25">
        <v>1000</v>
      </c>
      <c r="AL175" s="25">
        <v>100</v>
      </c>
      <c r="AM175" s="26">
        <v>10</v>
      </c>
      <c r="AN175" s="26">
        <v>10</v>
      </c>
      <c r="AO175" s="22" t="s">
        <v>2211</v>
      </c>
      <c r="AP175" s="26">
        <v>0</v>
      </c>
      <c r="AQ175" s="26">
        <f t="shared" si="32"/>
        <v>830</v>
      </c>
      <c r="AR175" s="18" t="str">
        <f ca="1">CONCATENATE(OFFSET(Sheet1!$A$2,RANDBETWEEN(2,500),0,1,1),OFFSET(Sheet1!$A$2,RANDBETWEEN(2,500),RANDBETWEEN(1,5),1,1))</f>
        <v>科菲小娜</v>
      </c>
      <c r="AS175">
        <f>SUMPRODUCT(P175:AI175,Sheet2!$B$3:$U$3)</f>
        <v>490524</v>
      </c>
    </row>
    <row r="176" spans="1:45" x14ac:dyDescent="0.15">
      <c r="A176" s="18">
        <v>175</v>
      </c>
      <c r="B176" s="18" t="s">
        <v>245</v>
      </c>
      <c r="C176" s="18">
        <f t="shared" si="22"/>
        <v>224</v>
      </c>
      <c r="D176" s="19">
        <f t="shared" si="23"/>
        <v>3</v>
      </c>
      <c r="E176" s="19">
        <f>VLOOKUP(MOD(A176,4),各职业基础配置!C$32:D$35,2,FALSE)</f>
        <v>9</v>
      </c>
      <c r="F176" s="19">
        <f>IF(A176&lt;900,INDEX(各职业基础配置!C$23:C$28,MOD(ROW(A176),4)+1),0)</f>
        <v>8</v>
      </c>
      <c r="G176" s="19">
        <f t="shared" si="24"/>
        <v>129</v>
      </c>
      <c r="H176" s="27">
        <f t="shared" si="25"/>
        <v>2</v>
      </c>
      <c r="I176" s="6" t="s">
        <v>164</v>
      </c>
      <c r="J176" s="23" t="str">
        <f>VLOOKUP(E176,各职业基础配置!$B$9:$C$12,2,FALSE)</f>
        <v>116|117|118|4201|120</v>
      </c>
      <c r="K176" s="18" t="str">
        <f>VLOOKUP(E176,各职业基础配置!$B$15:$C$18,2,FALSE)</f>
        <v>28|29|30|31</v>
      </c>
      <c r="L176" s="18" t="str">
        <f>VLOOKUP(E176,各职业基础配置!B:C,2,FALSE)</f>
        <v>[{28,1,1},{29,1,1},{30,1,1},{31,1,1},{10,1,1},{11,1,1},{12,1,1}]</v>
      </c>
      <c r="M176" s="18">
        <v>0</v>
      </c>
      <c r="N176" s="18">
        <f t="shared" si="26"/>
        <v>3</v>
      </c>
      <c r="O176" s="18">
        <f>SUMPRODUCT(P176:AI176,Sheet2!$B$3:$U$3)</f>
        <v>490499</v>
      </c>
      <c r="P176" s="18">
        <f>CEILING(INDEX([1]系统模型!$VD:$VD,MATCH(C176,[1]系统模型!$A:$A,0))*POWER(C176/220,3.8)-50+(1000-A176),1)</f>
        <v>10236</v>
      </c>
      <c r="Q176" s="18">
        <f>CEILING(INDEX([1]系统模型!$VE:$VE,MATCH(C176,[1]系统模型!$A:$A,0))*POWER(C176/220,4),1)</f>
        <v>1957</v>
      </c>
      <c r="R176" s="18">
        <f>INT(INDEX([1]系统模型!$VF:$VF,MATCH(C176,[1]系统模型!$A:$A,0))*MAX(POWER(C176/180,4),0.5))</f>
        <v>113374</v>
      </c>
      <c r="S176" s="5">
        <v>1000</v>
      </c>
      <c r="T176" s="25">
        <v>0</v>
      </c>
      <c r="U176" s="25">
        <v>0</v>
      </c>
      <c r="V176" s="25">
        <v>0</v>
      </c>
      <c r="W176" s="25">
        <v>0</v>
      </c>
      <c r="X176" s="25">
        <f t="shared" si="27"/>
        <v>5668</v>
      </c>
      <c r="Y176" s="12">
        <v>0</v>
      </c>
      <c r="Z176" s="25">
        <v>100</v>
      </c>
      <c r="AA176" s="25">
        <v>150</v>
      </c>
      <c r="AB176" s="25">
        <v>0</v>
      </c>
      <c r="AC176" s="25">
        <v>0</v>
      </c>
      <c r="AD176" s="25">
        <v>0</v>
      </c>
      <c r="AE176" s="25">
        <f t="shared" si="28"/>
        <v>448</v>
      </c>
      <c r="AF176" s="25">
        <f t="shared" si="29"/>
        <v>448</v>
      </c>
      <c r="AG176" s="25">
        <v>0</v>
      </c>
      <c r="AH176" s="25">
        <f t="shared" si="30"/>
        <v>8050</v>
      </c>
      <c r="AI176" s="25">
        <f t="shared" si="31"/>
        <v>136</v>
      </c>
      <c r="AJ176" s="25">
        <v>1</v>
      </c>
      <c r="AK176" s="25">
        <v>1000</v>
      </c>
      <c r="AL176" s="25">
        <v>100</v>
      </c>
      <c r="AM176" s="26">
        <v>10</v>
      </c>
      <c r="AN176" s="26">
        <v>10</v>
      </c>
      <c r="AO176" s="22" t="s">
        <v>2211</v>
      </c>
      <c r="AP176" s="26">
        <v>0</v>
      </c>
      <c r="AQ176" s="26">
        <f t="shared" si="32"/>
        <v>830</v>
      </c>
      <c r="AR176" s="18" t="str">
        <f ca="1">CONCATENATE(OFFSET(Sheet1!$A$2,RANDBETWEEN(2,500),0,1,1),OFFSET(Sheet1!$A$2,RANDBETWEEN(2,500),RANDBETWEEN(1,5),1,1))</f>
        <v>科南</v>
      </c>
      <c r="AS176">
        <f>SUMPRODUCT(P176:AI176,Sheet2!$B$3:$U$3)</f>
        <v>490499</v>
      </c>
    </row>
    <row r="177" spans="1:45" x14ac:dyDescent="0.15">
      <c r="A177" s="18">
        <v>176</v>
      </c>
      <c r="B177" s="18" t="s">
        <v>1908</v>
      </c>
      <c r="C177" s="18">
        <f t="shared" si="22"/>
        <v>223</v>
      </c>
      <c r="D177" s="19">
        <f t="shared" si="23"/>
        <v>2</v>
      </c>
      <c r="E177" s="19">
        <f>VLOOKUP(MOD(A177,4),各职业基础配置!C$32:D$35,2,FALSE)</f>
        <v>1</v>
      </c>
      <c r="F177" s="19">
        <f>IF(A177&lt;900,INDEX(各职业基础配置!C$23:C$28,MOD(ROW(A177),4)+1),0)</f>
        <v>13</v>
      </c>
      <c r="G177" s="19">
        <f t="shared" si="24"/>
        <v>125</v>
      </c>
      <c r="H177" s="27">
        <f t="shared" si="25"/>
        <v>2</v>
      </c>
      <c r="I177" s="6" t="s">
        <v>164</v>
      </c>
      <c r="J177" s="23" t="str">
        <f>VLOOKUP(E177,各职业基础配置!$B$9:$C$12,2,FALSE)</f>
        <v>101|102|103|4201|105</v>
      </c>
      <c r="K177" s="18" t="str">
        <f>VLOOKUP(E177,各职业基础配置!$B$15:$C$18,2,FALSE)</f>
        <v>24|25|26|27</v>
      </c>
      <c r="L177" s="18" t="str">
        <f>VLOOKUP(E177,各职业基础配置!B:C,2,FALSE)</f>
        <v>[{24,1,1},{25,1,1},{26,1,1},{27,1,1},{1,1,1},{2,1,1},{3,1,1}]</v>
      </c>
      <c r="M177" s="18">
        <v>0</v>
      </c>
      <c r="N177" s="18">
        <f t="shared" si="26"/>
        <v>3</v>
      </c>
      <c r="O177" s="18">
        <f>SUMPRODUCT(P177:AI177,Sheet2!$B$3:$U$3)</f>
        <v>479828</v>
      </c>
      <c r="P177" s="18">
        <f>CEILING(INDEX([1]系统模型!$VD:$VD,MATCH(C177,[1]系统模型!$A:$A,0))*POWER(C177/220,3.8)-50+(1000-A177),1)</f>
        <v>9997</v>
      </c>
      <c r="Q177" s="18">
        <f>CEILING(INDEX([1]系统模型!$VE:$VE,MATCH(C177,[1]系统模型!$A:$A,0))*POWER(C177/220,4),1)</f>
        <v>1903</v>
      </c>
      <c r="R177" s="18">
        <f>INT(INDEX([1]系统模型!$VF:$VF,MATCH(C177,[1]系统模型!$A:$A,0))*MAX(POWER(C177/180,4),0.5))</f>
        <v>110578</v>
      </c>
      <c r="S177" s="5">
        <v>1000</v>
      </c>
      <c r="T177" s="25">
        <v>0</v>
      </c>
      <c r="U177" s="25">
        <v>0</v>
      </c>
      <c r="V177" s="25">
        <v>0</v>
      </c>
      <c r="W177" s="25">
        <v>0</v>
      </c>
      <c r="X177" s="25">
        <f t="shared" si="27"/>
        <v>5528</v>
      </c>
      <c r="Y177" s="12">
        <v>0</v>
      </c>
      <c r="Z177" s="25">
        <v>100</v>
      </c>
      <c r="AA177" s="25">
        <v>150</v>
      </c>
      <c r="AB177" s="25">
        <v>0</v>
      </c>
      <c r="AC177" s="25">
        <v>0</v>
      </c>
      <c r="AD177" s="25">
        <v>0</v>
      </c>
      <c r="AE177" s="25">
        <f t="shared" si="28"/>
        <v>446</v>
      </c>
      <c r="AF177" s="25">
        <f t="shared" si="29"/>
        <v>446</v>
      </c>
      <c r="AG177" s="25">
        <v>0</v>
      </c>
      <c r="AH177" s="25">
        <f t="shared" si="30"/>
        <v>7975</v>
      </c>
      <c r="AI177" s="25">
        <f t="shared" si="31"/>
        <v>133</v>
      </c>
      <c r="AJ177" s="25">
        <v>1</v>
      </c>
      <c r="AK177" s="25">
        <v>1000</v>
      </c>
      <c r="AL177" s="25">
        <v>100</v>
      </c>
      <c r="AM177" s="26">
        <v>10</v>
      </c>
      <c r="AN177" s="26">
        <v>10</v>
      </c>
      <c r="AO177" s="22" t="s">
        <v>2211</v>
      </c>
      <c r="AP177" s="26">
        <v>0</v>
      </c>
      <c r="AQ177" s="26">
        <f t="shared" si="32"/>
        <v>830</v>
      </c>
      <c r="AR177" s="18" t="str">
        <f ca="1">CONCATENATE(OFFSET(Sheet1!$A$2,RANDBETWEEN(2,500),0,1,1),OFFSET(Sheet1!$A$2,RANDBETWEEN(2,500),RANDBETWEEN(1,5),1,1))</f>
        <v>卡罗尔</v>
      </c>
      <c r="AS177">
        <f>SUMPRODUCT(P177:AI177,Sheet2!$B$3:$U$3)</f>
        <v>479828</v>
      </c>
    </row>
    <row r="178" spans="1:45" x14ac:dyDescent="0.15">
      <c r="A178" s="23">
        <v>177</v>
      </c>
      <c r="B178" s="18" t="s">
        <v>1247</v>
      </c>
      <c r="C178" s="18">
        <f t="shared" si="22"/>
        <v>223</v>
      </c>
      <c r="D178" s="19">
        <f t="shared" si="23"/>
        <v>3</v>
      </c>
      <c r="E178" s="19">
        <f>VLOOKUP(MOD(A178,4),各职业基础配置!C$32:D$35,2,FALSE)</f>
        <v>3</v>
      </c>
      <c r="F178" s="19">
        <f>IF(A178&lt;900,INDEX(各职业基础配置!C$23:C$28,MOD(ROW(A178),4)+1),0)</f>
        <v>14</v>
      </c>
      <c r="G178" s="19">
        <f t="shared" si="24"/>
        <v>125</v>
      </c>
      <c r="H178" s="27">
        <f t="shared" si="25"/>
        <v>2</v>
      </c>
      <c r="I178" s="6" t="s">
        <v>164</v>
      </c>
      <c r="J178" s="23" t="str">
        <f>VLOOKUP(E178,各职业基础配置!$B$9:$C$12,2,FALSE)</f>
        <v>106|107|108|4201|110</v>
      </c>
      <c r="K178" s="18" t="str">
        <f>VLOOKUP(E178,各职业基础配置!$B$15:$C$18,2,FALSE)</f>
        <v>20|21|22|23</v>
      </c>
      <c r="L178" s="18" t="str">
        <f>VLOOKUP(E178,各职业基础配置!B:C,2,FALSE)</f>
        <v>[{20,1,1},{21,1,1},{22,1,1},{23,1,1},{4,1,1},{5,1,1},{6,1,1}]</v>
      </c>
      <c r="M178" s="18">
        <v>0</v>
      </c>
      <c r="N178" s="18">
        <f t="shared" si="26"/>
        <v>7</v>
      </c>
      <c r="O178" s="18">
        <f>SUMPRODUCT(P178:AI178,Sheet2!$B$3:$U$3)</f>
        <v>479803</v>
      </c>
      <c r="P178" s="18">
        <f>CEILING(INDEX([1]系统模型!$VD:$VD,MATCH(C178,[1]系统模型!$A:$A,0))*POWER(C178/220,3.8)-50+(1000-A178),1)</f>
        <v>9996</v>
      </c>
      <c r="Q178" s="18">
        <f>CEILING(INDEX([1]系统模型!$VE:$VE,MATCH(C178,[1]系统模型!$A:$A,0))*POWER(C178/220,4),1)</f>
        <v>1903</v>
      </c>
      <c r="R178" s="18">
        <f>INT(INDEX([1]系统模型!$VF:$VF,MATCH(C178,[1]系统模型!$A:$A,0))*MAX(POWER(C178/180,4),0.5))</f>
        <v>110578</v>
      </c>
      <c r="S178" s="5">
        <v>1000</v>
      </c>
      <c r="T178" s="25">
        <v>0</v>
      </c>
      <c r="U178" s="25">
        <v>0</v>
      </c>
      <c r="V178" s="25">
        <v>0</v>
      </c>
      <c r="W178" s="25">
        <v>0</v>
      </c>
      <c r="X178" s="25">
        <f t="shared" si="27"/>
        <v>5528</v>
      </c>
      <c r="Y178" s="12">
        <v>0</v>
      </c>
      <c r="Z178" s="25">
        <v>100</v>
      </c>
      <c r="AA178" s="25">
        <v>150</v>
      </c>
      <c r="AB178" s="25">
        <v>0</v>
      </c>
      <c r="AC178" s="25">
        <v>0</v>
      </c>
      <c r="AD178" s="25">
        <v>0</v>
      </c>
      <c r="AE178" s="25">
        <f t="shared" si="28"/>
        <v>446</v>
      </c>
      <c r="AF178" s="25">
        <f t="shared" si="29"/>
        <v>446</v>
      </c>
      <c r="AG178" s="25">
        <v>0</v>
      </c>
      <c r="AH178" s="25">
        <f t="shared" si="30"/>
        <v>7975</v>
      </c>
      <c r="AI178" s="25">
        <f t="shared" si="31"/>
        <v>133</v>
      </c>
      <c r="AJ178" s="25">
        <v>1</v>
      </c>
      <c r="AK178" s="25">
        <v>1000</v>
      </c>
      <c r="AL178" s="25">
        <v>100</v>
      </c>
      <c r="AM178" s="26">
        <v>10</v>
      </c>
      <c r="AN178" s="26">
        <v>10</v>
      </c>
      <c r="AO178" s="22" t="s">
        <v>2211</v>
      </c>
      <c r="AP178" s="26">
        <v>0</v>
      </c>
      <c r="AQ178" s="26">
        <f t="shared" si="32"/>
        <v>820</v>
      </c>
      <c r="AR178" s="18" t="str">
        <f ca="1">CONCATENATE(OFFSET(Sheet1!$A$2,RANDBETWEEN(2,500),0,1,1),OFFSET(Sheet1!$A$2,RANDBETWEEN(2,500),RANDBETWEEN(1,5),1,1))</f>
        <v>阿奇博尔德</v>
      </c>
      <c r="AS178">
        <f>SUMPRODUCT(P178:AI178,Sheet2!$B$3:$U$3)</f>
        <v>479803</v>
      </c>
    </row>
    <row r="179" spans="1:45" x14ac:dyDescent="0.15">
      <c r="A179" s="18">
        <v>178</v>
      </c>
      <c r="B179" s="18" t="s">
        <v>1332</v>
      </c>
      <c r="C179" s="18">
        <f t="shared" si="22"/>
        <v>223</v>
      </c>
      <c r="D179" s="19">
        <f t="shared" si="23"/>
        <v>2</v>
      </c>
      <c r="E179" s="19">
        <f>VLOOKUP(MOD(A179,4),各职业基础配置!C$32:D$35,2,FALSE)</f>
        <v>6</v>
      </c>
      <c r="F179" s="19">
        <f>IF(A179&lt;900,INDEX(各职业基础配置!C$23:C$28,MOD(ROW(A179),4)+1),0)</f>
        <v>16</v>
      </c>
      <c r="G179" s="19">
        <f t="shared" si="24"/>
        <v>125</v>
      </c>
      <c r="H179" s="27">
        <f t="shared" si="25"/>
        <v>2</v>
      </c>
      <c r="I179" s="6" t="s">
        <v>164</v>
      </c>
      <c r="J179" s="23" t="str">
        <f>VLOOKUP(E179,各职业基础配置!$B$9:$C$12,2,FALSE)</f>
        <v>111|112|113|4201|115</v>
      </c>
      <c r="K179" s="18" t="str">
        <f>VLOOKUP(E179,各职业基础配置!$B$15:$C$18,2,FALSE)</f>
        <v>32|33|34</v>
      </c>
      <c r="L179" s="18" t="str">
        <f>VLOOKUP(E179,各职业基础配置!B:C,2,FALSE)</f>
        <v>[{32,1,1},{33,1,1},{34,1,1},{35,1,1},{7,1,1},{8,1,1},{9,1,1}]</v>
      </c>
      <c r="M179" s="18">
        <v>0</v>
      </c>
      <c r="N179" s="18">
        <f t="shared" si="26"/>
        <v>7</v>
      </c>
      <c r="O179" s="18">
        <f>SUMPRODUCT(P179:AI179,Sheet2!$B$3:$U$3)</f>
        <v>479778</v>
      </c>
      <c r="P179" s="18">
        <f>CEILING(INDEX([1]系统模型!$VD:$VD,MATCH(C179,[1]系统模型!$A:$A,0))*POWER(C179/220,3.8)-50+(1000-A179),1)</f>
        <v>9995</v>
      </c>
      <c r="Q179" s="18">
        <f>CEILING(INDEX([1]系统模型!$VE:$VE,MATCH(C179,[1]系统模型!$A:$A,0))*POWER(C179/220,4),1)</f>
        <v>1903</v>
      </c>
      <c r="R179" s="18">
        <f>INT(INDEX([1]系统模型!$VF:$VF,MATCH(C179,[1]系统模型!$A:$A,0))*MAX(POWER(C179/180,4),0.5))</f>
        <v>110578</v>
      </c>
      <c r="S179" s="5">
        <v>1000</v>
      </c>
      <c r="T179" s="25">
        <v>0</v>
      </c>
      <c r="U179" s="25">
        <v>0</v>
      </c>
      <c r="V179" s="25">
        <v>0</v>
      </c>
      <c r="W179" s="25">
        <v>0</v>
      </c>
      <c r="X179" s="25">
        <f t="shared" si="27"/>
        <v>5528</v>
      </c>
      <c r="Y179" s="12">
        <v>0</v>
      </c>
      <c r="Z179" s="25">
        <v>100</v>
      </c>
      <c r="AA179" s="25">
        <v>150</v>
      </c>
      <c r="AB179" s="25">
        <v>0</v>
      </c>
      <c r="AC179" s="25">
        <v>0</v>
      </c>
      <c r="AD179" s="25">
        <v>0</v>
      </c>
      <c r="AE179" s="25">
        <f t="shared" si="28"/>
        <v>446</v>
      </c>
      <c r="AF179" s="25">
        <f t="shared" si="29"/>
        <v>446</v>
      </c>
      <c r="AG179" s="25">
        <v>0</v>
      </c>
      <c r="AH179" s="25">
        <f t="shared" si="30"/>
        <v>7975</v>
      </c>
      <c r="AI179" s="25">
        <f t="shared" si="31"/>
        <v>133</v>
      </c>
      <c r="AJ179" s="25">
        <v>1</v>
      </c>
      <c r="AK179" s="25">
        <v>1000</v>
      </c>
      <c r="AL179" s="25">
        <v>100</v>
      </c>
      <c r="AM179" s="26">
        <v>10</v>
      </c>
      <c r="AN179" s="26">
        <v>10</v>
      </c>
      <c r="AO179" s="22" t="s">
        <v>2211</v>
      </c>
      <c r="AP179" s="26">
        <v>0</v>
      </c>
      <c r="AQ179" s="26">
        <f t="shared" si="32"/>
        <v>820</v>
      </c>
      <c r="AR179" s="18" t="str">
        <f ca="1">CONCATENATE(OFFSET(Sheet1!$A$2,RANDBETWEEN(2,500),0,1,1),OFFSET(Sheet1!$A$2,RANDBETWEEN(2,500),RANDBETWEEN(1,5),1,1))</f>
        <v>伊夫</v>
      </c>
      <c r="AS179">
        <f>SUMPRODUCT(P179:AI179,Sheet2!$B$3:$U$3)</f>
        <v>479778</v>
      </c>
    </row>
    <row r="180" spans="1:45" x14ac:dyDescent="0.15">
      <c r="A180" s="18">
        <v>179</v>
      </c>
      <c r="B180" s="18" t="s">
        <v>1351</v>
      </c>
      <c r="C180" s="18">
        <f t="shared" si="22"/>
        <v>223</v>
      </c>
      <c r="D180" s="19">
        <f t="shared" si="23"/>
        <v>3</v>
      </c>
      <c r="E180" s="19">
        <f>VLOOKUP(MOD(A180,4),各职业基础配置!C$32:D$35,2,FALSE)</f>
        <v>9</v>
      </c>
      <c r="F180" s="19">
        <f>IF(A180&lt;900,INDEX(各职业基础配置!C$23:C$28,MOD(ROW(A180),4)+1),0)</f>
        <v>8</v>
      </c>
      <c r="G180" s="19">
        <f t="shared" si="24"/>
        <v>125</v>
      </c>
      <c r="H180" s="27">
        <f t="shared" si="25"/>
        <v>2</v>
      </c>
      <c r="I180" s="6" t="s">
        <v>164</v>
      </c>
      <c r="J180" s="23" t="str">
        <f>VLOOKUP(E180,各职业基础配置!$B$9:$C$12,2,FALSE)</f>
        <v>116|117|118|4201|120</v>
      </c>
      <c r="K180" s="18" t="str">
        <f>VLOOKUP(E180,各职业基础配置!$B$15:$C$18,2,FALSE)</f>
        <v>28|29|30|31</v>
      </c>
      <c r="L180" s="18" t="str">
        <f>VLOOKUP(E180,各职业基础配置!B:C,2,FALSE)</f>
        <v>[{28,1,1},{29,1,1},{30,1,1},{31,1,1},{10,1,1},{11,1,1},{12,1,1}]</v>
      </c>
      <c r="M180" s="18">
        <v>0</v>
      </c>
      <c r="N180" s="18">
        <f t="shared" si="26"/>
        <v>3</v>
      </c>
      <c r="O180" s="18">
        <f>SUMPRODUCT(P180:AI180,Sheet2!$B$3:$U$3)</f>
        <v>479753</v>
      </c>
      <c r="P180" s="18">
        <f>CEILING(INDEX([1]系统模型!$VD:$VD,MATCH(C180,[1]系统模型!$A:$A,0))*POWER(C180/220,3.8)-50+(1000-A180),1)</f>
        <v>9994</v>
      </c>
      <c r="Q180" s="18">
        <f>CEILING(INDEX([1]系统模型!$VE:$VE,MATCH(C180,[1]系统模型!$A:$A,0))*POWER(C180/220,4),1)</f>
        <v>1903</v>
      </c>
      <c r="R180" s="18">
        <f>INT(INDEX([1]系统模型!$VF:$VF,MATCH(C180,[1]系统模型!$A:$A,0))*MAX(POWER(C180/180,4),0.5))</f>
        <v>110578</v>
      </c>
      <c r="S180" s="5">
        <v>1000</v>
      </c>
      <c r="T180" s="25">
        <v>0</v>
      </c>
      <c r="U180" s="25">
        <v>0</v>
      </c>
      <c r="V180" s="25">
        <v>0</v>
      </c>
      <c r="W180" s="25">
        <v>0</v>
      </c>
      <c r="X180" s="25">
        <f t="shared" si="27"/>
        <v>5528</v>
      </c>
      <c r="Y180" s="12">
        <v>0</v>
      </c>
      <c r="Z180" s="25">
        <v>100</v>
      </c>
      <c r="AA180" s="25">
        <v>150</v>
      </c>
      <c r="AB180" s="25">
        <v>0</v>
      </c>
      <c r="AC180" s="25">
        <v>0</v>
      </c>
      <c r="AD180" s="25">
        <v>0</v>
      </c>
      <c r="AE180" s="25">
        <f t="shared" si="28"/>
        <v>446</v>
      </c>
      <c r="AF180" s="25">
        <f t="shared" si="29"/>
        <v>446</v>
      </c>
      <c r="AG180" s="25">
        <v>0</v>
      </c>
      <c r="AH180" s="25">
        <f t="shared" si="30"/>
        <v>7975</v>
      </c>
      <c r="AI180" s="25">
        <f t="shared" si="31"/>
        <v>133</v>
      </c>
      <c r="AJ180" s="25">
        <v>1</v>
      </c>
      <c r="AK180" s="25">
        <v>1000</v>
      </c>
      <c r="AL180" s="25">
        <v>100</v>
      </c>
      <c r="AM180" s="26">
        <v>10</v>
      </c>
      <c r="AN180" s="26">
        <v>10</v>
      </c>
      <c r="AO180" s="22" t="s">
        <v>2211</v>
      </c>
      <c r="AP180" s="26">
        <v>0</v>
      </c>
      <c r="AQ180" s="26">
        <f t="shared" si="32"/>
        <v>820</v>
      </c>
      <c r="AR180" s="18" t="str">
        <f ca="1">CONCATENATE(OFFSET(Sheet1!$A$2,RANDBETWEEN(2,500),0,1,1),OFFSET(Sheet1!$A$2,RANDBETWEEN(2,500),RANDBETWEEN(1,5),1,1))</f>
        <v>埃伦</v>
      </c>
      <c r="AS180">
        <f>SUMPRODUCT(P180:AI180,Sheet2!$B$3:$U$3)</f>
        <v>479753</v>
      </c>
    </row>
    <row r="181" spans="1:45" x14ac:dyDescent="0.15">
      <c r="A181" s="23">
        <v>180</v>
      </c>
      <c r="B181" s="18" t="s">
        <v>1909</v>
      </c>
      <c r="C181" s="18">
        <f t="shared" si="22"/>
        <v>223</v>
      </c>
      <c r="D181" s="19">
        <f t="shared" si="23"/>
        <v>2</v>
      </c>
      <c r="E181" s="19">
        <f>VLOOKUP(MOD(A181,4),各职业基础配置!C$32:D$35,2,FALSE)</f>
        <v>1</v>
      </c>
      <c r="F181" s="19">
        <f>IF(A181&lt;900,INDEX(各职业基础配置!C$23:C$28,MOD(ROW(A181),4)+1),0)</f>
        <v>13</v>
      </c>
      <c r="G181" s="19">
        <f t="shared" si="24"/>
        <v>125</v>
      </c>
      <c r="H181" s="27">
        <f t="shared" si="25"/>
        <v>2</v>
      </c>
      <c r="I181" s="6" t="s">
        <v>164</v>
      </c>
      <c r="J181" s="23" t="str">
        <f>VLOOKUP(E181,各职业基础配置!$B$9:$C$12,2,FALSE)</f>
        <v>101|102|103|4201|105</v>
      </c>
      <c r="K181" s="18" t="str">
        <f>VLOOKUP(E181,各职业基础配置!$B$15:$C$18,2,FALSE)</f>
        <v>24|25|26|27</v>
      </c>
      <c r="L181" s="18" t="str">
        <f>VLOOKUP(E181,各职业基础配置!B:C,2,FALSE)</f>
        <v>[{24,1,1},{25,1,1},{26,1,1},{27,1,1},{1,1,1},{2,1,1},{3,1,1}]</v>
      </c>
      <c r="M181" s="18">
        <v>0</v>
      </c>
      <c r="N181" s="18">
        <f t="shared" si="26"/>
        <v>3</v>
      </c>
      <c r="O181" s="18">
        <f>SUMPRODUCT(P181:AI181,Sheet2!$B$3:$U$3)</f>
        <v>479728</v>
      </c>
      <c r="P181" s="18">
        <f>CEILING(INDEX([1]系统模型!$VD:$VD,MATCH(C181,[1]系统模型!$A:$A,0))*POWER(C181/220,3.8)-50+(1000-A181),1)</f>
        <v>9993</v>
      </c>
      <c r="Q181" s="18">
        <f>CEILING(INDEX([1]系统模型!$VE:$VE,MATCH(C181,[1]系统模型!$A:$A,0))*POWER(C181/220,4),1)</f>
        <v>1903</v>
      </c>
      <c r="R181" s="18">
        <f>INT(INDEX([1]系统模型!$VF:$VF,MATCH(C181,[1]系统模型!$A:$A,0))*MAX(POWER(C181/180,4),0.5))</f>
        <v>110578</v>
      </c>
      <c r="S181" s="5">
        <v>1000</v>
      </c>
      <c r="T181" s="25">
        <v>0</v>
      </c>
      <c r="U181" s="25">
        <v>0</v>
      </c>
      <c r="V181" s="25">
        <v>0</v>
      </c>
      <c r="W181" s="25">
        <v>0</v>
      </c>
      <c r="X181" s="25">
        <f t="shared" si="27"/>
        <v>5528</v>
      </c>
      <c r="Y181" s="12">
        <v>0</v>
      </c>
      <c r="Z181" s="25">
        <v>100</v>
      </c>
      <c r="AA181" s="25">
        <v>150</v>
      </c>
      <c r="AB181" s="25">
        <v>0</v>
      </c>
      <c r="AC181" s="25">
        <v>0</v>
      </c>
      <c r="AD181" s="25">
        <v>0</v>
      </c>
      <c r="AE181" s="25">
        <f t="shared" si="28"/>
        <v>446</v>
      </c>
      <c r="AF181" s="25">
        <f t="shared" si="29"/>
        <v>446</v>
      </c>
      <c r="AG181" s="25">
        <v>0</v>
      </c>
      <c r="AH181" s="25">
        <f t="shared" si="30"/>
        <v>7975</v>
      </c>
      <c r="AI181" s="25">
        <f t="shared" si="31"/>
        <v>133</v>
      </c>
      <c r="AJ181" s="25">
        <v>1</v>
      </c>
      <c r="AK181" s="25">
        <v>1000</v>
      </c>
      <c r="AL181" s="25">
        <v>100</v>
      </c>
      <c r="AM181" s="26">
        <v>10</v>
      </c>
      <c r="AN181" s="26">
        <v>10</v>
      </c>
      <c r="AO181" s="22" t="s">
        <v>2211</v>
      </c>
      <c r="AP181" s="26">
        <v>0</v>
      </c>
      <c r="AQ181" s="26">
        <f t="shared" si="32"/>
        <v>820</v>
      </c>
      <c r="AR181" s="18" t="str">
        <f ca="1">CONCATENATE(OFFSET(Sheet1!$A$2,RANDBETWEEN(2,500),0,1,1),OFFSET(Sheet1!$A$2,RANDBETWEEN(2,500),RANDBETWEEN(1,5),1,1))</f>
        <v>丹蕾娜塔</v>
      </c>
      <c r="AS181">
        <f>SUMPRODUCT(P181:AI181,Sheet2!$B$3:$U$3)</f>
        <v>479728</v>
      </c>
    </row>
    <row r="182" spans="1:45" x14ac:dyDescent="0.15">
      <c r="A182" s="18">
        <v>181</v>
      </c>
      <c r="B182" s="18" t="s">
        <v>1910</v>
      </c>
      <c r="C182" s="18">
        <f t="shared" si="22"/>
        <v>223</v>
      </c>
      <c r="D182" s="19">
        <f t="shared" si="23"/>
        <v>3</v>
      </c>
      <c r="E182" s="19">
        <f>VLOOKUP(MOD(A182,4),各职业基础配置!C$32:D$35,2,FALSE)</f>
        <v>3</v>
      </c>
      <c r="F182" s="19">
        <f>IF(A182&lt;900,INDEX(各职业基础配置!C$23:C$28,MOD(ROW(A182),4)+1),0)</f>
        <v>14</v>
      </c>
      <c r="G182" s="19">
        <f t="shared" si="24"/>
        <v>125</v>
      </c>
      <c r="H182" s="27">
        <f t="shared" si="25"/>
        <v>2</v>
      </c>
      <c r="I182" s="6" t="s">
        <v>164</v>
      </c>
      <c r="J182" s="23" t="str">
        <f>VLOOKUP(E182,各职业基础配置!$B$9:$C$12,2,FALSE)</f>
        <v>106|107|108|4201|110</v>
      </c>
      <c r="K182" s="18" t="str">
        <f>VLOOKUP(E182,各职业基础配置!$B$15:$C$18,2,FALSE)</f>
        <v>20|21|22|23</v>
      </c>
      <c r="L182" s="18" t="str">
        <f>VLOOKUP(E182,各职业基础配置!B:C,2,FALSE)</f>
        <v>[{20,1,1},{21,1,1},{22,1,1},{23,1,1},{4,1,1},{5,1,1},{6,1,1}]</v>
      </c>
      <c r="M182" s="18">
        <v>0</v>
      </c>
      <c r="N182" s="18">
        <f t="shared" si="26"/>
        <v>7</v>
      </c>
      <c r="O182" s="18">
        <f>SUMPRODUCT(P182:AI182,Sheet2!$B$3:$U$3)</f>
        <v>479703</v>
      </c>
      <c r="P182" s="18">
        <f>CEILING(INDEX([1]系统模型!$VD:$VD,MATCH(C182,[1]系统模型!$A:$A,0))*POWER(C182/220,3.8)-50+(1000-A182),1)</f>
        <v>9992</v>
      </c>
      <c r="Q182" s="18">
        <f>CEILING(INDEX([1]系统模型!$VE:$VE,MATCH(C182,[1]系统模型!$A:$A,0))*POWER(C182/220,4),1)</f>
        <v>1903</v>
      </c>
      <c r="R182" s="18">
        <f>INT(INDEX([1]系统模型!$VF:$VF,MATCH(C182,[1]系统模型!$A:$A,0))*MAX(POWER(C182/180,4),0.5))</f>
        <v>110578</v>
      </c>
      <c r="S182" s="5">
        <v>1000</v>
      </c>
      <c r="T182" s="25">
        <v>0</v>
      </c>
      <c r="U182" s="25">
        <v>0</v>
      </c>
      <c r="V182" s="25">
        <v>0</v>
      </c>
      <c r="W182" s="25">
        <v>0</v>
      </c>
      <c r="X182" s="25">
        <f t="shared" si="27"/>
        <v>5528</v>
      </c>
      <c r="Y182" s="12">
        <v>0</v>
      </c>
      <c r="Z182" s="25">
        <v>100</v>
      </c>
      <c r="AA182" s="25">
        <v>150</v>
      </c>
      <c r="AB182" s="25">
        <v>0</v>
      </c>
      <c r="AC182" s="25">
        <v>0</v>
      </c>
      <c r="AD182" s="25">
        <v>0</v>
      </c>
      <c r="AE182" s="25">
        <f t="shared" si="28"/>
        <v>446</v>
      </c>
      <c r="AF182" s="25">
        <f t="shared" si="29"/>
        <v>446</v>
      </c>
      <c r="AG182" s="25">
        <v>0</v>
      </c>
      <c r="AH182" s="25">
        <f t="shared" si="30"/>
        <v>7975</v>
      </c>
      <c r="AI182" s="25">
        <f t="shared" si="31"/>
        <v>133</v>
      </c>
      <c r="AJ182" s="25">
        <v>1</v>
      </c>
      <c r="AK182" s="25">
        <v>1000</v>
      </c>
      <c r="AL182" s="25">
        <v>100</v>
      </c>
      <c r="AM182" s="26">
        <v>10</v>
      </c>
      <c r="AN182" s="26">
        <v>10</v>
      </c>
      <c r="AO182" s="22" t="s">
        <v>2211</v>
      </c>
      <c r="AP182" s="26">
        <v>0</v>
      </c>
      <c r="AQ182" s="26">
        <f t="shared" si="32"/>
        <v>820</v>
      </c>
      <c r="AR182" s="18" t="str">
        <f ca="1">CONCATENATE(OFFSET(Sheet1!$A$2,RANDBETWEEN(2,500),0,1,1),OFFSET(Sheet1!$A$2,RANDBETWEEN(2,500),RANDBETWEEN(1,5),1,1))</f>
        <v>福斯特</v>
      </c>
      <c r="AS182">
        <f>SUMPRODUCT(P182:AI182,Sheet2!$B$3:$U$3)</f>
        <v>479703</v>
      </c>
    </row>
    <row r="183" spans="1:45" x14ac:dyDescent="0.15">
      <c r="A183" s="18">
        <v>182</v>
      </c>
      <c r="B183" s="18" t="s">
        <v>508</v>
      </c>
      <c r="C183" s="18">
        <f t="shared" si="22"/>
        <v>223</v>
      </c>
      <c r="D183" s="19">
        <f t="shared" si="23"/>
        <v>2</v>
      </c>
      <c r="E183" s="19">
        <f>VLOOKUP(MOD(A183,4),各职业基础配置!C$32:D$35,2,FALSE)</f>
        <v>6</v>
      </c>
      <c r="F183" s="19">
        <f>IF(A183&lt;900,INDEX(各职业基础配置!C$23:C$28,MOD(ROW(A183),4)+1),0)</f>
        <v>16</v>
      </c>
      <c r="G183" s="19">
        <f t="shared" si="24"/>
        <v>125</v>
      </c>
      <c r="H183" s="27">
        <f t="shared" si="25"/>
        <v>2</v>
      </c>
      <c r="I183" s="6" t="s">
        <v>164</v>
      </c>
      <c r="J183" s="23" t="str">
        <f>VLOOKUP(E183,各职业基础配置!$B$9:$C$12,2,FALSE)</f>
        <v>111|112|113|4201|115</v>
      </c>
      <c r="K183" s="18" t="str">
        <f>VLOOKUP(E183,各职业基础配置!$B$15:$C$18,2,FALSE)</f>
        <v>32|33|34</v>
      </c>
      <c r="L183" s="18" t="str">
        <f>VLOOKUP(E183,各职业基础配置!B:C,2,FALSE)</f>
        <v>[{32,1,1},{33,1,1},{34,1,1},{35,1,1},{7,1,1},{8,1,1},{9,1,1}]</v>
      </c>
      <c r="M183" s="18">
        <v>0</v>
      </c>
      <c r="N183" s="18">
        <f t="shared" si="26"/>
        <v>7</v>
      </c>
      <c r="O183" s="18">
        <f>SUMPRODUCT(P183:AI183,Sheet2!$B$3:$U$3)</f>
        <v>479678</v>
      </c>
      <c r="P183" s="18">
        <f>CEILING(INDEX([1]系统模型!$VD:$VD,MATCH(C183,[1]系统模型!$A:$A,0))*POWER(C183/220,3.8)-50+(1000-A183),1)</f>
        <v>9991</v>
      </c>
      <c r="Q183" s="18">
        <f>CEILING(INDEX([1]系统模型!$VE:$VE,MATCH(C183,[1]系统模型!$A:$A,0))*POWER(C183/220,4),1)</f>
        <v>1903</v>
      </c>
      <c r="R183" s="18">
        <f>INT(INDEX([1]系统模型!$VF:$VF,MATCH(C183,[1]系统模型!$A:$A,0))*MAX(POWER(C183/180,4),0.5))</f>
        <v>110578</v>
      </c>
      <c r="S183" s="5">
        <v>1000</v>
      </c>
      <c r="T183" s="25">
        <v>0</v>
      </c>
      <c r="U183" s="25">
        <v>0</v>
      </c>
      <c r="V183" s="25">
        <v>0</v>
      </c>
      <c r="W183" s="25">
        <v>0</v>
      </c>
      <c r="X183" s="25">
        <f t="shared" si="27"/>
        <v>5528</v>
      </c>
      <c r="Y183" s="12">
        <v>0</v>
      </c>
      <c r="Z183" s="25">
        <v>100</v>
      </c>
      <c r="AA183" s="25">
        <v>150</v>
      </c>
      <c r="AB183" s="25">
        <v>0</v>
      </c>
      <c r="AC183" s="25">
        <v>0</v>
      </c>
      <c r="AD183" s="25">
        <v>0</v>
      </c>
      <c r="AE183" s="25">
        <f t="shared" si="28"/>
        <v>446</v>
      </c>
      <c r="AF183" s="25">
        <f t="shared" si="29"/>
        <v>446</v>
      </c>
      <c r="AG183" s="25">
        <v>0</v>
      </c>
      <c r="AH183" s="25">
        <f t="shared" si="30"/>
        <v>7975</v>
      </c>
      <c r="AI183" s="25">
        <f t="shared" si="31"/>
        <v>133</v>
      </c>
      <c r="AJ183" s="25">
        <v>1</v>
      </c>
      <c r="AK183" s="25">
        <v>1000</v>
      </c>
      <c r="AL183" s="25">
        <v>100</v>
      </c>
      <c r="AM183" s="26">
        <v>10</v>
      </c>
      <c r="AN183" s="26">
        <v>10</v>
      </c>
      <c r="AO183" s="22" t="s">
        <v>2211</v>
      </c>
      <c r="AP183" s="26">
        <v>0</v>
      </c>
      <c r="AQ183" s="26">
        <f t="shared" si="32"/>
        <v>820</v>
      </c>
      <c r="AR183" s="18" t="str">
        <f ca="1">CONCATENATE(OFFSET(Sheet1!$A$2,RANDBETWEEN(2,500),0,1,1),OFFSET(Sheet1!$A$2,RANDBETWEEN(2,500),RANDBETWEEN(1,5),1,1))</f>
        <v>克莱尔</v>
      </c>
      <c r="AS183">
        <f>SUMPRODUCT(P183:AI183,Sheet2!$B$3:$U$3)</f>
        <v>479678</v>
      </c>
    </row>
    <row r="184" spans="1:45" x14ac:dyDescent="0.15">
      <c r="A184" s="23">
        <v>183</v>
      </c>
      <c r="B184" s="18" t="s">
        <v>1911</v>
      </c>
      <c r="C184" s="18">
        <f t="shared" si="22"/>
        <v>222</v>
      </c>
      <c r="D184" s="19">
        <f t="shared" si="23"/>
        <v>3</v>
      </c>
      <c r="E184" s="19">
        <f>VLOOKUP(MOD(A184,4),各职业基础配置!C$32:D$35,2,FALSE)</f>
        <v>9</v>
      </c>
      <c r="F184" s="19">
        <f>IF(A184&lt;900,INDEX(各职业基础配置!C$23:C$28,MOD(ROW(A184),4)+1),0)</f>
        <v>8</v>
      </c>
      <c r="G184" s="19">
        <f t="shared" si="24"/>
        <v>122</v>
      </c>
      <c r="H184" s="27">
        <f t="shared" si="25"/>
        <v>2</v>
      </c>
      <c r="I184" s="6" t="s">
        <v>164</v>
      </c>
      <c r="J184" s="23" t="str">
        <f>VLOOKUP(E184,各职业基础配置!$B$9:$C$12,2,FALSE)</f>
        <v>116|117|118|4201|120</v>
      </c>
      <c r="K184" s="18" t="str">
        <f>VLOOKUP(E184,各职业基础配置!$B$15:$C$18,2,FALSE)</f>
        <v>28|29|30|31</v>
      </c>
      <c r="L184" s="18" t="str">
        <f>VLOOKUP(E184,各职业基础配置!B:C,2,FALSE)</f>
        <v>[{28,1,1},{29,1,1},{30,1,1},{31,1,1},{10,1,1},{11,1,1},{12,1,1}]</v>
      </c>
      <c r="M184" s="18">
        <v>0</v>
      </c>
      <c r="N184" s="18">
        <f t="shared" si="26"/>
        <v>3</v>
      </c>
      <c r="O184" s="18">
        <f>SUMPRODUCT(P184:AI184,Sheet2!$B$3:$U$3)</f>
        <v>468843</v>
      </c>
      <c r="P184" s="18">
        <f>CEILING(INDEX([1]系统模型!$VD:$VD,MATCH(C184,[1]系统模型!$A:$A,0))*POWER(C184/220,3.8)-50+(1000-A184),1)</f>
        <v>9752</v>
      </c>
      <c r="Q184" s="18">
        <f>CEILING(INDEX([1]系统模型!$VE:$VE,MATCH(C184,[1]系统模型!$A:$A,0))*POWER(C184/220,4),1)</f>
        <v>1853</v>
      </c>
      <c r="R184" s="18">
        <f>INT(INDEX([1]系统模型!$VF:$VF,MATCH(C184,[1]系统模型!$A:$A,0))*MAX(POWER(C184/180,4),0.5))</f>
        <v>107518</v>
      </c>
      <c r="S184" s="5">
        <v>1000</v>
      </c>
      <c r="T184" s="25">
        <v>0</v>
      </c>
      <c r="U184" s="25">
        <v>0</v>
      </c>
      <c r="V184" s="25">
        <v>0</v>
      </c>
      <c r="W184" s="25">
        <v>0</v>
      </c>
      <c r="X184" s="25">
        <f t="shared" si="27"/>
        <v>5375</v>
      </c>
      <c r="Y184" s="12">
        <v>0</v>
      </c>
      <c r="Z184" s="25">
        <v>100</v>
      </c>
      <c r="AA184" s="25">
        <v>150</v>
      </c>
      <c r="AB184" s="25">
        <v>0</v>
      </c>
      <c r="AC184" s="25">
        <v>0</v>
      </c>
      <c r="AD184" s="25">
        <v>0</v>
      </c>
      <c r="AE184" s="25">
        <f t="shared" si="28"/>
        <v>444</v>
      </c>
      <c r="AF184" s="25">
        <f t="shared" si="29"/>
        <v>444</v>
      </c>
      <c r="AG184" s="25">
        <v>0</v>
      </c>
      <c r="AH184" s="25">
        <f t="shared" si="30"/>
        <v>7900</v>
      </c>
      <c r="AI184" s="25">
        <f t="shared" si="31"/>
        <v>130</v>
      </c>
      <c r="AJ184" s="25">
        <v>1</v>
      </c>
      <c r="AK184" s="25">
        <v>1000</v>
      </c>
      <c r="AL184" s="25">
        <v>100</v>
      </c>
      <c r="AM184" s="26">
        <v>10</v>
      </c>
      <c r="AN184" s="26">
        <v>10</v>
      </c>
      <c r="AO184" s="22" t="s">
        <v>2211</v>
      </c>
      <c r="AP184" s="26">
        <v>0</v>
      </c>
      <c r="AQ184" s="26">
        <f t="shared" si="32"/>
        <v>820</v>
      </c>
      <c r="AR184" s="18" t="str">
        <f ca="1">CONCATENATE(OFFSET(Sheet1!$A$2,RANDBETWEEN(2,500),0,1,1),OFFSET(Sheet1!$A$2,RANDBETWEEN(2,500),RANDBETWEEN(1,5),1,1))</f>
        <v>乔叟</v>
      </c>
      <c r="AS184">
        <f>SUMPRODUCT(P184:AI184,Sheet2!$B$3:$U$3)</f>
        <v>468843</v>
      </c>
    </row>
    <row r="185" spans="1:45" x14ac:dyDescent="0.15">
      <c r="A185" s="18">
        <v>184</v>
      </c>
      <c r="B185" s="18" t="s">
        <v>181</v>
      </c>
      <c r="C185" s="18">
        <f t="shared" si="22"/>
        <v>222</v>
      </c>
      <c r="D185" s="19">
        <f t="shared" si="23"/>
        <v>2</v>
      </c>
      <c r="E185" s="19">
        <f>VLOOKUP(MOD(A185,4),各职业基础配置!C$32:D$35,2,FALSE)</f>
        <v>1</v>
      </c>
      <c r="F185" s="19">
        <f>IF(A185&lt;900,INDEX(各职业基础配置!C$23:C$28,MOD(ROW(A185),4)+1),0)</f>
        <v>13</v>
      </c>
      <c r="G185" s="19">
        <f t="shared" si="24"/>
        <v>122</v>
      </c>
      <c r="H185" s="27">
        <f t="shared" si="25"/>
        <v>2</v>
      </c>
      <c r="I185" s="6" t="s">
        <v>164</v>
      </c>
      <c r="J185" s="23" t="str">
        <f>VLOOKUP(E185,各职业基础配置!$B$9:$C$12,2,FALSE)</f>
        <v>101|102|103|4201|105</v>
      </c>
      <c r="K185" s="18" t="str">
        <f>VLOOKUP(E185,各职业基础配置!$B$15:$C$18,2,FALSE)</f>
        <v>24|25|26|27</v>
      </c>
      <c r="L185" s="18" t="str">
        <f>VLOOKUP(E185,各职业基础配置!B:C,2,FALSE)</f>
        <v>[{24,1,1},{25,1,1},{26,1,1},{27,1,1},{1,1,1},{2,1,1},{3,1,1}]</v>
      </c>
      <c r="M185" s="18">
        <v>0</v>
      </c>
      <c r="N185" s="18">
        <f t="shared" si="26"/>
        <v>3</v>
      </c>
      <c r="O185" s="18">
        <f>SUMPRODUCT(P185:AI185,Sheet2!$B$3:$U$3)</f>
        <v>468818</v>
      </c>
      <c r="P185" s="18">
        <f>CEILING(INDEX([1]系统模型!$VD:$VD,MATCH(C185,[1]系统模型!$A:$A,0))*POWER(C185/220,3.8)-50+(1000-A185),1)</f>
        <v>9751</v>
      </c>
      <c r="Q185" s="18">
        <f>CEILING(INDEX([1]系统模型!$VE:$VE,MATCH(C185,[1]系统模型!$A:$A,0))*POWER(C185/220,4),1)</f>
        <v>1853</v>
      </c>
      <c r="R185" s="18">
        <f>INT(INDEX([1]系统模型!$VF:$VF,MATCH(C185,[1]系统模型!$A:$A,0))*MAX(POWER(C185/180,4),0.5))</f>
        <v>107518</v>
      </c>
      <c r="S185" s="5">
        <v>1000</v>
      </c>
      <c r="T185" s="25">
        <v>0</v>
      </c>
      <c r="U185" s="25">
        <v>0</v>
      </c>
      <c r="V185" s="25">
        <v>0</v>
      </c>
      <c r="W185" s="25">
        <v>0</v>
      </c>
      <c r="X185" s="25">
        <f t="shared" si="27"/>
        <v>5375</v>
      </c>
      <c r="Y185" s="12">
        <v>0</v>
      </c>
      <c r="Z185" s="25">
        <v>100</v>
      </c>
      <c r="AA185" s="25">
        <v>150</v>
      </c>
      <c r="AB185" s="25">
        <v>0</v>
      </c>
      <c r="AC185" s="25">
        <v>0</v>
      </c>
      <c r="AD185" s="25">
        <v>0</v>
      </c>
      <c r="AE185" s="25">
        <f t="shared" si="28"/>
        <v>444</v>
      </c>
      <c r="AF185" s="25">
        <f t="shared" si="29"/>
        <v>444</v>
      </c>
      <c r="AG185" s="25">
        <v>0</v>
      </c>
      <c r="AH185" s="25">
        <f t="shared" si="30"/>
        <v>7900</v>
      </c>
      <c r="AI185" s="25">
        <f t="shared" si="31"/>
        <v>130</v>
      </c>
      <c r="AJ185" s="25">
        <v>1</v>
      </c>
      <c r="AK185" s="25">
        <v>1000</v>
      </c>
      <c r="AL185" s="25">
        <v>100</v>
      </c>
      <c r="AM185" s="26">
        <v>10</v>
      </c>
      <c r="AN185" s="26">
        <v>10</v>
      </c>
      <c r="AO185" s="22" t="s">
        <v>2211</v>
      </c>
      <c r="AP185" s="26">
        <v>0</v>
      </c>
      <c r="AQ185" s="26">
        <f t="shared" si="32"/>
        <v>820</v>
      </c>
      <c r="AR185" s="18" t="str">
        <f ca="1">CONCATENATE(OFFSET(Sheet1!$A$2,RANDBETWEEN(2,500),0,1,1),OFFSET(Sheet1!$A$2,RANDBETWEEN(2,500),RANDBETWEEN(1,5),1,1))</f>
        <v>亚历克</v>
      </c>
      <c r="AS185">
        <f>SUMPRODUCT(P185:AI185,Sheet2!$B$3:$U$3)</f>
        <v>468818</v>
      </c>
    </row>
    <row r="186" spans="1:45" x14ac:dyDescent="0.15">
      <c r="A186" s="18">
        <v>185</v>
      </c>
      <c r="B186" s="18" t="s">
        <v>1912</v>
      </c>
      <c r="C186" s="18">
        <f t="shared" si="22"/>
        <v>222</v>
      </c>
      <c r="D186" s="19">
        <f t="shared" si="23"/>
        <v>3</v>
      </c>
      <c r="E186" s="19">
        <f>VLOOKUP(MOD(A186,4),各职业基础配置!C$32:D$35,2,FALSE)</f>
        <v>3</v>
      </c>
      <c r="F186" s="19">
        <f>IF(A186&lt;900,INDEX(各职业基础配置!C$23:C$28,MOD(ROW(A186),4)+1),0)</f>
        <v>14</v>
      </c>
      <c r="G186" s="19">
        <f t="shared" si="24"/>
        <v>122</v>
      </c>
      <c r="H186" s="27">
        <f t="shared" si="25"/>
        <v>2</v>
      </c>
      <c r="I186" s="6" t="s">
        <v>164</v>
      </c>
      <c r="J186" s="23" t="str">
        <f>VLOOKUP(E186,各职业基础配置!$B$9:$C$12,2,FALSE)</f>
        <v>106|107|108|4201|110</v>
      </c>
      <c r="K186" s="18" t="str">
        <f>VLOOKUP(E186,各职业基础配置!$B$15:$C$18,2,FALSE)</f>
        <v>20|21|22|23</v>
      </c>
      <c r="L186" s="18" t="str">
        <f>VLOOKUP(E186,各职业基础配置!B:C,2,FALSE)</f>
        <v>[{20,1,1},{21,1,1},{22,1,1},{23,1,1},{4,1,1},{5,1,1},{6,1,1}]</v>
      </c>
      <c r="M186" s="18">
        <v>0</v>
      </c>
      <c r="N186" s="18">
        <f t="shared" si="26"/>
        <v>7</v>
      </c>
      <c r="O186" s="18">
        <f>SUMPRODUCT(P186:AI186,Sheet2!$B$3:$U$3)</f>
        <v>468793</v>
      </c>
      <c r="P186" s="18">
        <f>CEILING(INDEX([1]系统模型!$VD:$VD,MATCH(C186,[1]系统模型!$A:$A,0))*POWER(C186/220,3.8)-50+(1000-A186),1)</f>
        <v>9750</v>
      </c>
      <c r="Q186" s="18">
        <f>CEILING(INDEX([1]系统模型!$VE:$VE,MATCH(C186,[1]系统模型!$A:$A,0))*POWER(C186/220,4),1)</f>
        <v>1853</v>
      </c>
      <c r="R186" s="18">
        <f>INT(INDEX([1]系统模型!$VF:$VF,MATCH(C186,[1]系统模型!$A:$A,0))*MAX(POWER(C186/180,4),0.5))</f>
        <v>107518</v>
      </c>
      <c r="S186" s="5">
        <v>1000</v>
      </c>
      <c r="T186" s="25">
        <v>0</v>
      </c>
      <c r="U186" s="25">
        <v>0</v>
      </c>
      <c r="V186" s="25">
        <v>0</v>
      </c>
      <c r="W186" s="25">
        <v>0</v>
      </c>
      <c r="X186" s="25">
        <f t="shared" si="27"/>
        <v>5375</v>
      </c>
      <c r="Y186" s="12">
        <v>0</v>
      </c>
      <c r="Z186" s="25">
        <v>100</v>
      </c>
      <c r="AA186" s="25">
        <v>150</v>
      </c>
      <c r="AB186" s="25">
        <v>0</v>
      </c>
      <c r="AC186" s="25">
        <v>0</v>
      </c>
      <c r="AD186" s="25">
        <v>0</v>
      </c>
      <c r="AE186" s="25">
        <f t="shared" si="28"/>
        <v>444</v>
      </c>
      <c r="AF186" s="25">
        <f t="shared" si="29"/>
        <v>444</v>
      </c>
      <c r="AG186" s="25">
        <v>0</v>
      </c>
      <c r="AH186" s="25">
        <f t="shared" si="30"/>
        <v>7900</v>
      </c>
      <c r="AI186" s="25">
        <f t="shared" si="31"/>
        <v>130</v>
      </c>
      <c r="AJ186" s="25">
        <v>1</v>
      </c>
      <c r="AK186" s="25">
        <v>1000</v>
      </c>
      <c r="AL186" s="25">
        <v>100</v>
      </c>
      <c r="AM186" s="26">
        <v>10</v>
      </c>
      <c r="AN186" s="26">
        <v>10</v>
      </c>
      <c r="AO186" s="22" t="s">
        <v>2211</v>
      </c>
      <c r="AP186" s="26">
        <v>0</v>
      </c>
      <c r="AQ186" s="26">
        <f t="shared" si="32"/>
        <v>820</v>
      </c>
      <c r="AR186" s="18" t="str">
        <f ca="1">CONCATENATE(OFFSET(Sheet1!$A$2,RANDBETWEEN(2,500),0,1,1),OFFSET(Sheet1!$A$2,RANDBETWEEN(2,500),RANDBETWEEN(1,5),1,1))</f>
        <v>约翰斯顿</v>
      </c>
      <c r="AS186">
        <f>SUMPRODUCT(P186:AI186,Sheet2!$B$3:$U$3)</f>
        <v>468793</v>
      </c>
    </row>
    <row r="187" spans="1:45" x14ac:dyDescent="0.15">
      <c r="A187" s="23">
        <v>186</v>
      </c>
      <c r="B187" s="18" t="s">
        <v>457</v>
      </c>
      <c r="C187" s="18">
        <f t="shared" si="22"/>
        <v>222</v>
      </c>
      <c r="D187" s="19">
        <f t="shared" si="23"/>
        <v>2</v>
      </c>
      <c r="E187" s="19">
        <f>VLOOKUP(MOD(A187,4),各职业基础配置!C$32:D$35,2,FALSE)</f>
        <v>6</v>
      </c>
      <c r="F187" s="19">
        <f>IF(A187&lt;900,INDEX(各职业基础配置!C$23:C$28,MOD(ROW(A187),4)+1),0)</f>
        <v>16</v>
      </c>
      <c r="G187" s="19">
        <f t="shared" si="24"/>
        <v>122</v>
      </c>
      <c r="H187" s="27">
        <f t="shared" si="25"/>
        <v>2</v>
      </c>
      <c r="I187" s="6" t="s">
        <v>164</v>
      </c>
      <c r="J187" s="23" t="str">
        <f>VLOOKUP(E187,各职业基础配置!$B$9:$C$12,2,FALSE)</f>
        <v>111|112|113|4201|115</v>
      </c>
      <c r="K187" s="18" t="str">
        <f>VLOOKUP(E187,各职业基础配置!$B$15:$C$18,2,FALSE)</f>
        <v>32|33|34</v>
      </c>
      <c r="L187" s="18" t="str">
        <f>VLOOKUP(E187,各职业基础配置!B:C,2,FALSE)</f>
        <v>[{32,1,1},{33,1,1},{34,1,1},{35,1,1},{7,1,1},{8,1,1},{9,1,1}]</v>
      </c>
      <c r="M187" s="18">
        <v>0</v>
      </c>
      <c r="N187" s="18">
        <f t="shared" si="26"/>
        <v>7</v>
      </c>
      <c r="O187" s="18">
        <f>SUMPRODUCT(P187:AI187,Sheet2!$B$3:$U$3)</f>
        <v>468743</v>
      </c>
      <c r="P187" s="18">
        <f>CEILING(INDEX([1]系统模型!$VD:$VD,MATCH(C187,[1]系统模型!$A:$A,0))*POWER(C187/220,3.8)-50+(1000-A187),1)</f>
        <v>9749</v>
      </c>
      <c r="Q187" s="18">
        <f>CEILING(INDEX([1]系统模型!$VE:$VE,MATCH(C187,[1]系统模型!$A:$A,0))*POWER(C187/220,4),1)</f>
        <v>1853</v>
      </c>
      <c r="R187" s="18">
        <f>INT(INDEX([1]系统模型!$VF:$VF,MATCH(C187,[1]系统模型!$A:$A,0))*MAX(POWER(C187/180,4),0.5))</f>
        <v>107518</v>
      </c>
      <c r="S187" s="5">
        <v>1000</v>
      </c>
      <c r="T187" s="25">
        <v>0</v>
      </c>
      <c r="U187" s="25">
        <v>0</v>
      </c>
      <c r="V187" s="25">
        <v>0</v>
      </c>
      <c r="W187" s="25">
        <v>0</v>
      </c>
      <c r="X187" s="25">
        <f t="shared" si="27"/>
        <v>5375</v>
      </c>
      <c r="Y187" s="12">
        <v>0</v>
      </c>
      <c r="Z187" s="25">
        <v>100</v>
      </c>
      <c r="AA187" s="25">
        <v>150</v>
      </c>
      <c r="AB187" s="25">
        <v>0</v>
      </c>
      <c r="AC187" s="25">
        <v>0</v>
      </c>
      <c r="AD187" s="25">
        <v>0</v>
      </c>
      <c r="AE187" s="25">
        <f t="shared" si="28"/>
        <v>444</v>
      </c>
      <c r="AF187" s="25">
        <f t="shared" si="29"/>
        <v>444</v>
      </c>
      <c r="AG187" s="25">
        <v>0</v>
      </c>
      <c r="AH187" s="25">
        <f t="shared" si="30"/>
        <v>7900</v>
      </c>
      <c r="AI187" s="25">
        <f t="shared" si="31"/>
        <v>129</v>
      </c>
      <c r="AJ187" s="25">
        <v>1</v>
      </c>
      <c r="AK187" s="25">
        <v>1000</v>
      </c>
      <c r="AL187" s="25">
        <v>100</v>
      </c>
      <c r="AM187" s="26">
        <v>10</v>
      </c>
      <c r="AN187" s="26">
        <v>10</v>
      </c>
      <c r="AO187" s="22" t="s">
        <v>2211</v>
      </c>
      <c r="AP187" s="26">
        <v>0</v>
      </c>
      <c r="AQ187" s="26">
        <f t="shared" si="32"/>
        <v>820</v>
      </c>
      <c r="AR187" s="18" t="str">
        <f ca="1">CONCATENATE(OFFSET(Sheet1!$A$2,RANDBETWEEN(2,500),0,1,1),OFFSET(Sheet1!$A$2,RANDBETWEEN(2,500),RANDBETWEEN(1,5),1,1))</f>
        <v>凯里</v>
      </c>
      <c r="AS187">
        <f>SUMPRODUCT(P187:AI187,Sheet2!$B$3:$U$3)</f>
        <v>468743</v>
      </c>
    </row>
    <row r="188" spans="1:45" x14ac:dyDescent="0.15">
      <c r="A188" s="18">
        <v>187</v>
      </c>
      <c r="B188" s="18" t="s">
        <v>585</v>
      </c>
      <c r="C188" s="18">
        <f t="shared" si="22"/>
        <v>222</v>
      </c>
      <c r="D188" s="19">
        <f t="shared" si="23"/>
        <v>3</v>
      </c>
      <c r="E188" s="19">
        <f>VLOOKUP(MOD(A188,4),各职业基础配置!C$32:D$35,2,FALSE)</f>
        <v>9</v>
      </c>
      <c r="F188" s="19">
        <f>IF(A188&lt;900,INDEX(各职业基础配置!C$23:C$28,MOD(ROW(A188),4)+1),0)</f>
        <v>8</v>
      </c>
      <c r="G188" s="19">
        <f t="shared" si="24"/>
        <v>122</v>
      </c>
      <c r="H188" s="27">
        <f t="shared" si="25"/>
        <v>2</v>
      </c>
      <c r="I188" s="6" t="s">
        <v>164</v>
      </c>
      <c r="J188" s="23" t="str">
        <f>VLOOKUP(E188,各职业基础配置!$B$9:$C$12,2,FALSE)</f>
        <v>116|117|118|4201|120</v>
      </c>
      <c r="K188" s="18" t="str">
        <f>VLOOKUP(E188,各职业基础配置!$B$15:$C$18,2,FALSE)</f>
        <v>28|29|30|31</v>
      </c>
      <c r="L188" s="18" t="str">
        <f>VLOOKUP(E188,各职业基础配置!B:C,2,FALSE)</f>
        <v>[{28,1,1},{29,1,1},{30,1,1},{31,1,1},{10,1,1},{11,1,1},{12,1,1}]</v>
      </c>
      <c r="M188" s="18">
        <v>0</v>
      </c>
      <c r="N188" s="18">
        <f t="shared" si="26"/>
        <v>3</v>
      </c>
      <c r="O188" s="18">
        <f>SUMPRODUCT(P188:AI188,Sheet2!$B$3:$U$3)</f>
        <v>468718</v>
      </c>
      <c r="P188" s="18">
        <f>CEILING(INDEX([1]系统模型!$VD:$VD,MATCH(C188,[1]系统模型!$A:$A,0))*POWER(C188/220,3.8)-50+(1000-A188),1)</f>
        <v>9748</v>
      </c>
      <c r="Q188" s="18">
        <f>CEILING(INDEX([1]系统模型!$VE:$VE,MATCH(C188,[1]系统模型!$A:$A,0))*POWER(C188/220,4),1)</f>
        <v>1853</v>
      </c>
      <c r="R188" s="18">
        <f>INT(INDEX([1]系统模型!$VF:$VF,MATCH(C188,[1]系统模型!$A:$A,0))*MAX(POWER(C188/180,4),0.5))</f>
        <v>107518</v>
      </c>
      <c r="S188" s="5">
        <v>1000</v>
      </c>
      <c r="T188" s="25">
        <v>0</v>
      </c>
      <c r="U188" s="25">
        <v>0</v>
      </c>
      <c r="V188" s="25">
        <v>0</v>
      </c>
      <c r="W188" s="25">
        <v>0</v>
      </c>
      <c r="X188" s="25">
        <f t="shared" si="27"/>
        <v>5375</v>
      </c>
      <c r="Y188" s="12">
        <v>0</v>
      </c>
      <c r="Z188" s="25">
        <v>100</v>
      </c>
      <c r="AA188" s="25">
        <v>150</v>
      </c>
      <c r="AB188" s="25">
        <v>0</v>
      </c>
      <c r="AC188" s="25">
        <v>0</v>
      </c>
      <c r="AD188" s="25">
        <v>0</v>
      </c>
      <c r="AE188" s="25">
        <f t="shared" si="28"/>
        <v>444</v>
      </c>
      <c r="AF188" s="25">
        <f t="shared" si="29"/>
        <v>444</v>
      </c>
      <c r="AG188" s="25">
        <v>0</v>
      </c>
      <c r="AH188" s="25">
        <f t="shared" si="30"/>
        <v>7900</v>
      </c>
      <c r="AI188" s="25">
        <f t="shared" si="31"/>
        <v>129</v>
      </c>
      <c r="AJ188" s="25">
        <v>1</v>
      </c>
      <c r="AK188" s="25">
        <v>1000</v>
      </c>
      <c r="AL188" s="25">
        <v>100</v>
      </c>
      <c r="AM188" s="26">
        <v>10</v>
      </c>
      <c r="AN188" s="26">
        <v>10</v>
      </c>
      <c r="AO188" s="22" t="s">
        <v>2211</v>
      </c>
      <c r="AP188" s="26">
        <v>0</v>
      </c>
      <c r="AQ188" s="26">
        <f t="shared" si="32"/>
        <v>810</v>
      </c>
      <c r="AR188" s="18" t="str">
        <f ca="1">CONCATENATE(OFFSET(Sheet1!$A$2,RANDBETWEEN(2,500),0,1,1),OFFSET(Sheet1!$A$2,RANDBETWEEN(2,500),RANDBETWEEN(1,5),1,1))</f>
        <v>福斯特</v>
      </c>
      <c r="AS188">
        <f>SUMPRODUCT(P188:AI188,Sheet2!$B$3:$U$3)</f>
        <v>468718</v>
      </c>
    </row>
    <row r="189" spans="1:45" x14ac:dyDescent="0.15">
      <c r="A189" s="18">
        <v>188</v>
      </c>
      <c r="B189" s="18" t="s">
        <v>1913</v>
      </c>
      <c r="C189" s="18">
        <f t="shared" si="22"/>
        <v>222</v>
      </c>
      <c r="D189" s="19">
        <f t="shared" si="23"/>
        <v>2</v>
      </c>
      <c r="E189" s="19">
        <f>VLOOKUP(MOD(A189,4),各职业基础配置!C$32:D$35,2,FALSE)</f>
        <v>1</v>
      </c>
      <c r="F189" s="19">
        <f>IF(A189&lt;900,INDEX(各职业基础配置!C$23:C$28,MOD(ROW(A189),4)+1),0)</f>
        <v>13</v>
      </c>
      <c r="G189" s="19">
        <f t="shared" si="24"/>
        <v>122</v>
      </c>
      <c r="H189" s="27">
        <f t="shared" si="25"/>
        <v>2</v>
      </c>
      <c r="I189" s="6" t="s">
        <v>164</v>
      </c>
      <c r="J189" s="23" t="str">
        <f>VLOOKUP(E189,各职业基础配置!$B$9:$C$12,2,FALSE)</f>
        <v>101|102|103|4201|105</v>
      </c>
      <c r="K189" s="18" t="str">
        <f>VLOOKUP(E189,各职业基础配置!$B$15:$C$18,2,FALSE)</f>
        <v>24|25|26|27</v>
      </c>
      <c r="L189" s="18" t="str">
        <f>VLOOKUP(E189,各职业基础配置!B:C,2,FALSE)</f>
        <v>[{24,1,1},{25,1,1},{26,1,1},{27,1,1},{1,1,1},{2,1,1},{3,1,1}]</v>
      </c>
      <c r="M189" s="18">
        <v>0</v>
      </c>
      <c r="N189" s="18">
        <f t="shared" si="26"/>
        <v>3</v>
      </c>
      <c r="O189" s="18">
        <f>SUMPRODUCT(P189:AI189,Sheet2!$B$3:$U$3)</f>
        <v>468693</v>
      </c>
      <c r="P189" s="18">
        <f>CEILING(INDEX([1]系统模型!$VD:$VD,MATCH(C189,[1]系统模型!$A:$A,0))*POWER(C189/220,3.8)-50+(1000-A189),1)</f>
        <v>9747</v>
      </c>
      <c r="Q189" s="18">
        <f>CEILING(INDEX([1]系统模型!$VE:$VE,MATCH(C189,[1]系统模型!$A:$A,0))*POWER(C189/220,4),1)</f>
        <v>1853</v>
      </c>
      <c r="R189" s="18">
        <f>INT(INDEX([1]系统模型!$VF:$VF,MATCH(C189,[1]系统模型!$A:$A,0))*MAX(POWER(C189/180,4),0.5))</f>
        <v>107518</v>
      </c>
      <c r="S189" s="5">
        <v>1000</v>
      </c>
      <c r="T189" s="25">
        <v>0</v>
      </c>
      <c r="U189" s="25">
        <v>0</v>
      </c>
      <c r="V189" s="25">
        <v>0</v>
      </c>
      <c r="W189" s="25">
        <v>0</v>
      </c>
      <c r="X189" s="25">
        <f t="shared" si="27"/>
        <v>5375</v>
      </c>
      <c r="Y189" s="12">
        <v>0</v>
      </c>
      <c r="Z189" s="25">
        <v>100</v>
      </c>
      <c r="AA189" s="25">
        <v>150</v>
      </c>
      <c r="AB189" s="25">
        <v>0</v>
      </c>
      <c r="AC189" s="25">
        <v>0</v>
      </c>
      <c r="AD189" s="25">
        <v>0</v>
      </c>
      <c r="AE189" s="25">
        <f t="shared" si="28"/>
        <v>444</v>
      </c>
      <c r="AF189" s="25">
        <f t="shared" si="29"/>
        <v>444</v>
      </c>
      <c r="AG189" s="25">
        <v>0</v>
      </c>
      <c r="AH189" s="25">
        <f t="shared" si="30"/>
        <v>7900</v>
      </c>
      <c r="AI189" s="25">
        <f t="shared" si="31"/>
        <v>129</v>
      </c>
      <c r="AJ189" s="25">
        <v>1</v>
      </c>
      <c r="AK189" s="25">
        <v>1000</v>
      </c>
      <c r="AL189" s="25">
        <v>100</v>
      </c>
      <c r="AM189" s="26">
        <v>10</v>
      </c>
      <c r="AN189" s="26">
        <v>10</v>
      </c>
      <c r="AO189" s="22" t="s">
        <v>2211</v>
      </c>
      <c r="AP189" s="26">
        <v>0</v>
      </c>
      <c r="AQ189" s="26">
        <f t="shared" si="32"/>
        <v>810</v>
      </c>
      <c r="AR189" s="18" t="str">
        <f ca="1">CONCATENATE(OFFSET(Sheet1!$A$2,RANDBETWEEN(2,500),0,1,1),OFFSET(Sheet1!$A$2,RANDBETWEEN(2,500),RANDBETWEEN(1,5),1,1))</f>
        <v>詹姆斯</v>
      </c>
      <c r="AS189">
        <f>SUMPRODUCT(P189:AI189,Sheet2!$B$3:$U$3)</f>
        <v>468693</v>
      </c>
    </row>
    <row r="190" spans="1:45" x14ac:dyDescent="0.15">
      <c r="A190" s="23">
        <v>189</v>
      </c>
      <c r="B190" s="18" t="s">
        <v>1354</v>
      </c>
      <c r="C190" s="18">
        <f t="shared" si="22"/>
        <v>222</v>
      </c>
      <c r="D190" s="19">
        <f t="shared" si="23"/>
        <v>3</v>
      </c>
      <c r="E190" s="19">
        <f>VLOOKUP(MOD(A190,4),各职业基础配置!C$32:D$35,2,FALSE)</f>
        <v>3</v>
      </c>
      <c r="F190" s="19">
        <f>IF(A190&lt;900,INDEX(各职业基础配置!C$23:C$28,MOD(ROW(A190),4)+1),0)</f>
        <v>14</v>
      </c>
      <c r="G190" s="19">
        <f t="shared" si="24"/>
        <v>122</v>
      </c>
      <c r="H190" s="27">
        <f t="shared" si="25"/>
        <v>2</v>
      </c>
      <c r="I190" s="6" t="s">
        <v>164</v>
      </c>
      <c r="J190" s="23" t="str">
        <f>VLOOKUP(E190,各职业基础配置!$B$9:$C$12,2,FALSE)</f>
        <v>106|107|108|4201|110</v>
      </c>
      <c r="K190" s="18" t="str">
        <f>VLOOKUP(E190,各职业基础配置!$B$15:$C$18,2,FALSE)</f>
        <v>20|21|22|23</v>
      </c>
      <c r="L190" s="18" t="str">
        <f>VLOOKUP(E190,各职业基础配置!B:C,2,FALSE)</f>
        <v>[{20,1,1},{21,1,1},{22,1,1},{23,1,1},{4,1,1},{5,1,1},{6,1,1}]</v>
      </c>
      <c r="M190" s="18">
        <v>0</v>
      </c>
      <c r="N190" s="18">
        <f t="shared" si="26"/>
        <v>7</v>
      </c>
      <c r="O190" s="18">
        <f>SUMPRODUCT(P190:AI190,Sheet2!$B$3:$U$3)</f>
        <v>468668</v>
      </c>
      <c r="P190" s="18">
        <f>CEILING(INDEX([1]系统模型!$VD:$VD,MATCH(C190,[1]系统模型!$A:$A,0))*POWER(C190/220,3.8)-50+(1000-A190),1)</f>
        <v>9746</v>
      </c>
      <c r="Q190" s="18">
        <f>CEILING(INDEX([1]系统模型!$VE:$VE,MATCH(C190,[1]系统模型!$A:$A,0))*POWER(C190/220,4),1)</f>
        <v>1853</v>
      </c>
      <c r="R190" s="18">
        <f>INT(INDEX([1]系统模型!$VF:$VF,MATCH(C190,[1]系统模型!$A:$A,0))*MAX(POWER(C190/180,4),0.5))</f>
        <v>107518</v>
      </c>
      <c r="S190" s="5">
        <v>1000</v>
      </c>
      <c r="T190" s="25">
        <v>0</v>
      </c>
      <c r="U190" s="25">
        <v>0</v>
      </c>
      <c r="V190" s="25">
        <v>0</v>
      </c>
      <c r="W190" s="25">
        <v>0</v>
      </c>
      <c r="X190" s="25">
        <f t="shared" si="27"/>
        <v>5375</v>
      </c>
      <c r="Y190" s="12">
        <v>0</v>
      </c>
      <c r="Z190" s="25">
        <v>100</v>
      </c>
      <c r="AA190" s="25">
        <v>150</v>
      </c>
      <c r="AB190" s="25">
        <v>0</v>
      </c>
      <c r="AC190" s="25">
        <v>0</v>
      </c>
      <c r="AD190" s="25">
        <v>0</v>
      </c>
      <c r="AE190" s="25">
        <f t="shared" si="28"/>
        <v>444</v>
      </c>
      <c r="AF190" s="25">
        <f t="shared" si="29"/>
        <v>444</v>
      </c>
      <c r="AG190" s="25">
        <v>0</v>
      </c>
      <c r="AH190" s="25">
        <f t="shared" si="30"/>
        <v>7900</v>
      </c>
      <c r="AI190" s="25">
        <f t="shared" si="31"/>
        <v>129</v>
      </c>
      <c r="AJ190" s="25">
        <v>1</v>
      </c>
      <c r="AK190" s="25">
        <v>1000</v>
      </c>
      <c r="AL190" s="25">
        <v>100</v>
      </c>
      <c r="AM190" s="26">
        <v>10</v>
      </c>
      <c r="AN190" s="26">
        <v>10</v>
      </c>
      <c r="AO190" s="22" t="s">
        <v>2211</v>
      </c>
      <c r="AP190" s="26">
        <v>0</v>
      </c>
      <c r="AQ190" s="26">
        <f t="shared" si="32"/>
        <v>810</v>
      </c>
      <c r="AR190" s="18" t="str">
        <f ca="1">CONCATENATE(OFFSET(Sheet1!$A$2,RANDBETWEEN(2,500),0,1,1),OFFSET(Sheet1!$A$2,RANDBETWEEN(2,500),RANDBETWEEN(1,5),1,1))</f>
        <v>贺拉斯</v>
      </c>
      <c r="AS190">
        <f>SUMPRODUCT(P190:AI190,Sheet2!$B$3:$U$3)</f>
        <v>468668</v>
      </c>
    </row>
    <row r="191" spans="1:45" x14ac:dyDescent="0.15">
      <c r="A191" s="18">
        <v>190</v>
      </c>
      <c r="B191" s="18" t="s">
        <v>351</v>
      </c>
      <c r="C191" s="18">
        <f t="shared" si="22"/>
        <v>221</v>
      </c>
      <c r="D191" s="19">
        <f t="shared" si="23"/>
        <v>2</v>
      </c>
      <c r="E191" s="19">
        <f>VLOOKUP(MOD(A191,4),各职业基础配置!C$32:D$35,2,FALSE)</f>
        <v>6</v>
      </c>
      <c r="F191" s="19">
        <f>IF(A191&lt;900,INDEX(各职业基础配置!C$23:C$28,MOD(ROW(A191),4)+1),0)</f>
        <v>16</v>
      </c>
      <c r="G191" s="19">
        <f t="shared" si="24"/>
        <v>119</v>
      </c>
      <c r="H191" s="27">
        <f t="shared" si="25"/>
        <v>2</v>
      </c>
      <c r="I191" s="6" t="s">
        <v>164</v>
      </c>
      <c r="J191" s="23" t="str">
        <f>VLOOKUP(E191,各职业基础配置!$B$9:$C$12,2,FALSE)</f>
        <v>111|112|113|4201|115</v>
      </c>
      <c r="K191" s="18" t="str">
        <f>VLOOKUP(E191,各职业基础配置!$B$15:$C$18,2,FALSE)</f>
        <v>32|33|34</v>
      </c>
      <c r="L191" s="18" t="str">
        <f>VLOOKUP(E191,各职业基础配置!B:C,2,FALSE)</f>
        <v>[{32,1,1},{33,1,1},{34,1,1},{35,1,1},{7,1,1},{8,1,1},{9,1,1}]</v>
      </c>
      <c r="M191" s="18">
        <v>0</v>
      </c>
      <c r="N191" s="18">
        <f t="shared" si="26"/>
        <v>7</v>
      </c>
      <c r="O191" s="18">
        <f>SUMPRODUCT(P191:AI191,Sheet2!$B$3:$U$3)</f>
        <v>459113</v>
      </c>
      <c r="P191" s="18">
        <f>CEILING(INDEX([1]系统模型!$VD:$VD,MATCH(C191,[1]系统模型!$A:$A,0))*POWER(C191/220,3.8)-50+(1000-A191),1)</f>
        <v>9569</v>
      </c>
      <c r="Q191" s="18">
        <f>CEILING(INDEX([1]系统模型!$VE:$VE,MATCH(C191,[1]系统模型!$A:$A,0))*POWER(C191/220,4),1)</f>
        <v>1800</v>
      </c>
      <c r="R191" s="18">
        <f>INT(INDEX([1]系统模型!$VF:$VF,MATCH(C191,[1]系统模型!$A:$A,0))*MAX(POWER(C191/180,4),0.5))</f>
        <v>104238</v>
      </c>
      <c r="S191" s="5">
        <v>1000</v>
      </c>
      <c r="T191" s="25">
        <v>0</v>
      </c>
      <c r="U191" s="25">
        <v>0</v>
      </c>
      <c r="V191" s="25">
        <v>0</v>
      </c>
      <c r="W191" s="25">
        <v>0</v>
      </c>
      <c r="X191" s="25">
        <f t="shared" si="27"/>
        <v>5211</v>
      </c>
      <c r="Y191" s="12">
        <v>0</v>
      </c>
      <c r="Z191" s="25">
        <v>100</v>
      </c>
      <c r="AA191" s="25">
        <v>150</v>
      </c>
      <c r="AB191" s="25">
        <v>0</v>
      </c>
      <c r="AC191" s="25">
        <v>0</v>
      </c>
      <c r="AD191" s="25">
        <v>0</v>
      </c>
      <c r="AE191" s="25">
        <f t="shared" si="28"/>
        <v>442</v>
      </c>
      <c r="AF191" s="25">
        <f t="shared" si="29"/>
        <v>442</v>
      </c>
      <c r="AG191" s="25">
        <v>0</v>
      </c>
      <c r="AH191" s="25">
        <f t="shared" si="30"/>
        <v>7825</v>
      </c>
      <c r="AI191" s="25">
        <f t="shared" si="31"/>
        <v>127</v>
      </c>
      <c r="AJ191" s="25">
        <v>1</v>
      </c>
      <c r="AK191" s="25">
        <v>1000</v>
      </c>
      <c r="AL191" s="25">
        <v>100</v>
      </c>
      <c r="AM191" s="26">
        <v>10</v>
      </c>
      <c r="AN191" s="26">
        <v>10</v>
      </c>
      <c r="AO191" s="22" t="s">
        <v>2211</v>
      </c>
      <c r="AP191" s="26">
        <v>0</v>
      </c>
      <c r="AQ191" s="26">
        <f t="shared" si="32"/>
        <v>810</v>
      </c>
      <c r="AR191" s="18" t="str">
        <f ca="1">CONCATENATE(OFFSET(Sheet1!$A$2,RANDBETWEEN(2,500),0,1,1),OFFSET(Sheet1!$A$2,RANDBETWEEN(2,500),RANDBETWEEN(1,5),1,1))</f>
        <v>切斯特顿落落</v>
      </c>
      <c r="AS191">
        <f>SUMPRODUCT(P191:AI191,Sheet2!$B$3:$U$3)</f>
        <v>459113</v>
      </c>
    </row>
    <row r="192" spans="1:45" x14ac:dyDescent="0.15">
      <c r="A192" s="18">
        <v>191</v>
      </c>
      <c r="B192" s="18" t="s">
        <v>472</v>
      </c>
      <c r="C192" s="18">
        <f t="shared" si="22"/>
        <v>221</v>
      </c>
      <c r="D192" s="19">
        <f t="shared" si="23"/>
        <v>3</v>
      </c>
      <c r="E192" s="19">
        <f>VLOOKUP(MOD(A192,4),各职业基础配置!C$32:D$35,2,FALSE)</f>
        <v>9</v>
      </c>
      <c r="F192" s="19">
        <f>IF(A192&lt;900,INDEX(各职业基础配置!C$23:C$28,MOD(ROW(A192),4)+1),0)</f>
        <v>8</v>
      </c>
      <c r="G192" s="19">
        <f t="shared" si="24"/>
        <v>119</v>
      </c>
      <c r="H192" s="27">
        <f t="shared" si="25"/>
        <v>2</v>
      </c>
      <c r="I192" s="6" t="s">
        <v>164</v>
      </c>
      <c r="J192" s="23" t="str">
        <f>VLOOKUP(E192,各职业基础配置!$B$9:$C$12,2,FALSE)</f>
        <v>116|117|118|4201|120</v>
      </c>
      <c r="K192" s="18" t="str">
        <f>VLOOKUP(E192,各职业基础配置!$B$15:$C$18,2,FALSE)</f>
        <v>28|29|30|31</v>
      </c>
      <c r="L192" s="18" t="str">
        <f>VLOOKUP(E192,各职业基础配置!B:C,2,FALSE)</f>
        <v>[{28,1,1},{29,1,1},{30,1,1},{31,1,1},{10,1,1},{11,1,1},{12,1,1}]</v>
      </c>
      <c r="M192" s="18">
        <v>0</v>
      </c>
      <c r="N192" s="18">
        <f t="shared" si="26"/>
        <v>3</v>
      </c>
      <c r="O192" s="18">
        <f>SUMPRODUCT(P192:AI192,Sheet2!$B$3:$U$3)</f>
        <v>459088</v>
      </c>
      <c r="P192" s="18">
        <f>CEILING(INDEX([1]系统模型!$VD:$VD,MATCH(C192,[1]系统模型!$A:$A,0))*POWER(C192/220,3.8)-50+(1000-A192),1)</f>
        <v>9568</v>
      </c>
      <c r="Q192" s="18">
        <f>CEILING(INDEX([1]系统模型!$VE:$VE,MATCH(C192,[1]系统模型!$A:$A,0))*POWER(C192/220,4),1)</f>
        <v>1800</v>
      </c>
      <c r="R192" s="18">
        <f>INT(INDEX([1]系统模型!$VF:$VF,MATCH(C192,[1]系统模型!$A:$A,0))*MAX(POWER(C192/180,4),0.5))</f>
        <v>104238</v>
      </c>
      <c r="S192" s="5">
        <v>1000</v>
      </c>
      <c r="T192" s="25">
        <v>0</v>
      </c>
      <c r="U192" s="25">
        <v>0</v>
      </c>
      <c r="V192" s="25">
        <v>0</v>
      </c>
      <c r="W192" s="25">
        <v>0</v>
      </c>
      <c r="X192" s="25">
        <f t="shared" si="27"/>
        <v>5211</v>
      </c>
      <c r="Y192" s="12">
        <v>0</v>
      </c>
      <c r="Z192" s="25">
        <v>100</v>
      </c>
      <c r="AA192" s="25">
        <v>150</v>
      </c>
      <c r="AB192" s="25">
        <v>0</v>
      </c>
      <c r="AC192" s="25">
        <v>0</v>
      </c>
      <c r="AD192" s="25">
        <v>0</v>
      </c>
      <c r="AE192" s="25">
        <f t="shared" si="28"/>
        <v>442</v>
      </c>
      <c r="AF192" s="25">
        <f t="shared" si="29"/>
        <v>442</v>
      </c>
      <c r="AG192" s="25">
        <v>0</v>
      </c>
      <c r="AH192" s="25">
        <f t="shared" si="30"/>
        <v>7825</v>
      </c>
      <c r="AI192" s="25">
        <f t="shared" si="31"/>
        <v>127</v>
      </c>
      <c r="AJ192" s="25">
        <v>1</v>
      </c>
      <c r="AK192" s="25">
        <v>1000</v>
      </c>
      <c r="AL192" s="25">
        <v>100</v>
      </c>
      <c r="AM192" s="26">
        <v>10</v>
      </c>
      <c r="AN192" s="26">
        <v>10</v>
      </c>
      <c r="AO192" s="22" t="s">
        <v>2211</v>
      </c>
      <c r="AP192" s="26">
        <v>0</v>
      </c>
      <c r="AQ192" s="26">
        <f t="shared" si="32"/>
        <v>810</v>
      </c>
      <c r="AR192" s="18" t="str">
        <f ca="1">CONCATENATE(OFFSET(Sheet1!$A$2,RANDBETWEEN(2,500),0,1,1),OFFSET(Sheet1!$A$2,RANDBETWEEN(2,500),RANDBETWEEN(1,5),1,1))</f>
        <v>阿诺德</v>
      </c>
      <c r="AS192">
        <f>SUMPRODUCT(P192:AI192,Sheet2!$B$3:$U$3)</f>
        <v>459088</v>
      </c>
    </row>
    <row r="193" spans="1:45" x14ac:dyDescent="0.15">
      <c r="A193" s="23">
        <v>192</v>
      </c>
      <c r="B193" s="18" t="s">
        <v>477</v>
      </c>
      <c r="C193" s="18">
        <f t="shared" si="22"/>
        <v>221</v>
      </c>
      <c r="D193" s="19">
        <f t="shared" si="23"/>
        <v>2</v>
      </c>
      <c r="E193" s="19">
        <f>VLOOKUP(MOD(A193,4),各职业基础配置!C$32:D$35,2,FALSE)</f>
        <v>1</v>
      </c>
      <c r="F193" s="19">
        <f>IF(A193&lt;900,INDEX(各职业基础配置!C$23:C$28,MOD(ROW(A193),4)+1),0)</f>
        <v>13</v>
      </c>
      <c r="G193" s="19">
        <f t="shared" si="24"/>
        <v>119</v>
      </c>
      <c r="H193" s="27">
        <f t="shared" si="25"/>
        <v>2</v>
      </c>
      <c r="I193" s="6" t="s">
        <v>164</v>
      </c>
      <c r="J193" s="23" t="str">
        <f>VLOOKUP(E193,各职业基础配置!$B$9:$C$12,2,FALSE)</f>
        <v>101|102|103|4201|105</v>
      </c>
      <c r="K193" s="18" t="str">
        <f>VLOOKUP(E193,各职业基础配置!$B$15:$C$18,2,FALSE)</f>
        <v>24|25|26|27</v>
      </c>
      <c r="L193" s="18" t="str">
        <f>VLOOKUP(E193,各职业基础配置!B:C,2,FALSE)</f>
        <v>[{24,1,1},{25,1,1},{26,1,1},{27,1,1},{1,1,1},{2,1,1},{3,1,1}]</v>
      </c>
      <c r="M193" s="18">
        <v>0</v>
      </c>
      <c r="N193" s="18">
        <f t="shared" si="26"/>
        <v>3</v>
      </c>
      <c r="O193" s="18">
        <f>SUMPRODUCT(P193:AI193,Sheet2!$B$3:$U$3)</f>
        <v>459063</v>
      </c>
      <c r="P193" s="18">
        <f>CEILING(INDEX([1]系统模型!$VD:$VD,MATCH(C193,[1]系统模型!$A:$A,0))*POWER(C193/220,3.8)-50+(1000-A193),1)</f>
        <v>9567</v>
      </c>
      <c r="Q193" s="18">
        <f>CEILING(INDEX([1]系统模型!$VE:$VE,MATCH(C193,[1]系统模型!$A:$A,0))*POWER(C193/220,4),1)</f>
        <v>1800</v>
      </c>
      <c r="R193" s="18">
        <f>INT(INDEX([1]系统模型!$VF:$VF,MATCH(C193,[1]系统模型!$A:$A,0))*MAX(POWER(C193/180,4),0.5))</f>
        <v>104238</v>
      </c>
      <c r="S193" s="5">
        <v>1000</v>
      </c>
      <c r="T193" s="25">
        <v>0</v>
      </c>
      <c r="U193" s="25">
        <v>0</v>
      </c>
      <c r="V193" s="25">
        <v>0</v>
      </c>
      <c r="W193" s="25">
        <v>0</v>
      </c>
      <c r="X193" s="25">
        <f t="shared" si="27"/>
        <v>5211</v>
      </c>
      <c r="Y193" s="12">
        <v>0</v>
      </c>
      <c r="Z193" s="25">
        <v>100</v>
      </c>
      <c r="AA193" s="25">
        <v>150</v>
      </c>
      <c r="AB193" s="25">
        <v>0</v>
      </c>
      <c r="AC193" s="25">
        <v>0</v>
      </c>
      <c r="AD193" s="25">
        <v>0</v>
      </c>
      <c r="AE193" s="25">
        <f t="shared" si="28"/>
        <v>442</v>
      </c>
      <c r="AF193" s="25">
        <f t="shared" si="29"/>
        <v>442</v>
      </c>
      <c r="AG193" s="25">
        <v>0</v>
      </c>
      <c r="AH193" s="25">
        <f t="shared" si="30"/>
        <v>7825</v>
      </c>
      <c r="AI193" s="25">
        <f t="shared" si="31"/>
        <v>127</v>
      </c>
      <c r="AJ193" s="25">
        <v>1</v>
      </c>
      <c r="AK193" s="25">
        <v>1000</v>
      </c>
      <c r="AL193" s="25">
        <v>100</v>
      </c>
      <c r="AM193" s="26">
        <v>10</v>
      </c>
      <c r="AN193" s="26">
        <v>10</v>
      </c>
      <c r="AO193" s="22" t="s">
        <v>2211</v>
      </c>
      <c r="AP193" s="26">
        <v>0</v>
      </c>
      <c r="AQ193" s="26">
        <f t="shared" si="32"/>
        <v>810</v>
      </c>
      <c r="AR193" s="18" t="str">
        <f ca="1">CONCATENATE(OFFSET(Sheet1!$A$2,RANDBETWEEN(2,500),0,1,1),OFFSET(Sheet1!$A$2,RANDBETWEEN(2,500),RANDBETWEEN(1,5),1,1))</f>
        <v>休姆</v>
      </c>
      <c r="AS193">
        <f>SUMPRODUCT(P193:AI193,Sheet2!$B$3:$U$3)</f>
        <v>459063</v>
      </c>
    </row>
    <row r="194" spans="1:45" x14ac:dyDescent="0.15">
      <c r="A194" s="18">
        <v>193</v>
      </c>
      <c r="B194" s="18" t="s">
        <v>1123</v>
      </c>
      <c r="C194" s="18">
        <f t="shared" si="22"/>
        <v>221</v>
      </c>
      <c r="D194" s="19">
        <f t="shared" si="23"/>
        <v>3</v>
      </c>
      <c r="E194" s="19">
        <f>VLOOKUP(MOD(A194,4),各职业基础配置!C$32:D$35,2,FALSE)</f>
        <v>3</v>
      </c>
      <c r="F194" s="19">
        <f>IF(A194&lt;900,INDEX(各职业基础配置!C$23:C$28,MOD(ROW(A194),4)+1),0)</f>
        <v>14</v>
      </c>
      <c r="G194" s="19">
        <f t="shared" si="24"/>
        <v>119</v>
      </c>
      <c r="H194" s="27">
        <f t="shared" si="25"/>
        <v>2</v>
      </c>
      <c r="I194" s="6" t="s">
        <v>164</v>
      </c>
      <c r="J194" s="23" t="str">
        <f>VLOOKUP(E194,各职业基础配置!$B$9:$C$12,2,FALSE)</f>
        <v>106|107|108|4201|110</v>
      </c>
      <c r="K194" s="18" t="str">
        <f>VLOOKUP(E194,各职业基础配置!$B$15:$C$18,2,FALSE)</f>
        <v>20|21|22|23</v>
      </c>
      <c r="L194" s="18" t="str">
        <f>VLOOKUP(E194,各职业基础配置!B:C,2,FALSE)</f>
        <v>[{20,1,1},{21,1,1},{22,1,1},{23,1,1},{4,1,1},{5,1,1},{6,1,1}]</v>
      </c>
      <c r="M194" s="18">
        <v>0</v>
      </c>
      <c r="N194" s="18">
        <f t="shared" si="26"/>
        <v>7</v>
      </c>
      <c r="O194" s="18">
        <f>SUMPRODUCT(P194:AI194,Sheet2!$B$3:$U$3)</f>
        <v>459038</v>
      </c>
      <c r="P194" s="18">
        <f>CEILING(INDEX([1]系统模型!$VD:$VD,MATCH(C194,[1]系统模型!$A:$A,0))*POWER(C194/220,3.8)-50+(1000-A194),1)</f>
        <v>9566</v>
      </c>
      <c r="Q194" s="18">
        <f>CEILING(INDEX([1]系统模型!$VE:$VE,MATCH(C194,[1]系统模型!$A:$A,0))*POWER(C194/220,4),1)</f>
        <v>1800</v>
      </c>
      <c r="R194" s="18">
        <f>INT(INDEX([1]系统模型!$VF:$VF,MATCH(C194,[1]系统模型!$A:$A,0))*MAX(POWER(C194/180,4),0.5))</f>
        <v>104238</v>
      </c>
      <c r="S194" s="5">
        <v>1000</v>
      </c>
      <c r="T194" s="25">
        <v>0</v>
      </c>
      <c r="U194" s="25">
        <v>0</v>
      </c>
      <c r="V194" s="25">
        <v>0</v>
      </c>
      <c r="W194" s="25">
        <v>0</v>
      </c>
      <c r="X194" s="25">
        <f t="shared" si="27"/>
        <v>5211</v>
      </c>
      <c r="Y194" s="12">
        <v>0</v>
      </c>
      <c r="Z194" s="25">
        <v>100</v>
      </c>
      <c r="AA194" s="25">
        <v>150</v>
      </c>
      <c r="AB194" s="25">
        <v>0</v>
      </c>
      <c r="AC194" s="25">
        <v>0</v>
      </c>
      <c r="AD194" s="25">
        <v>0</v>
      </c>
      <c r="AE194" s="25">
        <f t="shared" si="28"/>
        <v>442</v>
      </c>
      <c r="AF194" s="25">
        <f t="shared" si="29"/>
        <v>442</v>
      </c>
      <c r="AG194" s="25">
        <v>0</v>
      </c>
      <c r="AH194" s="25">
        <f t="shared" si="30"/>
        <v>7825</v>
      </c>
      <c r="AI194" s="25">
        <f t="shared" si="31"/>
        <v>127</v>
      </c>
      <c r="AJ194" s="25">
        <v>1</v>
      </c>
      <c r="AK194" s="25">
        <v>1000</v>
      </c>
      <c r="AL194" s="25">
        <v>100</v>
      </c>
      <c r="AM194" s="26">
        <v>10</v>
      </c>
      <c r="AN194" s="26">
        <v>10</v>
      </c>
      <c r="AO194" s="22" t="s">
        <v>2211</v>
      </c>
      <c r="AP194" s="26">
        <v>0</v>
      </c>
      <c r="AQ194" s="26">
        <f t="shared" si="32"/>
        <v>810</v>
      </c>
      <c r="AR194" s="18" t="str">
        <f ca="1">CONCATENATE(OFFSET(Sheet1!$A$2,RANDBETWEEN(2,500),0,1,1),OFFSET(Sheet1!$A$2,RANDBETWEEN(2,500),RANDBETWEEN(1,5),1,1))</f>
        <v>昆西</v>
      </c>
      <c r="AS194">
        <f>SUMPRODUCT(P194:AI194,Sheet2!$B$3:$U$3)</f>
        <v>459038</v>
      </c>
    </row>
    <row r="195" spans="1:45" x14ac:dyDescent="0.15">
      <c r="A195" s="18">
        <v>194</v>
      </c>
      <c r="B195" s="18" t="s">
        <v>1027</v>
      </c>
      <c r="C195" s="18">
        <f t="shared" ref="C195:C258" si="33">INT(250-(150-2)/1000*A195)</f>
        <v>221</v>
      </c>
      <c r="D195" s="19">
        <f t="shared" ref="D195:D258" si="34">MOD(A195,2)+2</f>
        <v>2</v>
      </c>
      <c r="E195" s="19">
        <f>VLOOKUP(MOD(A195,4),各职业基础配置!C$32:D$35,2,FALSE)</f>
        <v>6</v>
      </c>
      <c r="F195" s="19">
        <f>IF(A195&lt;900,INDEX(各职业基础配置!C$23:C$28,MOD(ROW(A195),4)+1),0)</f>
        <v>16</v>
      </c>
      <c r="G195" s="19">
        <f t="shared" ref="G195:G258" si="35">INT(C195*POWER(C195/250,5))</f>
        <v>119</v>
      </c>
      <c r="H195" s="27">
        <f t="shared" ref="H195:H258" si="36">CEILING(C195/75,1)-1</f>
        <v>2</v>
      </c>
      <c r="I195" s="6" t="s">
        <v>164</v>
      </c>
      <c r="J195" s="23" t="str">
        <f>VLOOKUP(E195,各职业基础配置!$B$9:$C$12,2,FALSE)</f>
        <v>111|112|113|4201|115</v>
      </c>
      <c r="K195" s="18" t="str">
        <f>VLOOKUP(E195,各职业基础配置!$B$15:$C$18,2,FALSE)</f>
        <v>32|33|34</v>
      </c>
      <c r="L195" s="18" t="str">
        <f>VLOOKUP(E195,各职业基础配置!B:C,2,FALSE)</f>
        <v>[{32,1,1},{33,1,1},{34,1,1},{35,1,1},{7,1,1},{8,1,1},{9,1,1}]</v>
      </c>
      <c r="M195" s="18">
        <v>0</v>
      </c>
      <c r="N195" s="18">
        <f t="shared" ref="N195:N258" si="37">IF(OR(E195=3,E195=6),7,3)</f>
        <v>7</v>
      </c>
      <c r="O195" s="18">
        <f>SUMPRODUCT(P195:AI195,Sheet2!$B$3:$U$3)</f>
        <v>459013</v>
      </c>
      <c r="P195" s="18">
        <f>CEILING(INDEX([1]系统模型!$VD:$VD,MATCH(C195,[1]系统模型!$A:$A,0))*POWER(C195/220,3.8)-50+(1000-A195),1)</f>
        <v>9565</v>
      </c>
      <c r="Q195" s="18">
        <f>CEILING(INDEX([1]系统模型!$VE:$VE,MATCH(C195,[1]系统模型!$A:$A,0))*POWER(C195/220,4),1)</f>
        <v>1800</v>
      </c>
      <c r="R195" s="18">
        <f>INT(INDEX([1]系统模型!$VF:$VF,MATCH(C195,[1]系统模型!$A:$A,0))*MAX(POWER(C195/180,4),0.5))</f>
        <v>104238</v>
      </c>
      <c r="S195" s="5">
        <v>1000</v>
      </c>
      <c r="T195" s="25">
        <v>0</v>
      </c>
      <c r="U195" s="25">
        <v>0</v>
      </c>
      <c r="V195" s="25">
        <v>0</v>
      </c>
      <c r="W195" s="25">
        <v>0</v>
      </c>
      <c r="X195" s="25">
        <f t="shared" ref="X195:X258" si="38">INT(R195/20)</f>
        <v>5211</v>
      </c>
      <c r="Y195" s="12">
        <v>0</v>
      </c>
      <c r="Z195" s="25">
        <v>100</v>
      </c>
      <c r="AA195" s="25">
        <v>150</v>
      </c>
      <c r="AB195" s="25">
        <v>0</v>
      </c>
      <c r="AC195" s="25">
        <v>0</v>
      </c>
      <c r="AD195" s="25">
        <v>0</v>
      </c>
      <c r="AE195" s="25">
        <f t="shared" ref="AE195:AE258" si="39">C195*2</f>
        <v>442</v>
      </c>
      <c r="AF195" s="25">
        <f t="shared" ref="AF195:AF258" si="40">C195*2</f>
        <v>442</v>
      </c>
      <c r="AG195" s="25">
        <v>0</v>
      </c>
      <c r="AH195" s="25">
        <f t="shared" ref="AH195:AH258" si="41">MAX(10000-(250-C195)*75,0)</f>
        <v>7825</v>
      </c>
      <c r="AI195" s="25">
        <f t="shared" ref="AI195:AI258" si="42">INT(P195/75)</f>
        <v>127</v>
      </c>
      <c r="AJ195" s="25">
        <v>1</v>
      </c>
      <c r="AK195" s="25">
        <v>1000</v>
      </c>
      <c r="AL195" s="25">
        <v>100</v>
      </c>
      <c r="AM195" s="26">
        <v>10</v>
      </c>
      <c r="AN195" s="26">
        <v>10</v>
      </c>
      <c r="AO195" s="22" t="s">
        <v>2211</v>
      </c>
      <c r="AP195" s="26">
        <v>0</v>
      </c>
      <c r="AQ195" s="26">
        <f t="shared" ref="AQ195:AQ258" si="43">MAX(CEILING(1000-A195*1.02,10),0)</f>
        <v>810</v>
      </c>
      <c r="AR195" s="18" t="str">
        <f ca="1">CONCATENATE(OFFSET(Sheet1!$A$2,RANDBETWEEN(2,500),0,1,1),OFFSET(Sheet1!$A$2,RANDBETWEEN(2,500),RANDBETWEEN(1,5),1,1))</f>
        <v>葛德文吉蒂</v>
      </c>
      <c r="AS195">
        <f>SUMPRODUCT(P195:AI195,Sheet2!$B$3:$U$3)</f>
        <v>459013</v>
      </c>
    </row>
    <row r="196" spans="1:45" x14ac:dyDescent="0.15">
      <c r="A196" s="23">
        <v>195</v>
      </c>
      <c r="B196" s="18" t="s">
        <v>1914</v>
      </c>
      <c r="C196" s="18">
        <f t="shared" si="33"/>
        <v>221</v>
      </c>
      <c r="D196" s="19">
        <f t="shared" si="34"/>
        <v>3</v>
      </c>
      <c r="E196" s="19">
        <f>VLOOKUP(MOD(A196,4),各职业基础配置!C$32:D$35,2,FALSE)</f>
        <v>9</v>
      </c>
      <c r="F196" s="19">
        <f>IF(A196&lt;900,INDEX(各职业基础配置!C$23:C$28,MOD(ROW(A196),4)+1),0)</f>
        <v>8</v>
      </c>
      <c r="G196" s="19">
        <f t="shared" si="35"/>
        <v>119</v>
      </c>
      <c r="H196" s="27">
        <f t="shared" si="36"/>
        <v>2</v>
      </c>
      <c r="I196" s="6" t="s">
        <v>164</v>
      </c>
      <c r="J196" s="23" t="str">
        <f>VLOOKUP(E196,各职业基础配置!$B$9:$C$12,2,FALSE)</f>
        <v>116|117|118|4201|120</v>
      </c>
      <c r="K196" s="18" t="str">
        <f>VLOOKUP(E196,各职业基础配置!$B$15:$C$18,2,FALSE)</f>
        <v>28|29|30|31</v>
      </c>
      <c r="L196" s="18" t="str">
        <f>VLOOKUP(E196,各职业基础配置!B:C,2,FALSE)</f>
        <v>[{28,1,1},{29,1,1},{30,1,1},{31,1,1},{10,1,1},{11,1,1},{12,1,1}]</v>
      </c>
      <c r="M196" s="18">
        <v>0</v>
      </c>
      <c r="N196" s="18">
        <f t="shared" si="37"/>
        <v>3</v>
      </c>
      <c r="O196" s="18">
        <f>SUMPRODUCT(P196:AI196,Sheet2!$B$3:$U$3)</f>
        <v>458988</v>
      </c>
      <c r="P196" s="18">
        <f>CEILING(INDEX([1]系统模型!$VD:$VD,MATCH(C196,[1]系统模型!$A:$A,0))*POWER(C196/220,3.8)-50+(1000-A196),1)</f>
        <v>9564</v>
      </c>
      <c r="Q196" s="18">
        <f>CEILING(INDEX([1]系统模型!$VE:$VE,MATCH(C196,[1]系统模型!$A:$A,0))*POWER(C196/220,4),1)</f>
        <v>1800</v>
      </c>
      <c r="R196" s="18">
        <f>INT(INDEX([1]系统模型!$VF:$VF,MATCH(C196,[1]系统模型!$A:$A,0))*MAX(POWER(C196/180,4),0.5))</f>
        <v>104238</v>
      </c>
      <c r="S196" s="5">
        <v>1000</v>
      </c>
      <c r="T196" s="25">
        <v>0</v>
      </c>
      <c r="U196" s="25">
        <v>0</v>
      </c>
      <c r="V196" s="25">
        <v>0</v>
      </c>
      <c r="W196" s="25">
        <v>0</v>
      </c>
      <c r="X196" s="25">
        <f t="shared" si="38"/>
        <v>5211</v>
      </c>
      <c r="Y196" s="12">
        <v>0</v>
      </c>
      <c r="Z196" s="25">
        <v>100</v>
      </c>
      <c r="AA196" s="25">
        <v>150</v>
      </c>
      <c r="AB196" s="25">
        <v>0</v>
      </c>
      <c r="AC196" s="25">
        <v>0</v>
      </c>
      <c r="AD196" s="25">
        <v>0</v>
      </c>
      <c r="AE196" s="25">
        <f t="shared" si="39"/>
        <v>442</v>
      </c>
      <c r="AF196" s="25">
        <f t="shared" si="40"/>
        <v>442</v>
      </c>
      <c r="AG196" s="25">
        <v>0</v>
      </c>
      <c r="AH196" s="25">
        <f t="shared" si="41"/>
        <v>7825</v>
      </c>
      <c r="AI196" s="25">
        <f t="shared" si="42"/>
        <v>127</v>
      </c>
      <c r="AJ196" s="25">
        <v>1</v>
      </c>
      <c r="AK196" s="25">
        <v>1000</v>
      </c>
      <c r="AL196" s="25">
        <v>100</v>
      </c>
      <c r="AM196" s="26">
        <v>10</v>
      </c>
      <c r="AN196" s="26">
        <v>10</v>
      </c>
      <c r="AO196" s="22" t="s">
        <v>2211</v>
      </c>
      <c r="AP196" s="26">
        <v>0</v>
      </c>
      <c r="AQ196" s="26">
        <f t="shared" si="43"/>
        <v>810</v>
      </c>
      <c r="AR196" s="18" t="str">
        <f ca="1">CONCATENATE(OFFSET(Sheet1!$A$2,RANDBETWEEN(2,500),0,1,1),OFFSET(Sheet1!$A$2,RANDBETWEEN(2,500),RANDBETWEEN(1,5),1,1))</f>
        <v>休士</v>
      </c>
      <c r="AS196">
        <f>SUMPRODUCT(P196:AI196,Sheet2!$B$3:$U$3)</f>
        <v>458988</v>
      </c>
    </row>
    <row r="197" spans="1:45" x14ac:dyDescent="0.15">
      <c r="A197" s="18">
        <v>196</v>
      </c>
      <c r="B197" s="18" t="s">
        <v>1915</v>
      </c>
      <c r="C197" s="18">
        <f t="shared" si="33"/>
        <v>220</v>
      </c>
      <c r="D197" s="19">
        <f t="shared" si="34"/>
        <v>2</v>
      </c>
      <c r="E197" s="19">
        <f>VLOOKUP(MOD(A197,4),各职业基础配置!C$32:D$35,2,FALSE)</f>
        <v>1</v>
      </c>
      <c r="F197" s="19">
        <f>IF(A197&lt;900,INDEX(各职业基础配置!C$23:C$28,MOD(ROW(A197),4)+1),0)</f>
        <v>13</v>
      </c>
      <c r="G197" s="19">
        <f t="shared" si="35"/>
        <v>116</v>
      </c>
      <c r="H197" s="27">
        <f t="shared" si="36"/>
        <v>2</v>
      </c>
      <c r="I197" s="6" t="s">
        <v>164</v>
      </c>
      <c r="J197" s="23" t="str">
        <f>VLOOKUP(E197,各职业基础配置!$B$9:$C$12,2,FALSE)</f>
        <v>101|102|103|4201|105</v>
      </c>
      <c r="K197" s="18" t="str">
        <f>VLOOKUP(E197,各职业基础配置!$B$15:$C$18,2,FALSE)</f>
        <v>24|25|26|27</v>
      </c>
      <c r="L197" s="18" t="str">
        <f>VLOOKUP(E197,各职业基础配置!B:C,2,FALSE)</f>
        <v>[{24,1,1},{25,1,1},{26,1,1},{27,1,1},{1,1,1},{2,1,1},{3,1,1}]</v>
      </c>
      <c r="M197" s="18">
        <v>0</v>
      </c>
      <c r="N197" s="18">
        <f t="shared" si="37"/>
        <v>3</v>
      </c>
      <c r="O197" s="18">
        <f>SUMPRODUCT(P197:AI197,Sheet2!$B$3:$U$3)</f>
        <v>448679</v>
      </c>
      <c r="P197" s="18">
        <f>CEILING(INDEX([1]系统模型!$VD:$VD,MATCH(C197,[1]系统模型!$A:$A,0))*POWER(C197/220,3.8)-50+(1000-A197),1)</f>
        <v>9375</v>
      </c>
      <c r="Q197" s="18">
        <f>CEILING(INDEX([1]系统模型!$VE:$VE,MATCH(C197,[1]系统模型!$A:$A,0))*POWER(C197/220,4),1)</f>
        <v>1735</v>
      </c>
      <c r="R197" s="18">
        <f>INT(INDEX([1]系统模型!$VF:$VF,MATCH(C197,[1]系统模型!$A:$A,0))*MAX(POWER(C197/180,4),0.5))</f>
        <v>100804</v>
      </c>
      <c r="S197" s="5">
        <v>1000</v>
      </c>
      <c r="T197" s="25">
        <v>0</v>
      </c>
      <c r="U197" s="25">
        <v>0</v>
      </c>
      <c r="V197" s="25">
        <v>0</v>
      </c>
      <c r="W197" s="25">
        <v>0</v>
      </c>
      <c r="X197" s="25">
        <f t="shared" si="38"/>
        <v>5040</v>
      </c>
      <c r="Y197" s="12">
        <v>0</v>
      </c>
      <c r="Z197" s="25">
        <v>100</v>
      </c>
      <c r="AA197" s="25">
        <v>150</v>
      </c>
      <c r="AB197" s="25">
        <v>0</v>
      </c>
      <c r="AC197" s="25">
        <v>0</v>
      </c>
      <c r="AD197" s="25">
        <v>0</v>
      </c>
      <c r="AE197" s="25">
        <f t="shared" si="39"/>
        <v>440</v>
      </c>
      <c r="AF197" s="25">
        <f t="shared" si="40"/>
        <v>440</v>
      </c>
      <c r="AG197" s="25">
        <v>0</v>
      </c>
      <c r="AH197" s="25">
        <f t="shared" si="41"/>
        <v>7750</v>
      </c>
      <c r="AI197" s="25">
        <f t="shared" si="42"/>
        <v>125</v>
      </c>
      <c r="AJ197" s="25">
        <v>1</v>
      </c>
      <c r="AK197" s="25">
        <v>1000</v>
      </c>
      <c r="AL197" s="25">
        <v>100</v>
      </c>
      <c r="AM197" s="26">
        <v>10</v>
      </c>
      <c r="AN197" s="26">
        <v>10</v>
      </c>
      <c r="AO197" s="22" t="s">
        <v>2211</v>
      </c>
      <c r="AP197" s="26">
        <v>0</v>
      </c>
      <c r="AQ197" s="26">
        <f t="shared" si="43"/>
        <v>810</v>
      </c>
      <c r="AR197" s="18" t="str">
        <f ca="1">CONCATENATE(OFFSET(Sheet1!$A$2,RANDBETWEEN(2,500),0,1,1),OFFSET(Sheet1!$A$2,RANDBETWEEN(2,500),RANDBETWEEN(1,5),1,1))</f>
        <v>哈巴卡克</v>
      </c>
      <c r="AS197">
        <f>SUMPRODUCT(P197:AI197,Sheet2!$B$3:$U$3)</f>
        <v>448679</v>
      </c>
    </row>
    <row r="198" spans="1:45" x14ac:dyDescent="0.15">
      <c r="A198" s="18">
        <v>197</v>
      </c>
      <c r="B198" s="18" t="s">
        <v>1116</v>
      </c>
      <c r="C198" s="18">
        <f t="shared" si="33"/>
        <v>220</v>
      </c>
      <c r="D198" s="19">
        <f t="shared" si="34"/>
        <v>3</v>
      </c>
      <c r="E198" s="19">
        <f>VLOOKUP(MOD(A198,4),各职业基础配置!C$32:D$35,2,FALSE)</f>
        <v>3</v>
      </c>
      <c r="F198" s="19">
        <f>IF(A198&lt;900,INDEX(各职业基础配置!C$23:C$28,MOD(ROW(A198),4)+1),0)</f>
        <v>14</v>
      </c>
      <c r="G198" s="19">
        <f t="shared" si="35"/>
        <v>116</v>
      </c>
      <c r="H198" s="27">
        <f t="shared" si="36"/>
        <v>2</v>
      </c>
      <c r="I198" s="6" t="s">
        <v>164</v>
      </c>
      <c r="J198" s="23" t="str">
        <f>VLOOKUP(E198,各职业基础配置!$B$9:$C$12,2,FALSE)</f>
        <v>106|107|108|4201|110</v>
      </c>
      <c r="K198" s="18" t="str">
        <f>VLOOKUP(E198,各职业基础配置!$B$15:$C$18,2,FALSE)</f>
        <v>20|21|22|23</v>
      </c>
      <c r="L198" s="18" t="str">
        <f>VLOOKUP(E198,各职业基础配置!B:C,2,FALSE)</f>
        <v>[{20,1,1},{21,1,1},{22,1,1},{23,1,1},{4,1,1},{5,1,1},{6,1,1}]</v>
      </c>
      <c r="M198" s="18">
        <v>0</v>
      </c>
      <c r="N198" s="18">
        <f t="shared" si="37"/>
        <v>7</v>
      </c>
      <c r="O198" s="18">
        <f>SUMPRODUCT(P198:AI198,Sheet2!$B$3:$U$3)</f>
        <v>448629</v>
      </c>
      <c r="P198" s="18">
        <f>CEILING(INDEX([1]系统模型!$VD:$VD,MATCH(C198,[1]系统模型!$A:$A,0))*POWER(C198/220,3.8)-50+(1000-A198),1)</f>
        <v>9374</v>
      </c>
      <c r="Q198" s="18">
        <f>CEILING(INDEX([1]系统模型!$VE:$VE,MATCH(C198,[1]系统模型!$A:$A,0))*POWER(C198/220,4),1)</f>
        <v>1735</v>
      </c>
      <c r="R198" s="18">
        <f>INT(INDEX([1]系统模型!$VF:$VF,MATCH(C198,[1]系统模型!$A:$A,0))*MAX(POWER(C198/180,4),0.5))</f>
        <v>100804</v>
      </c>
      <c r="S198" s="5">
        <v>1000</v>
      </c>
      <c r="T198" s="25">
        <v>0</v>
      </c>
      <c r="U198" s="25">
        <v>0</v>
      </c>
      <c r="V198" s="25">
        <v>0</v>
      </c>
      <c r="W198" s="25">
        <v>0</v>
      </c>
      <c r="X198" s="25">
        <f t="shared" si="38"/>
        <v>5040</v>
      </c>
      <c r="Y198" s="12">
        <v>0</v>
      </c>
      <c r="Z198" s="25">
        <v>100</v>
      </c>
      <c r="AA198" s="25">
        <v>150</v>
      </c>
      <c r="AB198" s="25">
        <v>0</v>
      </c>
      <c r="AC198" s="25">
        <v>0</v>
      </c>
      <c r="AD198" s="25">
        <v>0</v>
      </c>
      <c r="AE198" s="25">
        <f t="shared" si="39"/>
        <v>440</v>
      </c>
      <c r="AF198" s="25">
        <f t="shared" si="40"/>
        <v>440</v>
      </c>
      <c r="AG198" s="25">
        <v>0</v>
      </c>
      <c r="AH198" s="25">
        <f t="shared" si="41"/>
        <v>7750</v>
      </c>
      <c r="AI198" s="25">
        <f t="shared" si="42"/>
        <v>124</v>
      </c>
      <c r="AJ198" s="25">
        <v>1</v>
      </c>
      <c r="AK198" s="25">
        <v>1000</v>
      </c>
      <c r="AL198" s="25">
        <v>100</v>
      </c>
      <c r="AM198" s="26">
        <v>10</v>
      </c>
      <c r="AN198" s="26">
        <v>10</v>
      </c>
      <c r="AO198" s="22" t="s">
        <v>2211</v>
      </c>
      <c r="AP198" s="26">
        <v>0</v>
      </c>
      <c r="AQ198" s="26">
        <f t="shared" si="43"/>
        <v>800</v>
      </c>
      <c r="AR198" s="18" t="str">
        <f ca="1">CONCATENATE(OFFSET(Sheet1!$A$2,RANDBETWEEN(2,500),0,1,1),OFFSET(Sheet1!$A$2,RANDBETWEEN(2,500),RANDBETWEEN(1,5),1,1))</f>
        <v>杰弗里</v>
      </c>
      <c r="AS198">
        <f>SUMPRODUCT(P198:AI198,Sheet2!$B$3:$U$3)</f>
        <v>448629</v>
      </c>
    </row>
    <row r="199" spans="1:45" x14ac:dyDescent="0.15">
      <c r="A199" s="23">
        <v>198</v>
      </c>
      <c r="B199" s="18" t="s">
        <v>941</v>
      </c>
      <c r="C199" s="18">
        <f t="shared" si="33"/>
        <v>220</v>
      </c>
      <c r="D199" s="19">
        <f t="shared" si="34"/>
        <v>2</v>
      </c>
      <c r="E199" s="19">
        <f>VLOOKUP(MOD(A199,4),各职业基础配置!C$32:D$35,2,FALSE)</f>
        <v>6</v>
      </c>
      <c r="F199" s="19">
        <f>IF(A199&lt;900,INDEX(各职业基础配置!C$23:C$28,MOD(ROW(A199),4)+1),0)</f>
        <v>16</v>
      </c>
      <c r="G199" s="19">
        <f t="shared" si="35"/>
        <v>116</v>
      </c>
      <c r="H199" s="27">
        <f t="shared" si="36"/>
        <v>2</v>
      </c>
      <c r="I199" s="6" t="s">
        <v>164</v>
      </c>
      <c r="J199" s="23" t="str">
        <f>VLOOKUP(E199,各职业基础配置!$B$9:$C$12,2,FALSE)</f>
        <v>111|112|113|4201|115</v>
      </c>
      <c r="K199" s="18" t="str">
        <f>VLOOKUP(E199,各职业基础配置!$B$15:$C$18,2,FALSE)</f>
        <v>32|33|34</v>
      </c>
      <c r="L199" s="18" t="str">
        <f>VLOOKUP(E199,各职业基础配置!B:C,2,FALSE)</f>
        <v>[{32,1,1},{33,1,1},{34,1,1},{35,1,1},{7,1,1},{8,1,1},{9,1,1}]</v>
      </c>
      <c r="M199" s="18">
        <v>0</v>
      </c>
      <c r="N199" s="18">
        <f t="shared" si="37"/>
        <v>7</v>
      </c>
      <c r="O199" s="18">
        <f>SUMPRODUCT(P199:AI199,Sheet2!$B$3:$U$3)</f>
        <v>448604</v>
      </c>
      <c r="P199" s="18">
        <f>CEILING(INDEX([1]系统模型!$VD:$VD,MATCH(C199,[1]系统模型!$A:$A,0))*POWER(C199/220,3.8)-50+(1000-A199),1)</f>
        <v>9373</v>
      </c>
      <c r="Q199" s="18">
        <f>CEILING(INDEX([1]系统模型!$VE:$VE,MATCH(C199,[1]系统模型!$A:$A,0))*POWER(C199/220,4),1)</f>
        <v>1735</v>
      </c>
      <c r="R199" s="18">
        <f>INT(INDEX([1]系统模型!$VF:$VF,MATCH(C199,[1]系统模型!$A:$A,0))*MAX(POWER(C199/180,4),0.5))</f>
        <v>100804</v>
      </c>
      <c r="S199" s="5">
        <v>1000</v>
      </c>
      <c r="T199" s="25">
        <v>0</v>
      </c>
      <c r="U199" s="25">
        <v>0</v>
      </c>
      <c r="V199" s="25">
        <v>0</v>
      </c>
      <c r="W199" s="25">
        <v>0</v>
      </c>
      <c r="X199" s="25">
        <f t="shared" si="38"/>
        <v>5040</v>
      </c>
      <c r="Y199" s="12">
        <v>0</v>
      </c>
      <c r="Z199" s="25">
        <v>100</v>
      </c>
      <c r="AA199" s="25">
        <v>150</v>
      </c>
      <c r="AB199" s="25">
        <v>0</v>
      </c>
      <c r="AC199" s="25">
        <v>0</v>
      </c>
      <c r="AD199" s="25">
        <v>0</v>
      </c>
      <c r="AE199" s="25">
        <f t="shared" si="39"/>
        <v>440</v>
      </c>
      <c r="AF199" s="25">
        <f t="shared" si="40"/>
        <v>440</v>
      </c>
      <c r="AG199" s="25">
        <v>0</v>
      </c>
      <c r="AH199" s="25">
        <f t="shared" si="41"/>
        <v>7750</v>
      </c>
      <c r="AI199" s="25">
        <f t="shared" si="42"/>
        <v>124</v>
      </c>
      <c r="AJ199" s="25">
        <v>1</v>
      </c>
      <c r="AK199" s="25">
        <v>1000</v>
      </c>
      <c r="AL199" s="25">
        <v>100</v>
      </c>
      <c r="AM199" s="26">
        <v>10</v>
      </c>
      <c r="AN199" s="26">
        <v>10</v>
      </c>
      <c r="AO199" s="22" t="s">
        <v>2211</v>
      </c>
      <c r="AP199" s="26">
        <v>0</v>
      </c>
      <c r="AQ199" s="26">
        <f t="shared" si="43"/>
        <v>800</v>
      </c>
      <c r="AR199" s="18" t="str">
        <f ca="1">CONCATENATE(OFFSET(Sheet1!$A$2,RANDBETWEEN(2,500),0,1,1),OFFSET(Sheet1!$A$2,RANDBETWEEN(2,500),RANDBETWEEN(1,5),1,1))</f>
        <v>巴比</v>
      </c>
      <c r="AS199">
        <f>SUMPRODUCT(P199:AI199,Sheet2!$B$3:$U$3)</f>
        <v>448604</v>
      </c>
    </row>
    <row r="200" spans="1:45" x14ac:dyDescent="0.15">
      <c r="A200" s="18">
        <v>199</v>
      </c>
      <c r="B200" s="18" t="s">
        <v>1069</v>
      </c>
      <c r="C200" s="18">
        <f t="shared" si="33"/>
        <v>220</v>
      </c>
      <c r="D200" s="19">
        <f t="shared" si="34"/>
        <v>3</v>
      </c>
      <c r="E200" s="19">
        <f>VLOOKUP(MOD(A200,4),各职业基础配置!C$32:D$35,2,FALSE)</f>
        <v>9</v>
      </c>
      <c r="F200" s="19">
        <f>IF(A200&lt;900,INDEX(各职业基础配置!C$23:C$28,MOD(ROW(A200),4)+1),0)</f>
        <v>8</v>
      </c>
      <c r="G200" s="19">
        <f t="shared" si="35"/>
        <v>116</v>
      </c>
      <c r="H200" s="27">
        <f t="shared" si="36"/>
        <v>2</v>
      </c>
      <c r="I200" s="6" t="s">
        <v>164</v>
      </c>
      <c r="J200" s="23" t="str">
        <f>VLOOKUP(E200,各职业基础配置!$B$9:$C$12,2,FALSE)</f>
        <v>116|117|118|4201|120</v>
      </c>
      <c r="K200" s="18" t="str">
        <f>VLOOKUP(E200,各职业基础配置!$B$15:$C$18,2,FALSE)</f>
        <v>28|29|30|31</v>
      </c>
      <c r="L200" s="18" t="str">
        <f>VLOOKUP(E200,各职业基础配置!B:C,2,FALSE)</f>
        <v>[{28,1,1},{29,1,1},{30,1,1},{31,1,1},{10,1,1},{11,1,1},{12,1,1}]</v>
      </c>
      <c r="M200" s="18">
        <v>0</v>
      </c>
      <c r="N200" s="18">
        <f t="shared" si="37"/>
        <v>3</v>
      </c>
      <c r="O200" s="18">
        <f>SUMPRODUCT(P200:AI200,Sheet2!$B$3:$U$3)</f>
        <v>448579</v>
      </c>
      <c r="P200" s="18">
        <f>CEILING(INDEX([1]系统模型!$VD:$VD,MATCH(C200,[1]系统模型!$A:$A,0))*POWER(C200/220,3.8)-50+(1000-A200),1)</f>
        <v>9372</v>
      </c>
      <c r="Q200" s="18">
        <f>CEILING(INDEX([1]系统模型!$VE:$VE,MATCH(C200,[1]系统模型!$A:$A,0))*POWER(C200/220,4),1)</f>
        <v>1735</v>
      </c>
      <c r="R200" s="18">
        <f>INT(INDEX([1]系统模型!$VF:$VF,MATCH(C200,[1]系统模型!$A:$A,0))*MAX(POWER(C200/180,4),0.5))</f>
        <v>100804</v>
      </c>
      <c r="S200" s="5">
        <v>1000</v>
      </c>
      <c r="T200" s="25">
        <v>0</v>
      </c>
      <c r="U200" s="25">
        <v>0</v>
      </c>
      <c r="V200" s="25">
        <v>0</v>
      </c>
      <c r="W200" s="25">
        <v>0</v>
      </c>
      <c r="X200" s="25">
        <f t="shared" si="38"/>
        <v>5040</v>
      </c>
      <c r="Y200" s="12">
        <v>0</v>
      </c>
      <c r="Z200" s="25">
        <v>100</v>
      </c>
      <c r="AA200" s="25">
        <v>150</v>
      </c>
      <c r="AB200" s="25">
        <v>0</v>
      </c>
      <c r="AC200" s="25">
        <v>0</v>
      </c>
      <c r="AD200" s="25">
        <v>0</v>
      </c>
      <c r="AE200" s="25">
        <f t="shared" si="39"/>
        <v>440</v>
      </c>
      <c r="AF200" s="25">
        <f t="shared" si="40"/>
        <v>440</v>
      </c>
      <c r="AG200" s="25">
        <v>0</v>
      </c>
      <c r="AH200" s="25">
        <f t="shared" si="41"/>
        <v>7750</v>
      </c>
      <c r="AI200" s="25">
        <f t="shared" si="42"/>
        <v>124</v>
      </c>
      <c r="AJ200" s="25">
        <v>1</v>
      </c>
      <c r="AK200" s="25">
        <v>1000</v>
      </c>
      <c r="AL200" s="25">
        <v>100</v>
      </c>
      <c r="AM200" s="26">
        <v>10</v>
      </c>
      <c r="AN200" s="26">
        <v>10</v>
      </c>
      <c r="AO200" s="22" t="s">
        <v>2211</v>
      </c>
      <c r="AP200" s="26">
        <v>0</v>
      </c>
      <c r="AQ200" s="26">
        <f t="shared" si="43"/>
        <v>800</v>
      </c>
      <c r="AR200" s="18" t="str">
        <f ca="1">CONCATENATE(OFFSET(Sheet1!$A$2,RANDBETWEEN(2,500),0,1,1),OFFSET(Sheet1!$A$2,RANDBETWEEN(2,500),RANDBETWEEN(1,5),1,1))</f>
        <v>杰克逊</v>
      </c>
      <c r="AS200">
        <f>SUMPRODUCT(P200:AI200,Sheet2!$B$3:$U$3)</f>
        <v>448579</v>
      </c>
    </row>
    <row r="201" spans="1:45" x14ac:dyDescent="0.15">
      <c r="A201" s="18">
        <v>200</v>
      </c>
      <c r="B201" s="18" t="s">
        <v>1122</v>
      </c>
      <c r="C201" s="18">
        <f t="shared" si="33"/>
        <v>220</v>
      </c>
      <c r="D201" s="19">
        <f t="shared" si="34"/>
        <v>2</v>
      </c>
      <c r="E201" s="19">
        <f>VLOOKUP(MOD(A201,4),各职业基础配置!C$32:D$35,2,FALSE)</f>
        <v>1</v>
      </c>
      <c r="F201" s="19">
        <f>IF(A201&lt;900,INDEX(各职业基础配置!C$23:C$28,MOD(ROW(A201),4)+1),0)</f>
        <v>13</v>
      </c>
      <c r="G201" s="19">
        <f t="shared" si="35"/>
        <v>116</v>
      </c>
      <c r="H201" s="27">
        <f t="shared" si="36"/>
        <v>2</v>
      </c>
      <c r="I201" s="6" t="s">
        <v>164</v>
      </c>
      <c r="J201" s="23" t="str">
        <f>VLOOKUP(E201,各职业基础配置!$B$9:$C$12,2,FALSE)</f>
        <v>101|102|103|4201|105</v>
      </c>
      <c r="K201" s="18" t="str">
        <f>VLOOKUP(E201,各职业基础配置!$B$15:$C$18,2,FALSE)</f>
        <v>24|25|26|27</v>
      </c>
      <c r="L201" s="18" t="str">
        <f>VLOOKUP(E201,各职业基础配置!B:C,2,FALSE)</f>
        <v>[{24,1,1},{25,1,1},{26,1,1},{27,1,1},{1,1,1},{2,1,1},{3,1,1}]</v>
      </c>
      <c r="M201" s="18">
        <v>0</v>
      </c>
      <c r="N201" s="18">
        <f t="shared" si="37"/>
        <v>3</v>
      </c>
      <c r="O201" s="18">
        <f>SUMPRODUCT(P201:AI201,Sheet2!$B$3:$U$3)</f>
        <v>448554</v>
      </c>
      <c r="P201" s="18">
        <f>CEILING(INDEX([1]系统模型!$VD:$VD,MATCH(C201,[1]系统模型!$A:$A,0))*POWER(C201/220,3.8)-50+(1000-A201),1)</f>
        <v>9371</v>
      </c>
      <c r="Q201" s="18">
        <f>CEILING(INDEX([1]系统模型!$VE:$VE,MATCH(C201,[1]系统模型!$A:$A,0))*POWER(C201/220,4),1)</f>
        <v>1735</v>
      </c>
      <c r="R201" s="18">
        <f>INT(INDEX([1]系统模型!$VF:$VF,MATCH(C201,[1]系统模型!$A:$A,0))*MAX(POWER(C201/180,4),0.5))</f>
        <v>100804</v>
      </c>
      <c r="S201" s="5">
        <v>1000</v>
      </c>
      <c r="T201" s="25">
        <v>0</v>
      </c>
      <c r="U201" s="25">
        <v>0</v>
      </c>
      <c r="V201" s="25">
        <v>0</v>
      </c>
      <c r="W201" s="25">
        <v>0</v>
      </c>
      <c r="X201" s="25">
        <f t="shared" si="38"/>
        <v>5040</v>
      </c>
      <c r="Y201" s="12">
        <v>0</v>
      </c>
      <c r="Z201" s="25">
        <v>100</v>
      </c>
      <c r="AA201" s="25">
        <v>150</v>
      </c>
      <c r="AB201" s="25">
        <v>0</v>
      </c>
      <c r="AC201" s="25">
        <v>0</v>
      </c>
      <c r="AD201" s="25">
        <v>0</v>
      </c>
      <c r="AE201" s="25">
        <f t="shared" si="39"/>
        <v>440</v>
      </c>
      <c r="AF201" s="25">
        <f t="shared" si="40"/>
        <v>440</v>
      </c>
      <c r="AG201" s="25">
        <v>0</v>
      </c>
      <c r="AH201" s="25">
        <f t="shared" si="41"/>
        <v>7750</v>
      </c>
      <c r="AI201" s="25">
        <f t="shared" si="42"/>
        <v>124</v>
      </c>
      <c r="AJ201" s="25">
        <v>1</v>
      </c>
      <c r="AK201" s="25">
        <v>1000</v>
      </c>
      <c r="AL201" s="25">
        <v>100</v>
      </c>
      <c r="AM201" s="26">
        <v>10</v>
      </c>
      <c r="AN201" s="26">
        <v>10</v>
      </c>
      <c r="AO201" s="22" t="s">
        <v>2211</v>
      </c>
      <c r="AP201" s="26">
        <v>0</v>
      </c>
      <c r="AQ201" s="26">
        <f t="shared" si="43"/>
        <v>800</v>
      </c>
      <c r="AR201" s="18" t="str">
        <f ca="1">CONCATENATE(OFFSET(Sheet1!$A$2,RANDBETWEEN(2,500),0,1,1),OFFSET(Sheet1!$A$2,RANDBETWEEN(2,500),RANDBETWEEN(1,5),1,1))</f>
        <v>欧文玛丽安</v>
      </c>
      <c r="AS201">
        <f>SUMPRODUCT(P201:AI201,Sheet2!$B$3:$U$3)</f>
        <v>448554</v>
      </c>
    </row>
    <row r="202" spans="1:45" x14ac:dyDescent="0.15">
      <c r="A202" s="23">
        <v>201</v>
      </c>
      <c r="B202" s="18" t="s">
        <v>477</v>
      </c>
      <c r="C202" s="18">
        <f t="shared" si="33"/>
        <v>220</v>
      </c>
      <c r="D202" s="19">
        <f t="shared" si="34"/>
        <v>3</v>
      </c>
      <c r="E202" s="19">
        <f>VLOOKUP(MOD(A202,4),各职业基础配置!C$32:D$35,2,FALSE)</f>
        <v>3</v>
      </c>
      <c r="F202" s="19">
        <f>IF(A202&lt;900,INDEX(各职业基础配置!C$23:C$28,MOD(ROW(A202),4)+1),0)</f>
        <v>14</v>
      </c>
      <c r="G202" s="19">
        <f t="shared" si="35"/>
        <v>116</v>
      </c>
      <c r="H202" s="27">
        <f t="shared" si="36"/>
        <v>2</v>
      </c>
      <c r="I202" s="6" t="s">
        <v>164</v>
      </c>
      <c r="J202" s="23" t="str">
        <f>VLOOKUP(E202,各职业基础配置!$B$9:$C$12,2,FALSE)</f>
        <v>106|107|108|4201|110</v>
      </c>
      <c r="K202" s="18" t="str">
        <f>VLOOKUP(E202,各职业基础配置!$B$15:$C$18,2,FALSE)</f>
        <v>20|21|22|23</v>
      </c>
      <c r="L202" s="18" t="str">
        <f>VLOOKUP(E202,各职业基础配置!B:C,2,FALSE)</f>
        <v>[{20,1,1},{21,1,1},{22,1,1},{23,1,1},{4,1,1},{5,1,1},{6,1,1}]</v>
      </c>
      <c r="M202" s="18">
        <v>0</v>
      </c>
      <c r="N202" s="18">
        <f t="shared" si="37"/>
        <v>7</v>
      </c>
      <c r="O202" s="18">
        <f>SUMPRODUCT(P202:AI202,Sheet2!$B$3:$U$3)</f>
        <v>448529</v>
      </c>
      <c r="P202" s="18">
        <f>CEILING(INDEX([1]系统模型!$VD:$VD,MATCH(C202,[1]系统模型!$A:$A,0))*POWER(C202/220,3.8)-50+(1000-A202),1)</f>
        <v>9370</v>
      </c>
      <c r="Q202" s="18">
        <f>CEILING(INDEX([1]系统模型!$VE:$VE,MATCH(C202,[1]系统模型!$A:$A,0))*POWER(C202/220,4),1)</f>
        <v>1735</v>
      </c>
      <c r="R202" s="18">
        <f>INT(INDEX([1]系统模型!$VF:$VF,MATCH(C202,[1]系统模型!$A:$A,0))*MAX(POWER(C202/180,4),0.5))</f>
        <v>100804</v>
      </c>
      <c r="S202" s="5">
        <v>1000</v>
      </c>
      <c r="T202" s="25">
        <v>0</v>
      </c>
      <c r="U202" s="25">
        <v>0</v>
      </c>
      <c r="V202" s="25">
        <v>0</v>
      </c>
      <c r="W202" s="25">
        <v>0</v>
      </c>
      <c r="X202" s="25">
        <f t="shared" si="38"/>
        <v>5040</v>
      </c>
      <c r="Y202" s="12">
        <v>0</v>
      </c>
      <c r="Z202" s="25">
        <v>100</v>
      </c>
      <c r="AA202" s="25">
        <v>150</v>
      </c>
      <c r="AB202" s="25">
        <v>0</v>
      </c>
      <c r="AC202" s="25">
        <v>0</v>
      </c>
      <c r="AD202" s="25">
        <v>0</v>
      </c>
      <c r="AE202" s="25">
        <f t="shared" si="39"/>
        <v>440</v>
      </c>
      <c r="AF202" s="25">
        <f t="shared" si="40"/>
        <v>440</v>
      </c>
      <c r="AG202" s="25">
        <v>0</v>
      </c>
      <c r="AH202" s="25">
        <f t="shared" si="41"/>
        <v>7750</v>
      </c>
      <c r="AI202" s="25">
        <f t="shared" si="42"/>
        <v>124</v>
      </c>
      <c r="AJ202" s="25">
        <v>1</v>
      </c>
      <c r="AK202" s="25">
        <v>1000</v>
      </c>
      <c r="AL202" s="25">
        <v>100</v>
      </c>
      <c r="AM202" s="26">
        <v>10</v>
      </c>
      <c r="AN202" s="26">
        <v>10</v>
      </c>
      <c r="AO202" s="22" t="s">
        <v>2211</v>
      </c>
      <c r="AP202" s="26">
        <v>0</v>
      </c>
      <c r="AQ202" s="26">
        <f t="shared" si="43"/>
        <v>800</v>
      </c>
      <c r="AR202" s="18" t="str">
        <f ca="1">CONCATENATE(OFFSET(Sheet1!$A$2,RANDBETWEEN(2,500),0,1,1),OFFSET(Sheet1!$A$2,RANDBETWEEN(2,500),RANDBETWEEN(1,5),1,1))</f>
        <v>格雷汉姆茉伊拉</v>
      </c>
      <c r="AS202">
        <f>SUMPRODUCT(P202:AI202,Sheet2!$B$3:$U$3)</f>
        <v>448529</v>
      </c>
    </row>
    <row r="203" spans="1:45" x14ac:dyDescent="0.15">
      <c r="A203" s="18">
        <v>202</v>
      </c>
      <c r="B203" s="18" t="s">
        <v>578</v>
      </c>
      <c r="C203" s="18">
        <f t="shared" si="33"/>
        <v>220</v>
      </c>
      <c r="D203" s="19">
        <f t="shared" si="34"/>
        <v>2</v>
      </c>
      <c r="E203" s="19">
        <f>VLOOKUP(MOD(A203,4),各职业基础配置!C$32:D$35,2,FALSE)</f>
        <v>6</v>
      </c>
      <c r="F203" s="19">
        <f>IF(A203&lt;900,INDEX(各职业基础配置!C$23:C$28,MOD(ROW(A203),4)+1),0)</f>
        <v>16</v>
      </c>
      <c r="G203" s="19">
        <f t="shared" si="35"/>
        <v>116</v>
      </c>
      <c r="H203" s="27">
        <f t="shared" si="36"/>
        <v>2</v>
      </c>
      <c r="I203" s="6" t="s">
        <v>164</v>
      </c>
      <c r="J203" s="23" t="str">
        <f>VLOOKUP(E203,各职业基础配置!$B$9:$C$12,2,FALSE)</f>
        <v>111|112|113|4201|115</v>
      </c>
      <c r="K203" s="18" t="str">
        <f>VLOOKUP(E203,各职业基础配置!$B$15:$C$18,2,FALSE)</f>
        <v>32|33|34</v>
      </c>
      <c r="L203" s="18" t="str">
        <f>VLOOKUP(E203,各职业基础配置!B:C,2,FALSE)</f>
        <v>[{32,1,1},{33,1,1},{34,1,1},{35,1,1},{7,1,1},{8,1,1},{9,1,1}]</v>
      </c>
      <c r="M203" s="18">
        <v>0</v>
      </c>
      <c r="N203" s="18">
        <f t="shared" si="37"/>
        <v>7</v>
      </c>
      <c r="O203" s="18">
        <f>SUMPRODUCT(P203:AI203,Sheet2!$B$3:$U$3)</f>
        <v>448504</v>
      </c>
      <c r="P203" s="18">
        <f>CEILING(INDEX([1]系统模型!$VD:$VD,MATCH(C203,[1]系统模型!$A:$A,0))*POWER(C203/220,3.8)-50+(1000-A203),1)</f>
        <v>9369</v>
      </c>
      <c r="Q203" s="18">
        <f>CEILING(INDEX([1]系统模型!$VE:$VE,MATCH(C203,[1]系统模型!$A:$A,0))*POWER(C203/220,4),1)</f>
        <v>1735</v>
      </c>
      <c r="R203" s="18">
        <f>INT(INDEX([1]系统模型!$VF:$VF,MATCH(C203,[1]系统模型!$A:$A,0))*MAX(POWER(C203/180,4),0.5))</f>
        <v>100804</v>
      </c>
      <c r="S203" s="5">
        <v>1000</v>
      </c>
      <c r="T203" s="25">
        <v>0</v>
      </c>
      <c r="U203" s="25">
        <v>0</v>
      </c>
      <c r="V203" s="25">
        <v>0</v>
      </c>
      <c r="W203" s="25">
        <v>0</v>
      </c>
      <c r="X203" s="25">
        <f t="shared" si="38"/>
        <v>5040</v>
      </c>
      <c r="Y203" s="12">
        <v>0</v>
      </c>
      <c r="Z203" s="25">
        <v>100</v>
      </c>
      <c r="AA203" s="25">
        <v>150</v>
      </c>
      <c r="AB203" s="25">
        <v>0</v>
      </c>
      <c r="AC203" s="25">
        <v>0</v>
      </c>
      <c r="AD203" s="25">
        <v>0</v>
      </c>
      <c r="AE203" s="25">
        <f t="shared" si="39"/>
        <v>440</v>
      </c>
      <c r="AF203" s="25">
        <f t="shared" si="40"/>
        <v>440</v>
      </c>
      <c r="AG203" s="25">
        <v>0</v>
      </c>
      <c r="AH203" s="25">
        <f t="shared" si="41"/>
        <v>7750</v>
      </c>
      <c r="AI203" s="25">
        <f t="shared" si="42"/>
        <v>124</v>
      </c>
      <c r="AJ203" s="25">
        <v>1</v>
      </c>
      <c r="AK203" s="25">
        <v>1000</v>
      </c>
      <c r="AL203" s="25">
        <v>100</v>
      </c>
      <c r="AM203" s="26">
        <v>10</v>
      </c>
      <c r="AN203" s="26">
        <v>10</v>
      </c>
      <c r="AO203" s="22" t="s">
        <v>2211</v>
      </c>
      <c r="AP203" s="26">
        <v>0</v>
      </c>
      <c r="AQ203" s="26">
        <f t="shared" si="43"/>
        <v>800</v>
      </c>
      <c r="AR203" s="18" t="str">
        <f ca="1">CONCATENATE(OFFSET(Sheet1!$A$2,RANDBETWEEN(2,500),0,1,1),OFFSET(Sheet1!$A$2,RANDBETWEEN(2,500),RANDBETWEEN(1,5),1,1))</f>
        <v>戈尔德</v>
      </c>
      <c r="AS203">
        <f>SUMPRODUCT(P203:AI203,Sheet2!$B$3:$U$3)</f>
        <v>448504</v>
      </c>
    </row>
    <row r="204" spans="1:45" x14ac:dyDescent="0.15">
      <c r="A204" s="18">
        <v>203</v>
      </c>
      <c r="B204" s="18" t="s">
        <v>1916</v>
      </c>
      <c r="C204" s="18">
        <f t="shared" si="33"/>
        <v>219</v>
      </c>
      <c r="D204" s="19">
        <f t="shared" si="34"/>
        <v>3</v>
      </c>
      <c r="E204" s="19">
        <f>VLOOKUP(MOD(A204,4),各职业基础配置!C$32:D$35,2,FALSE)</f>
        <v>9</v>
      </c>
      <c r="F204" s="19">
        <f>IF(A204&lt;900,INDEX(各职业基础配置!C$23:C$28,MOD(ROW(A204),4)+1),0)</f>
        <v>8</v>
      </c>
      <c r="G204" s="19">
        <f t="shared" si="35"/>
        <v>112</v>
      </c>
      <c r="H204" s="27">
        <f t="shared" si="36"/>
        <v>2</v>
      </c>
      <c r="I204" s="6" t="s">
        <v>164</v>
      </c>
      <c r="J204" s="23" t="str">
        <f>VLOOKUP(E204,各职业基础配置!$B$9:$C$12,2,FALSE)</f>
        <v>116|117|118|4201|120</v>
      </c>
      <c r="K204" s="18" t="str">
        <f>VLOOKUP(E204,各职业基础配置!$B$15:$C$18,2,FALSE)</f>
        <v>28|29|30|31</v>
      </c>
      <c r="L204" s="18" t="str">
        <f>VLOOKUP(E204,各职业基础配置!B:C,2,FALSE)</f>
        <v>[{28,1,1},{29,1,1},{30,1,1},{31,1,1},{10,1,1},{11,1,1},{12,1,1}]</v>
      </c>
      <c r="M204" s="18">
        <v>0</v>
      </c>
      <c r="N204" s="18">
        <f t="shared" si="37"/>
        <v>3</v>
      </c>
      <c r="O204" s="18">
        <f>SUMPRODUCT(P204:AI204,Sheet2!$B$3:$U$3)</f>
        <v>438002</v>
      </c>
      <c r="P204" s="18">
        <f>CEILING(INDEX([1]系统模型!$VD:$VD,MATCH(C204,[1]系统模型!$A:$A,0))*POWER(C204/220,3.8)-50+(1000-A204),1)</f>
        <v>9165</v>
      </c>
      <c r="Q204" s="18">
        <f>CEILING(INDEX([1]系统模型!$VE:$VE,MATCH(C204,[1]系统模型!$A:$A,0))*POWER(C204/220,4),1)</f>
        <v>1674</v>
      </c>
      <c r="R204" s="18">
        <f>INT(INDEX([1]系统模型!$VF:$VF,MATCH(C204,[1]系统模型!$A:$A,0))*MAX(POWER(C204/180,4),0.5))</f>
        <v>97452</v>
      </c>
      <c r="S204" s="5">
        <v>1000</v>
      </c>
      <c r="T204" s="25">
        <v>0</v>
      </c>
      <c r="U204" s="25">
        <v>0</v>
      </c>
      <c r="V204" s="25">
        <v>0</v>
      </c>
      <c r="W204" s="25">
        <v>0</v>
      </c>
      <c r="X204" s="25">
        <f t="shared" si="38"/>
        <v>4872</v>
      </c>
      <c r="Y204" s="12">
        <v>0</v>
      </c>
      <c r="Z204" s="25">
        <v>100</v>
      </c>
      <c r="AA204" s="25">
        <v>150</v>
      </c>
      <c r="AB204" s="25">
        <v>0</v>
      </c>
      <c r="AC204" s="25">
        <v>0</v>
      </c>
      <c r="AD204" s="25">
        <v>0</v>
      </c>
      <c r="AE204" s="25">
        <f t="shared" si="39"/>
        <v>438</v>
      </c>
      <c r="AF204" s="25">
        <f t="shared" si="40"/>
        <v>438</v>
      </c>
      <c r="AG204" s="25">
        <v>0</v>
      </c>
      <c r="AH204" s="25">
        <f t="shared" si="41"/>
        <v>7675</v>
      </c>
      <c r="AI204" s="25">
        <f t="shared" si="42"/>
        <v>122</v>
      </c>
      <c r="AJ204" s="25">
        <v>1</v>
      </c>
      <c r="AK204" s="25">
        <v>1000</v>
      </c>
      <c r="AL204" s="25">
        <v>100</v>
      </c>
      <c r="AM204" s="26">
        <v>10</v>
      </c>
      <c r="AN204" s="26">
        <v>10</v>
      </c>
      <c r="AO204" s="22" t="s">
        <v>2211</v>
      </c>
      <c r="AP204" s="26">
        <v>0</v>
      </c>
      <c r="AQ204" s="26">
        <f t="shared" si="43"/>
        <v>800</v>
      </c>
      <c r="AR204" s="18" t="str">
        <f ca="1">CONCATENATE(OFFSET(Sheet1!$A$2,RANDBETWEEN(2,500),0,1,1),OFFSET(Sheet1!$A$2,RANDBETWEEN(2,500),RANDBETWEEN(1,5),1,1))</f>
        <v>贝色麦奥丽薇亚</v>
      </c>
      <c r="AS204">
        <f>SUMPRODUCT(P204:AI204,Sheet2!$B$3:$U$3)</f>
        <v>438002</v>
      </c>
    </row>
    <row r="205" spans="1:45" x14ac:dyDescent="0.15">
      <c r="A205" s="23">
        <v>204</v>
      </c>
      <c r="B205" s="18" t="s">
        <v>1057</v>
      </c>
      <c r="C205" s="18">
        <f t="shared" si="33"/>
        <v>219</v>
      </c>
      <c r="D205" s="19">
        <f t="shared" si="34"/>
        <v>2</v>
      </c>
      <c r="E205" s="19">
        <f>VLOOKUP(MOD(A205,4),各职业基础配置!C$32:D$35,2,FALSE)</f>
        <v>1</v>
      </c>
      <c r="F205" s="19">
        <f>IF(A205&lt;900,INDEX(各职业基础配置!C$23:C$28,MOD(ROW(A205),4)+1),0)</f>
        <v>13</v>
      </c>
      <c r="G205" s="19">
        <f t="shared" si="35"/>
        <v>112</v>
      </c>
      <c r="H205" s="27">
        <f t="shared" si="36"/>
        <v>2</v>
      </c>
      <c r="I205" s="6" t="s">
        <v>164</v>
      </c>
      <c r="J205" s="23" t="str">
        <f>VLOOKUP(E205,各职业基础配置!$B$9:$C$12,2,FALSE)</f>
        <v>101|102|103|4201|105</v>
      </c>
      <c r="K205" s="18" t="str">
        <f>VLOOKUP(E205,各职业基础配置!$B$15:$C$18,2,FALSE)</f>
        <v>24|25|26|27</v>
      </c>
      <c r="L205" s="18" t="str">
        <f>VLOOKUP(E205,各职业基础配置!B:C,2,FALSE)</f>
        <v>[{24,1,1},{25,1,1},{26,1,1},{27,1,1},{1,1,1},{2,1,1},{3,1,1}]</v>
      </c>
      <c r="M205" s="18">
        <v>0</v>
      </c>
      <c r="N205" s="18">
        <f t="shared" si="37"/>
        <v>3</v>
      </c>
      <c r="O205" s="18">
        <f>SUMPRODUCT(P205:AI205,Sheet2!$B$3:$U$3)</f>
        <v>437977</v>
      </c>
      <c r="P205" s="18">
        <f>CEILING(INDEX([1]系统模型!$VD:$VD,MATCH(C205,[1]系统模型!$A:$A,0))*POWER(C205/220,3.8)-50+(1000-A205),1)</f>
        <v>9164</v>
      </c>
      <c r="Q205" s="18">
        <f>CEILING(INDEX([1]系统模型!$VE:$VE,MATCH(C205,[1]系统模型!$A:$A,0))*POWER(C205/220,4),1)</f>
        <v>1674</v>
      </c>
      <c r="R205" s="18">
        <f>INT(INDEX([1]系统模型!$VF:$VF,MATCH(C205,[1]系统模型!$A:$A,0))*MAX(POWER(C205/180,4),0.5))</f>
        <v>97452</v>
      </c>
      <c r="S205" s="5">
        <v>1000</v>
      </c>
      <c r="T205" s="25">
        <v>0</v>
      </c>
      <c r="U205" s="25">
        <v>0</v>
      </c>
      <c r="V205" s="25">
        <v>0</v>
      </c>
      <c r="W205" s="25">
        <v>0</v>
      </c>
      <c r="X205" s="25">
        <f t="shared" si="38"/>
        <v>4872</v>
      </c>
      <c r="Y205" s="12">
        <v>0</v>
      </c>
      <c r="Z205" s="25">
        <v>100</v>
      </c>
      <c r="AA205" s="25">
        <v>150</v>
      </c>
      <c r="AB205" s="25">
        <v>0</v>
      </c>
      <c r="AC205" s="25">
        <v>0</v>
      </c>
      <c r="AD205" s="25">
        <v>0</v>
      </c>
      <c r="AE205" s="25">
        <f t="shared" si="39"/>
        <v>438</v>
      </c>
      <c r="AF205" s="25">
        <f t="shared" si="40"/>
        <v>438</v>
      </c>
      <c r="AG205" s="25">
        <v>0</v>
      </c>
      <c r="AH205" s="25">
        <f t="shared" si="41"/>
        <v>7675</v>
      </c>
      <c r="AI205" s="25">
        <f t="shared" si="42"/>
        <v>122</v>
      </c>
      <c r="AJ205" s="25">
        <v>1</v>
      </c>
      <c r="AK205" s="25">
        <v>1000</v>
      </c>
      <c r="AL205" s="25">
        <v>100</v>
      </c>
      <c r="AM205" s="26">
        <v>10</v>
      </c>
      <c r="AN205" s="26">
        <v>10</v>
      </c>
      <c r="AO205" s="22" t="s">
        <v>2211</v>
      </c>
      <c r="AP205" s="26">
        <v>0</v>
      </c>
      <c r="AQ205" s="26">
        <f t="shared" si="43"/>
        <v>800</v>
      </c>
      <c r="AR205" s="18" t="str">
        <f ca="1">CONCATENATE(OFFSET(Sheet1!$A$2,RANDBETWEEN(2,500),0,1,1),OFFSET(Sheet1!$A$2,RANDBETWEEN(2,500),RANDBETWEEN(1,5),1,1))</f>
        <v>尤金</v>
      </c>
      <c r="AS205">
        <f>SUMPRODUCT(P205:AI205,Sheet2!$B$3:$U$3)</f>
        <v>437977</v>
      </c>
    </row>
    <row r="206" spans="1:45" x14ac:dyDescent="0.15">
      <c r="A206" s="18">
        <v>205</v>
      </c>
      <c r="B206" s="18" t="s">
        <v>421</v>
      </c>
      <c r="C206" s="18">
        <f t="shared" si="33"/>
        <v>219</v>
      </c>
      <c r="D206" s="19">
        <f t="shared" si="34"/>
        <v>3</v>
      </c>
      <c r="E206" s="19">
        <f>VLOOKUP(MOD(A206,4),各职业基础配置!C$32:D$35,2,FALSE)</f>
        <v>3</v>
      </c>
      <c r="F206" s="19">
        <f>IF(A206&lt;900,INDEX(各职业基础配置!C$23:C$28,MOD(ROW(A206),4)+1),0)</f>
        <v>14</v>
      </c>
      <c r="G206" s="19">
        <f t="shared" si="35"/>
        <v>112</v>
      </c>
      <c r="H206" s="27">
        <f t="shared" si="36"/>
        <v>2</v>
      </c>
      <c r="I206" s="6" t="s">
        <v>164</v>
      </c>
      <c r="J206" s="23" t="str">
        <f>VLOOKUP(E206,各职业基础配置!$B$9:$C$12,2,FALSE)</f>
        <v>106|107|108|4201|110</v>
      </c>
      <c r="K206" s="18" t="str">
        <f>VLOOKUP(E206,各职业基础配置!$B$15:$C$18,2,FALSE)</f>
        <v>20|21|22|23</v>
      </c>
      <c r="L206" s="18" t="str">
        <f>VLOOKUP(E206,各职业基础配置!B:C,2,FALSE)</f>
        <v>[{20,1,1},{21,1,1},{22,1,1},{23,1,1},{4,1,1},{5,1,1},{6,1,1}]</v>
      </c>
      <c r="M206" s="18">
        <v>0</v>
      </c>
      <c r="N206" s="18">
        <f t="shared" si="37"/>
        <v>7</v>
      </c>
      <c r="O206" s="18">
        <f>SUMPRODUCT(P206:AI206,Sheet2!$B$3:$U$3)</f>
        <v>437952</v>
      </c>
      <c r="P206" s="18">
        <f>CEILING(INDEX([1]系统模型!$VD:$VD,MATCH(C206,[1]系统模型!$A:$A,0))*POWER(C206/220,3.8)-50+(1000-A206),1)</f>
        <v>9163</v>
      </c>
      <c r="Q206" s="18">
        <f>CEILING(INDEX([1]系统模型!$VE:$VE,MATCH(C206,[1]系统模型!$A:$A,0))*POWER(C206/220,4),1)</f>
        <v>1674</v>
      </c>
      <c r="R206" s="18">
        <f>INT(INDEX([1]系统模型!$VF:$VF,MATCH(C206,[1]系统模型!$A:$A,0))*MAX(POWER(C206/180,4),0.5))</f>
        <v>97452</v>
      </c>
      <c r="S206" s="5">
        <v>1000</v>
      </c>
      <c r="T206" s="25">
        <v>0</v>
      </c>
      <c r="U206" s="25">
        <v>0</v>
      </c>
      <c r="V206" s="25">
        <v>0</v>
      </c>
      <c r="W206" s="25">
        <v>0</v>
      </c>
      <c r="X206" s="25">
        <f t="shared" si="38"/>
        <v>4872</v>
      </c>
      <c r="Y206" s="12">
        <v>0</v>
      </c>
      <c r="Z206" s="25">
        <v>100</v>
      </c>
      <c r="AA206" s="25">
        <v>150</v>
      </c>
      <c r="AB206" s="25">
        <v>0</v>
      </c>
      <c r="AC206" s="25">
        <v>0</v>
      </c>
      <c r="AD206" s="25">
        <v>0</v>
      </c>
      <c r="AE206" s="25">
        <f t="shared" si="39"/>
        <v>438</v>
      </c>
      <c r="AF206" s="25">
        <f t="shared" si="40"/>
        <v>438</v>
      </c>
      <c r="AG206" s="25">
        <v>0</v>
      </c>
      <c r="AH206" s="25">
        <f t="shared" si="41"/>
        <v>7675</v>
      </c>
      <c r="AI206" s="25">
        <f t="shared" si="42"/>
        <v>122</v>
      </c>
      <c r="AJ206" s="25">
        <v>1</v>
      </c>
      <c r="AK206" s="25">
        <v>1000</v>
      </c>
      <c r="AL206" s="25">
        <v>100</v>
      </c>
      <c r="AM206" s="26">
        <v>10</v>
      </c>
      <c r="AN206" s="26">
        <v>10</v>
      </c>
      <c r="AO206" s="22" t="s">
        <v>2211</v>
      </c>
      <c r="AP206" s="26">
        <v>0</v>
      </c>
      <c r="AQ206" s="26">
        <f t="shared" si="43"/>
        <v>800</v>
      </c>
      <c r="AR206" s="18" t="str">
        <f ca="1">CONCATENATE(OFFSET(Sheet1!$A$2,RANDBETWEEN(2,500),0,1,1),OFFSET(Sheet1!$A$2,RANDBETWEEN(2,500),RANDBETWEEN(1,5),1,1))</f>
        <v>布鲁斯</v>
      </c>
      <c r="AS206">
        <f>SUMPRODUCT(P206:AI206,Sheet2!$B$3:$U$3)</f>
        <v>437952</v>
      </c>
    </row>
    <row r="207" spans="1:45" x14ac:dyDescent="0.15">
      <c r="A207" s="18">
        <v>206</v>
      </c>
      <c r="B207" s="18" t="s">
        <v>1917</v>
      </c>
      <c r="C207" s="18">
        <f t="shared" si="33"/>
        <v>219</v>
      </c>
      <c r="D207" s="19">
        <f t="shared" si="34"/>
        <v>2</v>
      </c>
      <c r="E207" s="19">
        <f>VLOOKUP(MOD(A207,4),各职业基础配置!C$32:D$35,2,FALSE)</f>
        <v>6</v>
      </c>
      <c r="F207" s="19">
        <f>IF(A207&lt;900,INDEX(各职业基础配置!C$23:C$28,MOD(ROW(A207),4)+1),0)</f>
        <v>16</v>
      </c>
      <c r="G207" s="19">
        <f t="shared" si="35"/>
        <v>112</v>
      </c>
      <c r="H207" s="27">
        <f t="shared" si="36"/>
        <v>2</v>
      </c>
      <c r="I207" s="6" t="s">
        <v>164</v>
      </c>
      <c r="J207" s="23" t="str">
        <f>VLOOKUP(E207,各职业基础配置!$B$9:$C$12,2,FALSE)</f>
        <v>111|112|113|4201|115</v>
      </c>
      <c r="K207" s="18" t="str">
        <f>VLOOKUP(E207,各职业基础配置!$B$15:$C$18,2,FALSE)</f>
        <v>32|33|34</v>
      </c>
      <c r="L207" s="18" t="str">
        <f>VLOOKUP(E207,各职业基础配置!B:C,2,FALSE)</f>
        <v>[{32,1,1},{33,1,1},{34,1,1},{35,1,1},{7,1,1},{8,1,1},{9,1,1}]</v>
      </c>
      <c r="M207" s="18">
        <v>0</v>
      </c>
      <c r="N207" s="18">
        <f t="shared" si="37"/>
        <v>7</v>
      </c>
      <c r="O207" s="18">
        <f>SUMPRODUCT(P207:AI207,Sheet2!$B$3:$U$3)</f>
        <v>437927</v>
      </c>
      <c r="P207" s="18">
        <f>CEILING(INDEX([1]系统模型!$VD:$VD,MATCH(C207,[1]系统模型!$A:$A,0))*POWER(C207/220,3.8)-50+(1000-A207),1)</f>
        <v>9162</v>
      </c>
      <c r="Q207" s="18">
        <f>CEILING(INDEX([1]系统模型!$VE:$VE,MATCH(C207,[1]系统模型!$A:$A,0))*POWER(C207/220,4),1)</f>
        <v>1674</v>
      </c>
      <c r="R207" s="18">
        <f>INT(INDEX([1]系统模型!$VF:$VF,MATCH(C207,[1]系统模型!$A:$A,0))*MAX(POWER(C207/180,4),0.5))</f>
        <v>97452</v>
      </c>
      <c r="S207" s="5">
        <v>1000</v>
      </c>
      <c r="T207" s="25">
        <v>0</v>
      </c>
      <c r="U207" s="25">
        <v>0</v>
      </c>
      <c r="V207" s="25">
        <v>0</v>
      </c>
      <c r="W207" s="25">
        <v>0</v>
      </c>
      <c r="X207" s="25">
        <f t="shared" si="38"/>
        <v>4872</v>
      </c>
      <c r="Y207" s="12">
        <v>0</v>
      </c>
      <c r="Z207" s="25">
        <v>100</v>
      </c>
      <c r="AA207" s="25">
        <v>150</v>
      </c>
      <c r="AB207" s="25">
        <v>0</v>
      </c>
      <c r="AC207" s="25">
        <v>0</v>
      </c>
      <c r="AD207" s="25">
        <v>0</v>
      </c>
      <c r="AE207" s="25">
        <f t="shared" si="39"/>
        <v>438</v>
      </c>
      <c r="AF207" s="25">
        <f t="shared" si="40"/>
        <v>438</v>
      </c>
      <c r="AG207" s="25">
        <v>0</v>
      </c>
      <c r="AH207" s="25">
        <f t="shared" si="41"/>
        <v>7675</v>
      </c>
      <c r="AI207" s="25">
        <f t="shared" si="42"/>
        <v>122</v>
      </c>
      <c r="AJ207" s="25">
        <v>1</v>
      </c>
      <c r="AK207" s="25">
        <v>1000</v>
      </c>
      <c r="AL207" s="25">
        <v>100</v>
      </c>
      <c r="AM207" s="26">
        <v>10</v>
      </c>
      <c r="AN207" s="26">
        <v>10</v>
      </c>
      <c r="AO207" s="22" t="s">
        <v>2211</v>
      </c>
      <c r="AP207" s="26">
        <v>0</v>
      </c>
      <c r="AQ207" s="26">
        <f t="shared" si="43"/>
        <v>790</v>
      </c>
      <c r="AR207" s="18" t="str">
        <f ca="1">CONCATENATE(OFFSET(Sheet1!$A$2,RANDBETWEEN(2,500),0,1,1),OFFSET(Sheet1!$A$2,RANDBETWEEN(2,500),RANDBETWEEN(1,5),1,1))</f>
        <v>福克纳</v>
      </c>
      <c r="AS207">
        <f>SUMPRODUCT(P207:AI207,Sheet2!$B$3:$U$3)</f>
        <v>437927</v>
      </c>
    </row>
    <row r="208" spans="1:45" x14ac:dyDescent="0.15">
      <c r="A208" s="23">
        <v>207</v>
      </c>
      <c r="B208" s="18" t="s">
        <v>1075</v>
      </c>
      <c r="C208" s="18">
        <f t="shared" si="33"/>
        <v>219</v>
      </c>
      <c r="D208" s="19">
        <f t="shared" si="34"/>
        <v>3</v>
      </c>
      <c r="E208" s="19">
        <f>VLOOKUP(MOD(A208,4),各职业基础配置!C$32:D$35,2,FALSE)</f>
        <v>9</v>
      </c>
      <c r="F208" s="19">
        <f>IF(A208&lt;900,INDEX(各职业基础配置!C$23:C$28,MOD(ROW(A208),4)+1),0)</f>
        <v>8</v>
      </c>
      <c r="G208" s="19">
        <f t="shared" si="35"/>
        <v>112</v>
      </c>
      <c r="H208" s="27">
        <f t="shared" si="36"/>
        <v>2</v>
      </c>
      <c r="I208" s="6" t="s">
        <v>164</v>
      </c>
      <c r="J208" s="23" t="str">
        <f>VLOOKUP(E208,各职业基础配置!$B$9:$C$12,2,FALSE)</f>
        <v>116|117|118|4201|120</v>
      </c>
      <c r="K208" s="18" t="str">
        <f>VLOOKUP(E208,各职业基础配置!$B$15:$C$18,2,FALSE)</f>
        <v>28|29|30|31</v>
      </c>
      <c r="L208" s="18" t="str">
        <f>VLOOKUP(E208,各职业基础配置!B:C,2,FALSE)</f>
        <v>[{28,1,1},{29,1,1},{30,1,1},{31,1,1},{10,1,1},{11,1,1},{12,1,1}]</v>
      </c>
      <c r="M208" s="18">
        <v>0</v>
      </c>
      <c r="N208" s="18">
        <f t="shared" si="37"/>
        <v>3</v>
      </c>
      <c r="O208" s="18">
        <f>SUMPRODUCT(P208:AI208,Sheet2!$B$3:$U$3)</f>
        <v>437902</v>
      </c>
      <c r="P208" s="18">
        <f>CEILING(INDEX([1]系统模型!$VD:$VD,MATCH(C208,[1]系统模型!$A:$A,0))*POWER(C208/220,3.8)-50+(1000-A208),1)</f>
        <v>9161</v>
      </c>
      <c r="Q208" s="18">
        <f>CEILING(INDEX([1]系统模型!$VE:$VE,MATCH(C208,[1]系统模型!$A:$A,0))*POWER(C208/220,4),1)</f>
        <v>1674</v>
      </c>
      <c r="R208" s="18">
        <f>INT(INDEX([1]系统模型!$VF:$VF,MATCH(C208,[1]系统模型!$A:$A,0))*MAX(POWER(C208/180,4),0.5))</f>
        <v>97452</v>
      </c>
      <c r="S208" s="5">
        <v>1000</v>
      </c>
      <c r="T208" s="25">
        <v>0</v>
      </c>
      <c r="U208" s="25">
        <v>0</v>
      </c>
      <c r="V208" s="25">
        <v>0</v>
      </c>
      <c r="W208" s="25">
        <v>0</v>
      </c>
      <c r="X208" s="25">
        <f t="shared" si="38"/>
        <v>4872</v>
      </c>
      <c r="Y208" s="12">
        <v>0</v>
      </c>
      <c r="Z208" s="25">
        <v>100</v>
      </c>
      <c r="AA208" s="25">
        <v>150</v>
      </c>
      <c r="AB208" s="25">
        <v>0</v>
      </c>
      <c r="AC208" s="25">
        <v>0</v>
      </c>
      <c r="AD208" s="25">
        <v>0</v>
      </c>
      <c r="AE208" s="25">
        <f t="shared" si="39"/>
        <v>438</v>
      </c>
      <c r="AF208" s="25">
        <f t="shared" si="40"/>
        <v>438</v>
      </c>
      <c r="AG208" s="25">
        <v>0</v>
      </c>
      <c r="AH208" s="25">
        <f t="shared" si="41"/>
        <v>7675</v>
      </c>
      <c r="AI208" s="25">
        <f t="shared" si="42"/>
        <v>122</v>
      </c>
      <c r="AJ208" s="25">
        <v>1</v>
      </c>
      <c r="AK208" s="25">
        <v>1000</v>
      </c>
      <c r="AL208" s="25">
        <v>100</v>
      </c>
      <c r="AM208" s="26">
        <v>10</v>
      </c>
      <c r="AN208" s="26">
        <v>10</v>
      </c>
      <c r="AO208" s="22" t="s">
        <v>2211</v>
      </c>
      <c r="AP208" s="26">
        <v>0</v>
      </c>
      <c r="AQ208" s="26">
        <f t="shared" si="43"/>
        <v>790</v>
      </c>
      <c r="AR208" s="18" t="str">
        <f ca="1">CONCATENATE(OFFSET(Sheet1!$A$2,RANDBETWEEN(2,500),0,1,1),OFFSET(Sheet1!$A$2,RANDBETWEEN(2,500),RANDBETWEEN(1,5),1,1))</f>
        <v>贝齐金百莉</v>
      </c>
      <c r="AS208">
        <f>SUMPRODUCT(P208:AI208,Sheet2!$B$3:$U$3)</f>
        <v>437902</v>
      </c>
    </row>
    <row r="209" spans="1:45" x14ac:dyDescent="0.15">
      <c r="A209" s="18">
        <v>208</v>
      </c>
      <c r="B209" s="18" t="s">
        <v>1918</v>
      </c>
      <c r="C209" s="18">
        <f t="shared" si="33"/>
        <v>219</v>
      </c>
      <c r="D209" s="19">
        <f t="shared" si="34"/>
        <v>2</v>
      </c>
      <c r="E209" s="19">
        <f>VLOOKUP(MOD(A209,4),各职业基础配置!C$32:D$35,2,FALSE)</f>
        <v>1</v>
      </c>
      <c r="F209" s="19">
        <f>IF(A209&lt;900,INDEX(各职业基础配置!C$23:C$28,MOD(ROW(A209),4)+1),0)</f>
        <v>13</v>
      </c>
      <c r="G209" s="19">
        <f t="shared" si="35"/>
        <v>112</v>
      </c>
      <c r="H209" s="27">
        <f t="shared" si="36"/>
        <v>2</v>
      </c>
      <c r="I209" s="6" t="s">
        <v>164</v>
      </c>
      <c r="J209" s="23" t="str">
        <f>VLOOKUP(E209,各职业基础配置!$B$9:$C$12,2,FALSE)</f>
        <v>101|102|103|4201|105</v>
      </c>
      <c r="K209" s="18" t="str">
        <f>VLOOKUP(E209,各职业基础配置!$B$15:$C$18,2,FALSE)</f>
        <v>24|25|26|27</v>
      </c>
      <c r="L209" s="18" t="str">
        <f>VLOOKUP(E209,各职业基础配置!B:C,2,FALSE)</f>
        <v>[{24,1,1},{25,1,1},{26,1,1},{27,1,1},{1,1,1},{2,1,1},{3,1,1}]</v>
      </c>
      <c r="M209" s="18">
        <v>0</v>
      </c>
      <c r="N209" s="18">
        <f t="shared" si="37"/>
        <v>3</v>
      </c>
      <c r="O209" s="18">
        <f>SUMPRODUCT(P209:AI209,Sheet2!$B$3:$U$3)</f>
        <v>437877</v>
      </c>
      <c r="P209" s="18">
        <f>CEILING(INDEX([1]系统模型!$VD:$VD,MATCH(C209,[1]系统模型!$A:$A,0))*POWER(C209/220,3.8)-50+(1000-A209),1)</f>
        <v>9160</v>
      </c>
      <c r="Q209" s="18">
        <f>CEILING(INDEX([1]系统模型!$VE:$VE,MATCH(C209,[1]系统模型!$A:$A,0))*POWER(C209/220,4),1)</f>
        <v>1674</v>
      </c>
      <c r="R209" s="18">
        <f>INT(INDEX([1]系统模型!$VF:$VF,MATCH(C209,[1]系统模型!$A:$A,0))*MAX(POWER(C209/180,4),0.5))</f>
        <v>97452</v>
      </c>
      <c r="S209" s="5">
        <v>1000</v>
      </c>
      <c r="T209" s="25">
        <v>0</v>
      </c>
      <c r="U209" s="25">
        <v>0</v>
      </c>
      <c r="V209" s="25">
        <v>0</v>
      </c>
      <c r="W209" s="25">
        <v>0</v>
      </c>
      <c r="X209" s="25">
        <f t="shared" si="38"/>
        <v>4872</v>
      </c>
      <c r="Y209" s="12">
        <v>0</v>
      </c>
      <c r="Z209" s="25">
        <v>100</v>
      </c>
      <c r="AA209" s="25">
        <v>150</v>
      </c>
      <c r="AB209" s="25">
        <v>0</v>
      </c>
      <c r="AC209" s="25">
        <v>0</v>
      </c>
      <c r="AD209" s="25">
        <v>0</v>
      </c>
      <c r="AE209" s="25">
        <f t="shared" si="39"/>
        <v>438</v>
      </c>
      <c r="AF209" s="25">
        <f t="shared" si="40"/>
        <v>438</v>
      </c>
      <c r="AG209" s="25">
        <v>0</v>
      </c>
      <c r="AH209" s="25">
        <f t="shared" si="41"/>
        <v>7675</v>
      </c>
      <c r="AI209" s="25">
        <f t="shared" si="42"/>
        <v>122</v>
      </c>
      <c r="AJ209" s="25">
        <v>1</v>
      </c>
      <c r="AK209" s="25">
        <v>1000</v>
      </c>
      <c r="AL209" s="25">
        <v>100</v>
      </c>
      <c r="AM209" s="26">
        <v>10</v>
      </c>
      <c r="AN209" s="26">
        <v>10</v>
      </c>
      <c r="AO209" s="22" t="s">
        <v>2211</v>
      </c>
      <c r="AP209" s="26">
        <v>0</v>
      </c>
      <c r="AQ209" s="26">
        <f t="shared" si="43"/>
        <v>790</v>
      </c>
      <c r="AR209" s="18" t="str">
        <f ca="1">CONCATENATE(OFFSET(Sheet1!$A$2,RANDBETWEEN(2,500),0,1,1),OFFSET(Sheet1!$A$2,RANDBETWEEN(2,500),RANDBETWEEN(1,5),1,1))</f>
        <v>艾伯特</v>
      </c>
      <c r="AS209">
        <f>SUMPRODUCT(P209:AI209,Sheet2!$B$3:$U$3)</f>
        <v>437877</v>
      </c>
    </row>
    <row r="210" spans="1:45" x14ac:dyDescent="0.15">
      <c r="A210" s="18">
        <v>209</v>
      </c>
      <c r="B210" s="18" t="s">
        <v>1919</v>
      </c>
      <c r="C210" s="18">
        <f t="shared" si="33"/>
        <v>219</v>
      </c>
      <c r="D210" s="19">
        <f t="shared" si="34"/>
        <v>3</v>
      </c>
      <c r="E210" s="19">
        <f>VLOOKUP(MOD(A210,4),各职业基础配置!C$32:D$35,2,FALSE)</f>
        <v>3</v>
      </c>
      <c r="F210" s="19">
        <f>IF(A210&lt;900,INDEX(各职业基础配置!C$23:C$28,MOD(ROW(A210),4)+1),0)</f>
        <v>14</v>
      </c>
      <c r="G210" s="19">
        <f t="shared" si="35"/>
        <v>112</v>
      </c>
      <c r="H210" s="27">
        <f t="shared" si="36"/>
        <v>2</v>
      </c>
      <c r="I210" s="6" t="s">
        <v>164</v>
      </c>
      <c r="J210" s="23" t="str">
        <f>VLOOKUP(E210,各职业基础配置!$B$9:$C$12,2,FALSE)</f>
        <v>106|107|108|4201|110</v>
      </c>
      <c r="K210" s="18" t="str">
        <f>VLOOKUP(E210,各职业基础配置!$B$15:$C$18,2,FALSE)</f>
        <v>20|21|22|23</v>
      </c>
      <c r="L210" s="18" t="str">
        <f>VLOOKUP(E210,各职业基础配置!B:C,2,FALSE)</f>
        <v>[{20,1,1},{21,1,1},{22,1,1},{23,1,1},{4,1,1},{5,1,1},{6,1,1}]</v>
      </c>
      <c r="M210" s="18">
        <v>0</v>
      </c>
      <c r="N210" s="18">
        <f t="shared" si="37"/>
        <v>7</v>
      </c>
      <c r="O210" s="18">
        <f>SUMPRODUCT(P210:AI210,Sheet2!$B$3:$U$3)</f>
        <v>437852</v>
      </c>
      <c r="P210" s="18">
        <f>CEILING(INDEX([1]系统模型!$VD:$VD,MATCH(C210,[1]系统模型!$A:$A,0))*POWER(C210/220,3.8)-50+(1000-A210),1)</f>
        <v>9159</v>
      </c>
      <c r="Q210" s="18">
        <f>CEILING(INDEX([1]系统模型!$VE:$VE,MATCH(C210,[1]系统模型!$A:$A,0))*POWER(C210/220,4),1)</f>
        <v>1674</v>
      </c>
      <c r="R210" s="18">
        <f>INT(INDEX([1]系统模型!$VF:$VF,MATCH(C210,[1]系统模型!$A:$A,0))*MAX(POWER(C210/180,4),0.5))</f>
        <v>97452</v>
      </c>
      <c r="S210" s="5">
        <v>1000</v>
      </c>
      <c r="T210" s="25">
        <v>0</v>
      </c>
      <c r="U210" s="25">
        <v>0</v>
      </c>
      <c r="V210" s="25">
        <v>0</v>
      </c>
      <c r="W210" s="25">
        <v>0</v>
      </c>
      <c r="X210" s="25">
        <f t="shared" si="38"/>
        <v>4872</v>
      </c>
      <c r="Y210" s="12">
        <v>0</v>
      </c>
      <c r="Z210" s="25">
        <v>100</v>
      </c>
      <c r="AA210" s="25">
        <v>150</v>
      </c>
      <c r="AB210" s="25">
        <v>0</v>
      </c>
      <c r="AC210" s="25">
        <v>0</v>
      </c>
      <c r="AD210" s="25">
        <v>0</v>
      </c>
      <c r="AE210" s="25">
        <f t="shared" si="39"/>
        <v>438</v>
      </c>
      <c r="AF210" s="25">
        <f t="shared" si="40"/>
        <v>438</v>
      </c>
      <c r="AG210" s="25">
        <v>0</v>
      </c>
      <c r="AH210" s="25">
        <f t="shared" si="41"/>
        <v>7675</v>
      </c>
      <c r="AI210" s="25">
        <f t="shared" si="42"/>
        <v>122</v>
      </c>
      <c r="AJ210" s="25">
        <v>1</v>
      </c>
      <c r="AK210" s="25">
        <v>1000</v>
      </c>
      <c r="AL210" s="25">
        <v>100</v>
      </c>
      <c r="AM210" s="26">
        <v>10</v>
      </c>
      <c r="AN210" s="26">
        <v>10</v>
      </c>
      <c r="AO210" s="22" t="s">
        <v>2211</v>
      </c>
      <c r="AP210" s="26">
        <v>0</v>
      </c>
      <c r="AQ210" s="26">
        <f t="shared" si="43"/>
        <v>790</v>
      </c>
      <c r="AR210" s="18" t="str">
        <f ca="1">CONCATENATE(OFFSET(Sheet1!$A$2,RANDBETWEEN(2,500),0,1,1),OFFSET(Sheet1!$A$2,RANDBETWEEN(2,500),RANDBETWEEN(1,5),1,1))</f>
        <v>艾奇逊瓦勒莉</v>
      </c>
      <c r="AS210">
        <f>SUMPRODUCT(P210:AI210,Sheet2!$B$3:$U$3)</f>
        <v>437852</v>
      </c>
    </row>
    <row r="211" spans="1:45" x14ac:dyDescent="0.15">
      <c r="A211" s="23">
        <v>210</v>
      </c>
      <c r="B211" s="18" t="s">
        <v>1362</v>
      </c>
      <c r="C211" s="18">
        <f t="shared" si="33"/>
        <v>218</v>
      </c>
      <c r="D211" s="19">
        <f t="shared" si="34"/>
        <v>2</v>
      </c>
      <c r="E211" s="19">
        <f>VLOOKUP(MOD(A211,4),各职业基础配置!C$32:D$35,2,FALSE)</f>
        <v>6</v>
      </c>
      <c r="F211" s="19">
        <f>IF(A211&lt;900,INDEX(各职业基础配置!C$23:C$28,MOD(ROW(A211),4)+1),0)</f>
        <v>16</v>
      </c>
      <c r="G211" s="19">
        <f t="shared" si="35"/>
        <v>109</v>
      </c>
      <c r="H211" s="27">
        <f t="shared" si="36"/>
        <v>2</v>
      </c>
      <c r="I211" s="6" t="s">
        <v>164</v>
      </c>
      <c r="J211" s="23" t="str">
        <f>VLOOKUP(E211,各职业基础配置!$B$9:$C$12,2,FALSE)</f>
        <v>111|112|113|4201|115</v>
      </c>
      <c r="K211" s="18" t="str">
        <f>VLOOKUP(E211,各职业基础配置!$B$15:$C$18,2,FALSE)</f>
        <v>32|33|34</v>
      </c>
      <c r="L211" s="18" t="str">
        <f>VLOOKUP(E211,各职业基础配置!B:C,2,FALSE)</f>
        <v>[{32,1,1},{33,1,1},{34,1,1},{35,1,1},{7,1,1},{8,1,1},{9,1,1}]</v>
      </c>
      <c r="M211" s="18">
        <v>0</v>
      </c>
      <c r="N211" s="18">
        <f t="shared" si="37"/>
        <v>7</v>
      </c>
      <c r="O211" s="18">
        <f>SUMPRODUCT(P211:AI211,Sheet2!$B$3:$U$3)</f>
        <v>428524</v>
      </c>
      <c r="P211" s="18">
        <f>CEILING(INDEX([1]系统模型!$VD:$VD,MATCH(C211,[1]系统模型!$A:$A,0))*POWER(C211/220,3.8)-50+(1000-A211),1)</f>
        <v>8955</v>
      </c>
      <c r="Q211" s="18">
        <f>CEILING(INDEX([1]系统模型!$VE:$VE,MATCH(C211,[1]系统模型!$A:$A,0))*POWER(C211/220,4),1)</f>
        <v>1634</v>
      </c>
      <c r="R211" s="18">
        <f>INT(INDEX([1]系统模型!$VF:$VF,MATCH(C211,[1]系统模型!$A:$A,0))*MAX(POWER(C211/180,4),0.5))</f>
        <v>94774</v>
      </c>
      <c r="S211" s="5">
        <v>1000</v>
      </c>
      <c r="T211" s="25">
        <v>0</v>
      </c>
      <c r="U211" s="25">
        <v>0</v>
      </c>
      <c r="V211" s="25">
        <v>0</v>
      </c>
      <c r="W211" s="25">
        <v>0</v>
      </c>
      <c r="X211" s="25">
        <f t="shared" si="38"/>
        <v>4738</v>
      </c>
      <c r="Y211" s="12">
        <v>0</v>
      </c>
      <c r="Z211" s="25">
        <v>100</v>
      </c>
      <c r="AA211" s="25">
        <v>150</v>
      </c>
      <c r="AB211" s="25">
        <v>0</v>
      </c>
      <c r="AC211" s="25">
        <v>0</v>
      </c>
      <c r="AD211" s="25">
        <v>0</v>
      </c>
      <c r="AE211" s="25">
        <f t="shared" si="39"/>
        <v>436</v>
      </c>
      <c r="AF211" s="25">
        <f t="shared" si="40"/>
        <v>436</v>
      </c>
      <c r="AG211" s="25">
        <v>0</v>
      </c>
      <c r="AH211" s="25">
        <f t="shared" si="41"/>
        <v>7600</v>
      </c>
      <c r="AI211" s="25">
        <f t="shared" si="42"/>
        <v>119</v>
      </c>
      <c r="AJ211" s="25">
        <v>1</v>
      </c>
      <c r="AK211" s="25">
        <v>1000</v>
      </c>
      <c r="AL211" s="25">
        <v>100</v>
      </c>
      <c r="AM211" s="26">
        <v>10</v>
      </c>
      <c r="AN211" s="26">
        <v>10</v>
      </c>
      <c r="AO211" s="22" t="s">
        <v>2211</v>
      </c>
      <c r="AP211" s="26">
        <v>0</v>
      </c>
      <c r="AQ211" s="26">
        <f t="shared" si="43"/>
        <v>790</v>
      </c>
      <c r="AR211" s="18" t="str">
        <f ca="1">CONCATENATE(OFFSET(Sheet1!$A$2,RANDBETWEEN(2,500),0,1,1),OFFSET(Sheet1!$A$2,RANDBETWEEN(2,500),RANDBETWEEN(1,5),1,1))</f>
        <v>安娜克莱拉</v>
      </c>
      <c r="AS211">
        <f>SUMPRODUCT(P211:AI211,Sheet2!$B$3:$U$3)</f>
        <v>428524</v>
      </c>
    </row>
    <row r="212" spans="1:45" x14ac:dyDescent="0.15">
      <c r="A212" s="18">
        <v>211</v>
      </c>
      <c r="B212" s="18" t="s">
        <v>1372</v>
      </c>
      <c r="C212" s="18">
        <f t="shared" si="33"/>
        <v>218</v>
      </c>
      <c r="D212" s="19">
        <f t="shared" si="34"/>
        <v>3</v>
      </c>
      <c r="E212" s="19">
        <f>VLOOKUP(MOD(A212,4),各职业基础配置!C$32:D$35,2,FALSE)</f>
        <v>9</v>
      </c>
      <c r="F212" s="19">
        <f>IF(A212&lt;900,INDEX(各职业基础配置!C$23:C$28,MOD(ROW(A212),4)+1),0)</f>
        <v>8</v>
      </c>
      <c r="G212" s="19">
        <f t="shared" si="35"/>
        <v>109</v>
      </c>
      <c r="H212" s="27">
        <f t="shared" si="36"/>
        <v>2</v>
      </c>
      <c r="I212" s="6" t="s">
        <v>164</v>
      </c>
      <c r="J212" s="23" t="str">
        <f>VLOOKUP(E212,各职业基础配置!$B$9:$C$12,2,FALSE)</f>
        <v>116|117|118|4201|120</v>
      </c>
      <c r="K212" s="18" t="str">
        <f>VLOOKUP(E212,各职业基础配置!$B$15:$C$18,2,FALSE)</f>
        <v>28|29|30|31</v>
      </c>
      <c r="L212" s="18" t="str">
        <f>VLOOKUP(E212,各职业基础配置!B:C,2,FALSE)</f>
        <v>[{28,1,1},{29,1,1},{30,1,1},{31,1,1},{10,1,1},{11,1,1},{12,1,1}]</v>
      </c>
      <c r="M212" s="18">
        <v>0</v>
      </c>
      <c r="N212" s="18">
        <f t="shared" si="37"/>
        <v>3</v>
      </c>
      <c r="O212" s="18">
        <f>SUMPRODUCT(P212:AI212,Sheet2!$B$3:$U$3)</f>
        <v>428499</v>
      </c>
      <c r="P212" s="18">
        <f>CEILING(INDEX([1]系统模型!$VD:$VD,MATCH(C212,[1]系统模型!$A:$A,0))*POWER(C212/220,3.8)-50+(1000-A212),1)</f>
        <v>8954</v>
      </c>
      <c r="Q212" s="18">
        <f>CEILING(INDEX([1]系统模型!$VE:$VE,MATCH(C212,[1]系统模型!$A:$A,0))*POWER(C212/220,4),1)</f>
        <v>1634</v>
      </c>
      <c r="R212" s="18">
        <f>INT(INDEX([1]系统模型!$VF:$VF,MATCH(C212,[1]系统模型!$A:$A,0))*MAX(POWER(C212/180,4),0.5))</f>
        <v>94774</v>
      </c>
      <c r="S212" s="5">
        <v>1000</v>
      </c>
      <c r="T212" s="25">
        <v>0</v>
      </c>
      <c r="U212" s="25">
        <v>0</v>
      </c>
      <c r="V212" s="25">
        <v>0</v>
      </c>
      <c r="W212" s="25">
        <v>0</v>
      </c>
      <c r="X212" s="25">
        <f t="shared" si="38"/>
        <v>4738</v>
      </c>
      <c r="Y212" s="12">
        <v>0</v>
      </c>
      <c r="Z212" s="25">
        <v>100</v>
      </c>
      <c r="AA212" s="25">
        <v>150</v>
      </c>
      <c r="AB212" s="25">
        <v>0</v>
      </c>
      <c r="AC212" s="25">
        <v>0</v>
      </c>
      <c r="AD212" s="25">
        <v>0</v>
      </c>
      <c r="AE212" s="25">
        <f t="shared" si="39"/>
        <v>436</v>
      </c>
      <c r="AF212" s="25">
        <f t="shared" si="40"/>
        <v>436</v>
      </c>
      <c r="AG212" s="25">
        <v>0</v>
      </c>
      <c r="AH212" s="25">
        <f t="shared" si="41"/>
        <v>7600</v>
      </c>
      <c r="AI212" s="25">
        <f t="shared" si="42"/>
        <v>119</v>
      </c>
      <c r="AJ212" s="25">
        <v>1</v>
      </c>
      <c r="AK212" s="25">
        <v>1000</v>
      </c>
      <c r="AL212" s="25">
        <v>100</v>
      </c>
      <c r="AM212" s="26">
        <v>10</v>
      </c>
      <c r="AN212" s="26">
        <v>10</v>
      </c>
      <c r="AO212" s="22" t="s">
        <v>2211</v>
      </c>
      <c r="AP212" s="26">
        <v>0</v>
      </c>
      <c r="AQ212" s="26">
        <f t="shared" si="43"/>
        <v>790</v>
      </c>
      <c r="AR212" s="18" t="str">
        <f ca="1">CONCATENATE(OFFSET(Sheet1!$A$2,RANDBETWEEN(2,500),0,1,1),OFFSET(Sheet1!$A$2,RANDBETWEEN(2,500),RANDBETWEEN(1,5),1,1))</f>
        <v>卓别麟</v>
      </c>
      <c r="AS212">
        <f>SUMPRODUCT(P212:AI212,Sheet2!$B$3:$U$3)</f>
        <v>428499</v>
      </c>
    </row>
    <row r="213" spans="1:45" x14ac:dyDescent="0.15">
      <c r="A213" s="18">
        <v>212</v>
      </c>
      <c r="B213" s="18" t="s">
        <v>1920</v>
      </c>
      <c r="C213" s="18">
        <f t="shared" si="33"/>
        <v>218</v>
      </c>
      <c r="D213" s="19">
        <f t="shared" si="34"/>
        <v>2</v>
      </c>
      <c r="E213" s="19">
        <f>VLOOKUP(MOD(A213,4),各职业基础配置!C$32:D$35,2,FALSE)</f>
        <v>1</v>
      </c>
      <c r="F213" s="19">
        <f>IF(A213&lt;900,INDEX(各职业基础配置!C$23:C$28,MOD(ROW(A213),4)+1),0)</f>
        <v>13</v>
      </c>
      <c r="G213" s="19">
        <f t="shared" si="35"/>
        <v>109</v>
      </c>
      <c r="H213" s="27">
        <f t="shared" si="36"/>
        <v>2</v>
      </c>
      <c r="I213" s="6" t="s">
        <v>164</v>
      </c>
      <c r="J213" s="23" t="str">
        <f>VLOOKUP(E213,各职业基础配置!$B$9:$C$12,2,FALSE)</f>
        <v>101|102|103|4201|105</v>
      </c>
      <c r="K213" s="18" t="str">
        <f>VLOOKUP(E213,各职业基础配置!$B$15:$C$18,2,FALSE)</f>
        <v>24|25|26|27</v>
      </c>
      <c r="L213" s="18" t="str">
        <f>VLOOKUP(E213,各职业基础配置!B:C,2,FALSE)</f>
        <v>[{24,1,1},{25,1,1},{26,1,1},{27,1,1},{1,1,1},{2,1,1},{3,1,1}]</v>
      </c>
      <c r="M213" s="18">
        <v>0</v>
      </c>
      <c r="N213" s="18">
        <f t="shared" si="37"/>
        <v>3</v>
      </c>
      <c r="O213" s="18">
        <f>SUMPRODUCT(P213:AI213,Sheet2!$B$3:$U$3)</f>
        <v>428474</v>
      </c>
      <c r="P213" s="18">
        <f>CEILING(INDEX([1]系统模型!$VD:$VD,MATCH(C213,[1]系统模型!$A:$A,0))*POWER(C213/220,3.8)-50+(1000-A213),1)</f>
        <v>8953</v>
      </c>
      <c r="Q213" s="18">
        <f>CEILING(INDEX([1]系统模型!$VE:$VE,MATCH(C213,[1]系统模型!$A:$A,0))*POWER(C213/220,4),1)</f>
        <v>1634</v>
      </c>
      <c r="R213" s="18">
        <f>INT(INDEX([1]系统模型!$VF:$VF,MATCH(C213,[1]系统模型!$A:$A,0))*MAX(POWER(C213/180,4),0.5))</f>
        <v>94774</v>
      </c>
      <c r="S213" s="5">
        <v>1000</v>
      </c>
      <c r="T213" s="25">
        <v>0</v>
      </c>
      <c r="U213" s="25">
        <v>0</v>
      </c>
      <c r="V213" s="25">
        <v>0</v>
      </c>
      <c r="W213" s="25">
        <v>0</v>
      </c>
      <c r="X213" s="25">
        <f t="shared" si="38"/>
        <v>4738</v>
      </c>
      <c r="Y213" s="12">
        <v>0</v>
      </c>
      <c r="Z213" s="25">
        <v>100</v>
      </c>
      <c r="AA213" s="25">
        <v>150</v>
      </c>
      <c r="AB213" s="25">
        <v>0</v>
      </c>
      <c r="AC213" s="25">
        <v>0</v>
      </c>
      <c r="AD213" s="25">
        <v>0</v>
      </c>
      <c r="AE213" s="25">
        <f t="shared" si="39"/>
        <v>436</v>
      </c>
      <c r="AF213" s="25">
        <f t="shared" si="40"/>
        <v>436</v>
      </c>
      <c r="AG213" s="25">
        <v>0</v>
      </c>
      <c r="AH213" s="25">
        <f t="shared" si="41"/>
        <v>7600</v>
      </c>
      <c r="AI213" s="25">
        <f t="shared" si="42"/>
        <v>119</v>
      </c>
      <c r="AJ213" s="25">
        <v>1</v>
      </c>
      <c r="AK213" s="25">
        <v>1000</v>
      </c>
      <c r="AL213" s="25">
        <v>100</v>
      </c>
      <c r="AM213" s="26">
        <v>10</v>
      </c>
      <c r="AN213" s="26">
        <v>10</v>
      </c>
      <c r="AO213" s="22" t="s">
        <v>2211</v>
      </c>
      <c r="AP213" s="26">
        <v>0</v>
      </c>
      <c r="AQ213" s="26">
        <f t="shared" si="43"/>
        <v>790</v>
      </c>
      <c r="AR213" s="18" t="str">
        <f ca="1">CONCATENATE(OFFSET(Sheet1!$A$2,RANDBETWEEN(2,500),0,1,1),OFFSET(Sheet1!$A$2,RANDBETWEEN(2,500),RANDBETWEEN(1,5),1,1))</f>
        <v>哈巴卡克</v>
      </c>
      <c r="AS213">
        <f>SUMPRODUCT(P213:AI213,Sheet2!$B$3:$U$3)</f>
        <v>428474</v>
      </c>
    </row>
    <row r="214" spans="1:45" x14ac:dyDescent="0.15">
      <c r="A214" s="23">
        <v>213</v>
      </c>
      <c r="B214" s="18" t="s">
        <v>1114</v>
      </c>
      <c r="C214" s="18">
        <f t="shared" si="33"/>
        <v>218</v>
      </c>
      <c r="D214" s="19">
        <f t="shared" si="34"/>
        <v>3</v>
      </c>
      <c r="E214" s="19">
        <f>VLOOKUP(MOD(A214,4),各职业基础配置!C$32:D$35,2,FALSE)</f>
        <v>3</v>
      </c>
      <c r="F214" s="19">
        <f>IF(A214&lt;900,INDEX(各职业基础配置!C$23:C$28,MOD(ROW(A214),4)+1),0)</f>
        <v>14</v>
      </c>
      <c r="G214" s="19">
        <f t="shared" si="35"/>
        <v>109</v>
      </c>
      <c r="H214" s="27">
        <f t="shared" si="36"/>
        <v>2</v>
      </c>
      <c r="I214" s="6" t="s">
        <v>164</v>
      </c>
      <c r="J214" s="23" t="str">
        <f>VLOOKUP(E214,各职业基础配置!$B$9:$C$12,2,FALSE)</f>
        <v>106|107|108|4201|110</v>
      </c>
      <c r="K214" s="18" t="str">
        <f>VLOOKUP(E214,各职业基础配置!$B$15:$C$18,2,FALSE)</f>
        <v>20|21|22|23</v>
      </c>
      <c r="L214" s="18" t="str">
        <f>VLOOKUP(E214,各职业基础配置!B:C,2,FALSE)</f>
        <v>[{20,1,1},{21,1,1},{22,1,1},{23,1,1},{4,1,1},{5,1,1},{6,1,1}]</v>
      </c>
      <c r="M214" s="18">
        <v>0</v>
      </c>
      <c r="N214" s="18">
        <f t="shared" si="37"/>
        <v>7</v>
      </c>
      <c r="O214" s="18">
        <f>SUMPRODUCT(P214:AI214,Sheet2!$B$3:$U$3)</f>
        <v>428449</v>
      </c>
      <c r="P214" s="18">
        <f>CEILING(INDEX([1]系统模型!$VD:$VD,MATCH(C214,[1]系统模型!$A:$A,0))*POWER(C214/220,3.8)-50+(1000-A214),1)</f>
        <v>8952</v>
      </c>
      <c r="Q214" s="18">
        <f>CEILING(INDEX([1]系统模型!$VE:$VE,MATCH(C214,[1]系统模型!$A:$A,0))*POWER(C214/220,4),1)</f>
        <v>1634</v>
      </c>
      <c r="R214" s="18">
        <f>INT(INDEX([1]系统模型!$VF:$VF,MATCH(C214,[1]系统模型!$A:$A,0))*MAX(POWER(C214/180,4),0.5))</f>
        <v>94774</v>
      </c>
      <c r="S214" s="5">
        <v>1000</v>
      </c>
      <c r="T214" s="25">
        <v>0</v>
      </c>
      <c r="U214" s="25">
        <v>0</v>
      </c>
      <c r="V214" s="25">
        <v>0</v>
      </c>
      <c r="W214" s="25">
        <v>0</v>
      </c>
      <c r="X214" s="25">
        <f t="shared" si="38"/>
        <v>4738</v>
      </c>
      <c r="Y214" s="12">
        <v>0</v>
      </c>
      <c r="Z214" s="25">
        <v>100</v>
      </c>
      <c r="AA214" s="25">
        <v>150</v>
      </c>
      <c r="AB214" s="25">
        <v>0</v>
      </c>
      <c r="AC214" s="25">
        <v>0</v>
      </c>
      <c r="AD214" s="25">
        <v>0</v>
      </c>
      <c r="AE214" s="25">
        <f t="shared" si="39"/>
        <v>436</v>
      </c>
      <c r="AF214" s="25">
        <f t="shared" si="40"/>
        <v>436</v>
      </c>
      <c r="AG214" s="25">
        <v>0</v>
      </c>
      <c r="AH214" s="25">
        <f t="shared" si="41"/>
        <v>7600</v>
      </c>
      <c r="AI214" s="25">
        <f t="shared" si="42"/>
        <v>119</v>
      </c>
      <c r="AJ214" s="25">
        <v>1</v>
      </c>
      <c r="AK214" s="25">
        <v>1000</v>
      </c>
      <c r="AL214" s="25">
        <v>100</v>
      </c>
      <c r="AM214" s="26">
        <v>10</v>
      </c>
      <c r="AN214" s="26">
        <v>10</v>
      </c>
      <c r="AO214" s="22" t="s">
        <v>2211</v>
      </c>
      <c r="AP214" s="26">
        <v>0</v>
      </c>
      <c r="AQ214" s="26">
        <f t="shared" si="43"/>
        <v>790</v>
      </c>
      <c r="AR214" s="18" t="str">
        <f ca="1">CONCATENATE(OFFSET(Sheet1!$A$2,RANDBETWEEN(2,500),0,1,1),OFFSET(Sheet1!$A$2,RANDBETWEEN(2,500),RANDBETWEEN(1,5),1,1))</f>
        <v>加西亚吉蒂</v>
      </c>
      <c r="AS214">
        <f>SUMPRODUCT(P214:AI214,Sheet2!$B$3:$U$3)</f>
        <v>428449</v>
      </c>
    </row>
    <row r="215" spans="1:45" x14ac:dyDescent="0.15">
      <c r="A215" s="18">
        <v>214</v>
      </c>
      <c r="B215" s="18" t="s">
        <v>1921</v>
      </c>
      <c r="C215" s="18">
        <f t="shared" si="33"/>
        <v>218</v>
      </c>
      <c r="D215" s="19">
        <f t="shared" si="34"/>
        <v>2</v>
      </c>
      <c r="E215" s="19">
        <f>VLOOKUP(MOD(A215,4),各职业基础配置!C$32:D$35,2,FALSE)</f>
        <v>6</v>
      </c>
      <c r="F215" s="19">
        <f>IF(A215&lt;900,INDEX(各职业基础配置!C$23:C$28,MOD(ROW(A215),4)+1),0)</f>
        <v>16</v>
      </c>
      <c r="G215" s="19">
        <f t="shared" si="35"/>
        <v>109</v>
      </c>
      <c r="H215" s="27">
        <f t="shared" si="36"/>
        <v>2</v>
      </c>
      <c r="I215" s="6" t="s">
        <v>164</v>
      </c>
      <c r="J215" s="23" t="str">
        <f>VLOOKUP(E215,各职业基础配置!$B$9:$C$12,2,FALSE)</f>
        <v>111|112|113|4201|115</v>
      </c>
      <c r="K215" s="18" t="str">
        <f>VLOOKUP(E215,各职业基础配置!$B$15:$C$18,2,FALSE)</f>
        <v>32|33|34</v>
      </c>
      <c r="L215" s="18" t="str">
        <f>VLOOKUP(E215,各职业基础配置!B:C,2,FALSE)</f>
        <v>[{32,1,1},{33,1,1},{34,1,1},{35,1,1},{7,1,1},{8,1,1},{9,1,1}]</v>
      </c>
      <c r="M215" s="18">
        <v>0</v>
      </c>
      <c r="N215" s="18">
        <f t="shared" si="37"/>
        <v>7</v>
      </c>
      <c r="O215" s="18">
        <f>SUMPRODUCT(P215:AI215,Sheet2!$B$3:$U$3)</f>
        <v>428424</v>
      </c>
      <c r="P215" s="18">
        <f>CEILING(INDEX([1]系统模型!$VD:$VD,MATCH(C215,[1]系统模型!$A:$A,0))*POWER(C215/220,3.8)-50+(1000-A215),1)</f>
        <v>8951</v>
      </c>
      <c r="Q215" s="18">
        <f>CEILING(INDEX([1]系统模型!$VE:$VE,MATCH(C215,[1]系统模型!$A:$A,0))*POWER(C215/220,4),1)</f>
        <v>1634</v>
      </c>
      <c r="R215" s="18">
        <f>INT(INDEX([1]系统模型!$VF:$VF,MATCH(C215,[1]系统模型!$A:$A,0))*MAX(POWER(C215/180,4),0.5))</f>
        <v>94774</v>
      </c>
      <c r="S215" s="5">
        <v>1000</v>
      </c>
      <c r="T215" s="25">
        <v>0</v>
      </c>
      <c r="U215" s="25">
        <v>0</v>
      </c>
      <c r="V215" s="25">
        <v>0</v>
      </c>
      <c r="W215" s="25">
        <v>0</v>
      </c>
      <c r="X215" s="25">
        <f t="shared" si="38"/>
        <v>4738</v>
      </c>
      <c r="Y215" s="12">
        <v>0</v>
      </c>
      <c r="Z215" s="25">
        <v>100</v>
      </c>
      <c r="AA215" s="25">
        <v>150</v>
      </c>
      <c r="AB215" s="25">
        <v>0</v>
      </c>
      <c r="AC215" s="25">
        <v>0</v>
      </c>
      <c r="AD215" s="25">
        <v>0</v>
      </c>
      <c r="AE215" s="25">
        <f t="shared" si="39"/>
        <v>436</v>
      </c>
      <c r="AF215" s="25">
        <f t="shared" si="40"/>
        <v>436</v>
      </c>
      <c r="AG215" s="25">
        <v>0</v>
      </c>
      <c r="AH215" s="25">
        <f t="shared" si="41"/>
        <v>7600</v>
      </c>
      <c r="AI215" s="25">
        <f t="shared" si="42"/>
        <v>119</v>
      </c>
      <c r="AJ215" s="25">
        <v>1</v>
      </c>
      <c r="AK215" s="25">
        <v>1000</v>
      </c>
      <c r="AL215" s="25">
        <v>100</v>
      </c>
      <c r="AM215" s="26">
        <v>10</v>
      </c>
      <c r="AN215" s="26">
        <v>10</v>
      </c>
      <c r="AO215" s="22" t="s">
        <v>2211</v>
      </c>
      <c r="AP215" s="26">
        <v>0</v>
      </c>
      <c r="AQ215" s="26">
        <f t="shared" si="43"/>
        <v>790</v>
      </c>
      <c r="AR215" s="18" t="str">
        <f ca="1">CONCATENATE(OFFSET(Sheet1!$A$2,RANDBETWEEN(2,500),0,1,1),OFFSET(Sheet1!$A$2,RANDBETWEEN(2,500),RANDBETWEEN(1,5),1,1))</f>
        <v>汉森尔顿</v>
      </c>
      <c r="AS215">
        <f>SUMPRODUCT(P215:AI215,Sheet2!$B$3:$U$3)</f>
        <v>428424</v>
      </c>
    </row>
    <row r="216" spans="1:45" x14ac:dyDescent="0.15">
      <c r="A216" s="18">
        <v>215</v>
      </c>
      <c r="B216" s="18" t="s">
        <v>1922</v>
      </c>
      <c r="C216" s="18">
        <f t="shared" si="33"/>
        <v>218</v>
      </c>
      <c r="D216" s="19">
        <f t="shared" si="34"/>
        <v>3</v>
      </c>
      <c r="E216" s="19">
        <f>VLOOKUP(MOD(A216,4),各职业基础配置!C$32:D$35,2,FALSE)</f>
        <v>9</v>
      </c>
      <c r="F216" s="19">
        <f>IF(A216&lt;900,INDEX(各职业基础配置!C$23:C$28,MOD(ROW(A216),4)+1),0)</f>
        <v>8</v>
      </c>
      <c r="G216" s="19">
        <f t="shared" si="35"/>
        <v>109</v>
      </c>
      <c r="H216" s="27">
        <f t="shared" si="36"/>
        <v>2</v>
      </c>
      <c r="I216" s="6" t="s">
        <v>164</v>
      </c>
      <c r="J216" s="23" t="str">
        <f>VLOOKUP(E216,各职业基础配置!$B$9:$C$12,2,FALSE)</f>
        <v>116|117|118|4201|120</v>
      </c>
      <c r="K216" s="18" t="str">
        <f>VLOOKUP(E216,各职业基础配置!$B$15:$C$18,2,FALSE)</f>
        <v>28|29|30|31</v>
      </c>
      <c r="L216" s="18" t="str">
        <f>VLOOKUP(E216,各职业基础配置!B:C,2,FALSE)</f>
        <v>[{28,1,1},{29,1,1},{30,1,1},{31,1,1},{10,1,1},{11,1,1},{12,1,1}]</v>
      </c>
      <c r="M216" s="18">
        <v>0</v>
      </c>
      <c r="N216" s="18">
        <f t="shared" si="37"/>
        <v>3</v>
      </c>
      <c r="O216" s="18">
        <f>SUMPRODUCT(P216:AI216,Sheet2!$B$3:$U$3)</f>
        <v>428399</v>
      </c>
      <c r="P216" s="18">
        <f>CEILING(INDEX([1]系统模型!$VD:$VD,MATCH(C216,[1]系统模型!$A:$A,0))*POWER(C216/220,3.8)-50+(1000-A216),1)</f>
        <v>8950</v>
      </c>
      <c r="Q216" s="18">
        <f>CEILING(INDEX([1]系统模型!$VE:$VE,MATCH(C216,[1]系统模型!$A:$A,0))*POWER(C216/220,4),1)</f>
        <v>1634</v>
      </c>
      <c r="R216" s="18">
        <f>INT(INDEX([1]系统模型!$VF:$VF,MATCH(C216,[1]系统模型!$A:$A,0))*MAX(POWER(C216/180,4),0.5))</f>
        <v>94774</v>
      </c>
      <c r="S216" s="5">
        <v>1000</v>
      </c>
      <c r="T216" s="25">
        <v>0</v>
      </c>
      <c r="U216" s="25">
        <v>0</v>
      </c>
      <c r="V216" s="25">
        <v>0</v>
      </c>
      <c r="W216" s="25">
        <v>0</v>
      </c>
      <c r="X216" s="25">
        <f t="shared" si="38"/>
        <v>4738</v>
      </c>
      <c r="Y216" s="12">
        <v>0</v>
      </c>
      <c r="Z216" s="25">
        <v>100</v>
      </c>
      <c r="AA216" s="25">
        <v>150</v>
      </c>
      <c r="AB216" s="25">
        <v>0</v>
      </c>
      <c r="AC216" s="25">
        <v>0</v>
      </c>
      <c r="AD216" s="25">
        <v>0</v>
      </c>
      <c r="AE216" s="25">
        <f t="shared" si="39"/>
        <v>436</v>
      </c>
      <c r="AF216" s="25">
        <f t="shared" si="40"/>
        <v>436</v>
      </c>
      <c r="AG216" s="25">
        <v>0</v>
      </c>
      <c r="AH216" s="25">
        <f t="shared" si="41"/>
        <v>7600</v>
      </c>
      <c r="AI216" s="25">
        <f t="shared" si="42"/>
        <v>119</v>
      </c>
      <c r="AJ216" s="25">
        <v>1</v>
      </c>
      <c r="AK216" s="25">
        <v>1000</v>
      </c>
      <c r="AL216" s="25">
        <v>100</v>
      </c>
      <c r="AM216" s="26">
        <v>10</v>
      </c>
      <c r="AN216" s="26">
        <v>10</v>
      </c>
      <c r="AO216" s="22" t="s">
        <v>2211</v>
      </c>
      <c r="AP216" s="26">
        <v>0</v>
      </c>
      <c r="AQ216" s="26">
        <f t="shared" si="43"/>
        <v>790</v>
      </c>
      <c r="AR216" s="18" t="str">
        <f ca="1">CONCATENATE(OFFSET(Sheet1!$A$2,RANDBETWEEN(2,500),0,1,1),OFFSET(Sheet1!$A$2,RANDBETWEEN(2,500),RANDBETWEEN(1,5),1,1))</f>
        <v>比彻艾谱莉</v>
      </c>
      <c r="AS216">
        <f>SUMPRODUCT(P216:AI216,Sheet2!$B$3:$U$3)</f>
        <v>428399</v>
      </c>
    </row>
    <row r="217" spans="1:45" x14ac:dyDescent="0.15">
      <c r="A217" s="23">
        <v>216</v>
      </c>
      <c r="B217" s="18" t="s">
        <v>1345</v>
      </c>
      <c r="C217" s="18">
        <f t="shared" si="33"/>
        <v>218</v>
      </c>
      <c r="D217" s="19">
        <f t="shared" si="34"/>
        <v>2</v>
      </c>
      <c r="E217" s="19">
        <f>VLOOKUP(MOD(A217,4),各职业基础配置!C$32:D$35,2,FALSE)</f>
        <v>1</v>
      </c>
      <c r="F217" s="19">
        <f>IF(A217&lt;900,INDEX(各职业基础配置!C$23:C$28,MOD(ROW(A217),4)+1),0)</f>
        <v>13</v>
      </c>
      <c r="G217" s="19">
        <f t="shared" si="35"/>
        <v>109</v>
      </c>
      <c r="H217" s="27">
        <f t="shared" si="36"/>
        <v>2</v>
      </c>
      <c r="I217" s="6" t="s">
        <v>164</v>
      </c>
      <c r="J217" s="23" t="str">
        <f>VLOOKUP(E217,各职业基础配置!$B$9:$C$12,2,FALSE)</f>
        <v>101|102|103|4201|105</v>
      </c>
      <c r="K217" s="18" t="str">
        <f>VLOOKUP(E217,各职业基础配置!$B$15:$C$18,2,FALSE)</f>
        <v>24|25|26|27</v>
      </c>
      <c r="L217" s="18" t="str">
        <f>VLOOKUP(E217,各职业基础配置!B:C,2,FALSE)</f>
        <v>[{24,1,1},{25,1,1},{26,1,1},{27,1,1},{1,1,1},{2,1,1},{3,1,1}]</v>
      </c>
      <c r="M217" s="18">
        <v>0</v>
      </c>
      <c r="N217" s="18">
        <f t="shared" si="37"/>
        <v>3</v>
      </c>
      <c r="O217" s="18">
        <f>SUMPRODUCT(P217:AI217,Sheet2!$B$3:$U$3)</f>
        <v>428374</v>
      </c>
      <c r="P217" s="18">
        <f>CEILING(INDEX([1]系统模型!$VD:$VD,MATCH(C217,[1]系统模型!$A:$A,0))*POWER(C217/220,3.8)-50+(1000-A217),1)</f>
        <v>8949</v>
      </c>
      <c r="Q217" s="18">
        <f>CEILING(INDEX([1]系统模型!$VE:$VE,MATCH(C217,[1]系统模型!$A:$A,0))*POWER(C217/220,4),1)</f>
        <v>1634</v>
      </c>
      <c r="R217" s="18">
        <f>INT(INDEX([1]系统模型!$VF:$VF,MATCH(C217,[1]系统模型!$A:$A,0))*MAX(POWER(C217/180,4),0.5))</f>
        <v>94774</v>
      </c>
      <c r="S217" s="5">
        <v>1000</v>
      </c>
      <c r="T217" s="25">
        <v>0</v>
      </c>
      <c r="U217" s="25">
        <v>0</v>
      </c>
      <c r="V217" s="25">
        <v>0</v>
      </c>
      <c r="W217" s="25">
        <v>0</v>
      </c>
      <c r="X217" s="25">
        <f t="shared" si="38"/>
        <v>4738</v>
      </c>
      <c r="Y217" s="12">
        <v>0</v>
      </c>
      <c r="Z217" s="25">
        <v>100</v>
      </c>
      <c r="AA217" s="25">
        <v>150</v>
      </c>
      <c r="AB217" s="25">
        <v>0</v>
      </c>
      <c r="AC217" s="25">
        <v>0</v>
      </c>
      <c r="AD217" s="25">
        <v>0</v>
      </c>
      <c r="AE217" s="25">
        <f t="shared" si="39"/>
        <v>436</v>
      </c>
      <c r="AF217" s="25">
        <f t="shared" si="40"/>
        <v>436</v>
      </c>
      <c r="AG217" s="25">
        <v>0</v>
      </c>
      <c r="AH217" s="25">
        <f t="shared" si="41"/>
        <v>7600</v>
      </c>
      <c r="AI217" s="25">
        <f t="shared" si="42"/>
        <v>119</v>
      </c>
      <c r="AJ217" s="25">
        <v>1</v>
      </c>
      <c r="AK217" s="25">
        <v>1000</v>
      </c>
      <c r="AL217" s="25">
        <v>100</v>
      </c>
      <c r="AM217" s="26">
        <v>10</v>
      </c>
      <c r="AN217" s="26">
        <v>10</v>
      </c>
      <c r="AO217" s="22" t="s">
        <v>2211</v>
      </c>
      <c r="AP217" s="26">
        <v>0</v>
      </c>
      <c r="AQ217" s="26">
        <f t="shared" si="43"/>
        <v>780</v>
      </c>
      <c r="AR217" s="18" t="str">
        <f ca="1">CONCATENATE(OFFSET(Sheet1!$A$2,RANDBETWEEN(2,500),0,1,1),OFFSET(Sheet1!$A$2,RANDBETWEEN(2,500),RANDBETWEEN(1,5),1,1))</f>
        <v>霍索恩多琳</v>
      </c>
      <c r="AS217">
        <f>SUMPRODUCT(P217:AI217,Sheet2!$B$3:$U$3)</f>
        <v>428374</v>
      </c>
    </row>
    <row r="218" spans="1:45" x14ac:dyDescent="0.15">
      <c r="A218" s="18">
        <v>217</v>
      </c>
      <c r="B218" s="18" t="s">
        <v>1353</v>
      </c>
      <c r="C218" s="18">
        <f t="shared" si="33"/>
        <v>217</v>
      </c>
      <c r="D218" s="19">
        <f t="shared" si="34"/>
        <v>3</v>
      </c>
      <c r="E218" s="19">
        <f>VLOOKUP(MOD(A218,4),各职业基础配置!C$32:D$35,2,FALSE)</f>
        <v>3</v>
      </c>
      <c r="F218" s="19">
        <f>IF(A218&lt;900,INDEX(各职业基础配置!C$23:C$28,MOD(ROW(A218),4)+1),0)</f>
        <v>14</v>
      </c>
      <c r="G218" s="19">
        <f t="shared" si="35"/>
        <v>106</v>
      </c>
      <c r="H218" s="27">
        <f t="shared" si="36"/>
        <v>2</v>
      </c>
      <c r="I218" s="6" t="s">
        <v>164</v>
      </c>
      <c r="J218" s="23" t="str">
        <f>VLOOKUP(E218,各职业基础配置!$B$9:$C$12,2,FALSE)</f>
        <v>106|107|108|4201|110</v>
      </c>
      <c r="K218" s="18" t="str">
        <f>VLOOKUP(E218,各职业基础配置!$B$15:$C$18,2,FALSE)</f>
        <v>20|21|22|23</v>
      </c>
      <c r="L218" s="18" t="str">
        <f>VLOOKUP(E218,各职业基础配置!B:C,2,FALSE)</f>
        <v>[{20,1,1},{21,1,1},{22,1,1},{23,1,1},{4,1,1},{5,1,1},{6,1,1}]</v>
      </c>
      <c r="M218" s="18">
        <v>0</v>
      </c>
      <c r="N218" s="18">
        <f t="shared" si="37"/>
        <v>7</v>
      </c>
      <c r="O218" s="18">
        <f>SUMPRODUCT(P218:AI218,Sheet2!$B$3:$U$3)</f>
        <v>418778</v>
      </c>
      <c r="P218" s="18">
        <f>CEILING(INDEX([1]系统模型!$VD:$VD,MATCH(C218,[1]系统模型!$A:$A,0))*POWER(C218/220,3.8)-50+(1000-A218),1)</f>
        <v>8715</v>
      </c>
      <c r="Q218" s="18">
        <f>CEILING(INDEX([1]系统模型!$VE:$VE,MATCH(C218,[1]系统模型!$A:$A,0))*POWER(C218/220,4),1)</f>
        <v>1595</v>
      </c>
      <c r="R218" s="18">
        <f>INT(INDEX([1]系统模型!$VF:$VF,MATCH(C218,[1]系统模型!$A:$A,0))*MAX(POWER(C218/180,4),0.5))</f>
        <v>92553</v>
      </c>
      <c r="S218" s="5">
        <v>1000</v>
      </c>
      <c r="T218" s="25">
        <v>0</v>
      </c>
      <c r="U218" s="25">
        <v>0</v>
      </c>
      <c r="V218" s="25">
        <v>0</v>
      </c>
      <c r="W218" s="25">
        <v>0</v>
      </c>
      <c r="X218" s="25">
        <f t="shared" si="38"/>
        <v>4627</v>
      </c>
      <c r="Y218" s="12">
        <v>0</v>
      </c>
      <c r="Z218" s="25">
        <v>100</v>
      </c>
      <c r="AA218" s="25">
        <v>150</v>
      </c>
      <c r="AB218" s="25">
        <v>0</v>
      </c>
      <c r="AC218" s="25">
        <v>0</v>
      </c>
      <c r="AD218" s="25">
        <v>0</v>
      </c>
      <c r="AE218" s="25">
        <f t="shared" si="39"/>
        <v>434</v>
      </c>
      <c r="AF218" s="25">
        <f t="shared" si="40"/>
        <v>434</v>
      </c>
      <c r="AG218" s="25">
        <v>0</v>
      </c>
      <c r="AH218" s="25">
        <f t="shared" si="41"/>
        <v>7525</v>
      </c>
      <c r="AI218" s="25">
        <f t="shared" si="42"/>
        <v>116</v>
      </c>
      <c r="AJ218" s="25">
        <v>1</v>
      </c>
      <c r="AK218" s="25">
        <v>1000</v>
      </c>
      <c r="AL218" s="25">
        <v>100</v>
      </c>
      <c r="AM218" s="26">
        <v>10</v>
      </c>
      <c r="AN218" s="26">
        <v>10</v>
      </c>
      <c r="AO218" s="22" t="s">
        <v>2211</v>
      </c>
      <c r="AP218" s="26">
        <v>0</v>
      </c>
      <c r="AQ218" s="26">
        <f t="shared" si="43"/>
        <v>780</v>
      </c>
      <c r="AR218" s="18" t="str">
        <f ca="1">CONCATENATE(OFFSET(Sheet1!$A$2,RANDBETWEEN(2,500),0,1,1),OFFSET(Sheet1!$A$2,RANDBETWEEN(2,500),RANDBETWEEN(1,5),1,1))</f>
        <v>杰里迈亚</v>
      </c>
      <c r="AS218">
        <f>SUMPRODUCT(P218:AI218,Sheet2!$B$3:$U$3)</f>
        <v>418778</v>
      </c>
    </row>
    <row r="219" spans="1:45" x14ac:dyDescent="0.15">
      <c r="A219" s="18">
        <v>218</v>
      </c>
      <c r="B219" s="18" t="s">
        <v>1233</v>
      </c>
      <c r="C219" s="18">
        <f t="shared" si="33"/>
        <v>217</v>
      </c>
      <c r="D219" s="19">
        <f t="shared" si="34"/>
        <v>2</v>
      </c>
      <c r="E219" s="19">
        <f>VLOOKUP(MOD(A219,4),各职业基础配置!C$32:D$35,2,FALSE)</f>
        <v>6</v>
      </c>
      <c r="F219" s="19">
        <f>IF(A219&lt;900,INDEX(各职业基础配置!C$23:C$28,MOD(ROW(A219),4)+1),0)</f>
        <v>16</v>
      </c>
      <c r="G219" s="19">
        <f t="shared" si="35"/>
        <v>106</v>
      </c>
      <c r="H219" s="27">
        <f t="shared" si="36"/>
        <v>2</v>
      </c>
      <c r="I219" s="6" t="s">
        <v>164</v>
      </c>
      <c r="J219" s="23" t="str">
        <f>VLOOKUP(E219,各职业基础配置!$B$9:$C$12,2,FALSE)</f>
        <v>111|112|113|4201|115</v>
      </c>
      <c r="K219" s="18" t="str">
        <f>VLOOKUP(E219,各职业基础配置!$B$15:$C$18,2,FALSE)</f>
        <v>32|33|34</v>
      </c>
      <c r="L219" s="18" t="str">
        <f>VLOOKUP(E219,各职业基础配置!B:C,2,FALSE)</f>
        <v>[{32,1,1},{33,1,1},{34,1,1},{35,1,1},{7,1,1},{8,1,1},{9,1,1}]</v>
      </c>
      <c r="M219" s="18">
        <v>0</v>
      </c>
      <c r="N219" s="18">
        <f t="shared" si="37"/>
        <v>7</v>
      </c>
      <c r="O219" s="18">
        <f>SUMPRODUCT(P219:AI219,Sheet2!$B$3:$U$3)</f>
        <v>418753</v>
      </c>
      <c r="P219" s="18">
        <f>CEILING(INDEX([1]系统模型!$VD:$VD,MATCH(C219,[1]系统模型!$A:$A,0))*POWER(C219/220,3.8)-50+(1000-A219),1)</f>
        <v>8714</v>
      </c>
      <c r="Q219" s="18">
        <f>CEILING(INDEX([1]系统模型!$VE:$VE,MATCH(C219,[1]系统模型!$A:$A,0))*POWER(C219/220,4),1)</f>
        <v>1595</v>
      </c>
      <c r="R219" s="18">
        <f>INT(INDEX([1]系统模型!$VF:$VF,MATCH(C219,[1]系统模型!$A:$A,0))*MAX(POWER(C219/180,4),0.5))</f>
        <v>92553</v>
      </c>
      <c r="S219" s="5">
        <v>1000</v>
      </c>
      <c r="T219" s="25">
        <v>0</v>
      </c>
      <c r="U219" s="25">
        <v>0</v>
      </c>
      <c r="V219" s="25">
        <v>0</v>
      </c>
      <c r="W219" s="25">
        <v>0</v>
      </c>
      <c r="X219" s="25">
        <f t="shared" si="38"/>
        <v>4627</v>
      </c>
      <c r="Y219" s="12">
        <v>0</v>
      </c>
      <c r="Z219" s="25">
        <v>100</v>
      </c>
      <c r="AA219" s="25">
        <v>150</v>
      </c>
      <c r="AB219" s="25">
        <v>0</v>
      </c>
      <c r="AC219" s="25">
        <v>0</v>
      </c>
      <c r="AD219" s="25">
        <v>0</v>
      </c>
      <c r="AE219" s="25">
        <f t="shared" si="39"/>
        <v>434</v>
      </c>
      <c r="AF219" s="25">
        <f t="shared" si="40"/>
        <v>434</v>
      </c>
      <c r="AG219" s="25">
        <v>0</v>
      </c>
      <c r="AH219" s="25">
        <f t="shared" si="41"/>
        <v>7525</v>
      </c>
      <c r="AI219" s="25">
        <f t="shared" si="42"/>
        <v>116</v>
      </c>
      <c r="AJ219" s="25">
        <v>1</v>
      </c>
      <c r="AK219" s="25">
        <v>1000</v>
      </c>
      <c r="AL219" s="25">
        <v>100</v>
      </c>
      <c r="AM219" s="26">
        <v>10</v>
      </c>
      <c r="AN219" s="26">
        <v>10</v>
      </c>
      <c r="AO219" s="22" t="s">
        <v>2211</v>
      </c>
      <c r="AP219" s="26">
        <v>0</v>
      </c>
      <c r="AQ219" s="26">
        <f t="shared" si="43"/>
        <v>780</v>
      </c>
      <c r="AR219" s="18" t="str">
        <f ca="1">CONCATENATE(OFFSET(Sheet1!$A$2,RANDBETWEEN(2,500),0,1,1),OFFSET(Sheet1!$A$2,RANDBETWEEN(2,500),RANDBETWEEN(1,5),1,1))</f>
        <v>詹金</v>
      </c>
      <c r="AS219">
        <f>SUMPRODUCT(P219:AI219,Sheet2!$B$3:$U$3)</f>
        <v>418753</v>
      </c>
    </row>
    <row r="220" spans="1:45" x14ac:dyDescent="0.15">
      <c r="A220" s="23">
        <v>219</v>
      </c>
      <c r="B220" s="18" t="s">
        <v>605</v>
      </c>
      <c r="C220" s="18">
        <f t="shared" si="33"/>
        <v>217</v>
      </c>
      <c r="D220" s="19">
        <f t="shared" si="34"/>
        <v>3</v>
      </c>
      <c r="E220" s="19">
        <f>VLOOKUP(MOD(A220,4),各职业基础配置!C$32:D$35,2,FALSE)</f>
        <v>9</v>
      </c>
      <c r="F220" s="19">
        <f>IF(A220&lt;900,INDEX(各职业基础配置!C$23:C$28,MOD(ROW(A220),4)+1),0)</f>
        <v>8</v>
      </c>
      <c r="G220" s="19">
        <f t="shared" si="35"/>
        <v>106</v>
      </c>
      <c r="H220" s="27">
        <f t="shared" si="36"/>
        <v>2</v>
      </c>
      <c r="I220" s="6" t="s">
        <v>164</v>
      </c>
      <c r="J220" s="23" t="str">
        <f>VLOOKUP(E220,各职业基础配置!$B$9:$C$12,2,FALSE)</f>
        <v>116|117|118|4201|120</v>
      </c>
      <c r="K220" s="18" t="str">
        <f>VLOOKUP(E220,各职业基础配置!$B$15:$C$18,2,FALSE)</f>
        <v>28|29|30|31</v>
      </c>
      <c r="L220" s="18" t="str">
        <f>VLOOKUP(E220,各职业基础配置!B:C,2,FALSE)</f>
        <v>[{28,1,1},{29,1,1},{30,1,1},{31,1,1},{10,1,1},{11,1,1},{12,1,1}]</v>
      </c>
      <c r="M220" s="18">
        <v>0</v>
      </c>
      <c r="N220" s="18">
        <f t="shared" si="37"/>
        <v>3</v>
      </c>
      <c r="O220" s="18">
        <f>SUMPRODUCT(P220:AI220,Sheet2!$B$3:$U$3)</f>
        <v>418728</v>
      </c>
      <c r="P220" s="18">
        <f>CEILING(INDEX([1]系统模型!$VD:$VD,MATCH(C220,[1]系统模型!$A:$A,0))*POWER(C220/220,3.8)-50+(1000-A220),1)</f>
        <v>8713</v>
      </c>
      <c r="Q220" s="18">
        <f>CEILING(INDEX([1]系统模型!$VE:$VE,MATCH(C220,[1]系统模型!$A:$A,0))*POWER(C220/220,4),1)</f>
        <v>1595</v>
      </c>
      <c r="R220" s="18">
        <f>INT(INDEX([1]系统模型!$VF:$VF,MATCH(C220,[1]系统模型!$A:$A,0))*MAX(POWER(C220/180,4),0.5))</f>
        <v>92553</v>
      </c>
      <c r="S220" s="5">
        <v>1000</v>
      </c>
      <c r="T220" s="25">
        <v>0</v>
      </c>
      <c r="U220" s="25">
        <v>0</v>
      </c>
      <c r="V220" s="25">
        <v>0</v>
      </c>
      <c r="W220" s="25">
        <v>0</v>
      </c>
      <c r="X220" s="25">
        <f t="shared" si="38"/>
        <v>4627</v>
      </c>
      <c r="Y220" s="12">
        <v>0</v>
      </c>
      <c r="Z220" s="25">
        <v>100</v>
      </c>
      <c r="AA220" s="25">
        <v>150</v>
      </c>
      <c r="AB220" s="25">
        <v>0</v>
      </c>
      <c r="AC220" s="25">
        <v>0</v>
      </c>
      <c r="AD220" s="25">
        <v>0</v>
      </c>
      <c r="AE220" s="25">
        <f t="shared" si="39"/>
        <v>434</v>
      </c>
      <c r="AF220" s="25">
        <f t="shared" si="40"/>
        <v>434</v>
      </c>
      <c r="AG220" s="25">
        <v>0</v>
      </c>
      <c r="AH220" s="25">
        <f t="shared" si="41"/>
        <v>7525</v>
      </c>
      <c r="AI220" s="25">
        <f t="shared" si="42"/>
        <v>116</v>
      </c>
      <c r="AJ220" s="25">
        <v>1</v>
      </c>
      <c r="AK220" s="25">
        <v>1000</v>
      </c>
      <c r="AL220" s="25">
        <v>100</v>
      </c>
      <c r="AM220" s="26">
        <v>10</v>
      </c>
      <c r="AN220" s="26">
        <v>10</v>
      </c>
      <c r="AO220" s="22" t="s">
        <v>2211</v>
      </c>
      <c r="AP220" s="26">
        <v>0</v>
      </c>
      <c r="AQ220" s="26">
        <f t="shared" si="43"/>
        <v>780</v>
      </c>
      <c r="AR220" s="18" t="str">
        <f ca="1">CONCATENATE(OFFSET(Sheet1!$A$2,RANDBETWEEN(2,500),0,1,1),OFFSET(Sheet1!$A$2,RANDBETWEEN(2,500),RANDBETWEEN(1,5),1,1))</f>
        <v>埃兰娜</v>
      </c>
      <c r="AS220">
        <f>SUMPRODUCT(P220:AI220,Sheet2!$B$3:$U$3)</f>
        <v>418728</v>
      </c>
    </row>
    <row r="221" spans="1:45" x14ac:dyDescent="0.15">
      <c r="A221" s="18">
        <v>220</v>
      </c>
      <c r="B221" s="18" t="s">
        <v>1057</v>
      </c>
      <c r="C221" s="18">
        <f t="shared" si="33"/>
        <v>217</v>
      </c>
      <c r="D221" s="19">
        <f t="shared" si="34"/>
        <v>2</v>
      </c>
      <c r="E221" s="19">
        <f>VLOOKUP(MOD(A221,4),各职业基础配置!C$32:D$35,2,FALSE)</f>
        <v>1</v>
      </c>
      <c r="F221" s="19">
        <f>IF(A221&lt;900,INDEX(各职业基础配置!C$23:C$28,MOD(ROW(A221),4)+1),0)</f>
        <v>13</v>
      </c>
      <c r="G221" s="19">
        <f t="shared" si="35"/>
        <v>106</v>
      </c>
      <c r="H221" s="27">
        <f t="shared" si="36"/>
        <v>2</v>
      </c>
      <c r="I221" s="6" t="s">
        <v>164</v>
      </c>
      <c r="J221" s="23" t="str">
        <f>VLOOKUP(E221,各职业基础配置!$B$9:$C$12,2,FALSE)</f>
        <v>101|102|103|4201|105</v>
      </c>
      <c r="K221" s="18" t="str">
        <f>VLOOKUP(E221,各职业基础配置!$B$15:$C$18,2,FALSE)</f>
        <v>24|25|26|27</v>
      </c>
      <c r="L221" s="18" t="str">
        <f>VLOOKUP(E221,各职业基础配置!B:C,2,FALSE)</f>
        <v>[{24,1,1},{25,1,1},{26,1,1},{27,1,1},{1,1,1},{2,1,1},{3,1,1}]</v>
      </c>
      <c r="M221" s="18">
        <v>0</v>
      </c>
      <c r="N221" s="18">
        <f t="shared" si="37"/>
        <v>3</v>
      </c>
      <c r="O221" s="18">
        <f>SUMPRODUCT(P221:AI221,Sheet2!$B$3:$U$3)</f>
        <v>418703</v>
      </c>
      <c r="P221" s="18">
        <f>CEILING(INDEX([1]系统模型!$VD:$VD,MATCH(C221,[1]系统模型!$A:$A,0))*POWER(C221/220,3.8)-50+(1000-A221),1)</f>
        <v>8712</v>
      </c>
      <c r="Q221" s="18">
        <f>CEILING(INDEX([1]系统模型!$VE:$VE,MATCH(C221,[1]系统模型!$A:$A,0))*POWER(C221/220,4),1)</f>
        <v>1595</v>
      </c>
      <c r="R221" s="18">
        <f>INT(INDEX([1]系统模型!$VF:$VF,MATCH(C221,[1]系统模型!$A:$A,0))*MAX(POWER(C221/180,4),0.5))</f>
        <v>92553</v>
      </c>
      <c r="S221" s="5">
        <v>1000</v>
      </c>
      <c r="T221" s="25">
        <v>0</v>
      </c>
      <c r="U221" s="25">
        <v>0</v>
      </c>
      <c r="V221" s="25">
        <v>0</v>
      </c>
      <c r="W221" s="25">
        <v>0</v>
      </c>
      <c r="X221" s="25">
        <f t="shared" si="38"/>
        <v>4627</v>
      </c>
      <c r="Y221" s="12">
        <v>0</v>
      </c>
      <c r="Z221" s="25">
        <v>100</v>
      </c>
      <c r="AA221" s="25">
        <v>150</v>
      </c>
      <c r="AB221" s="25">
        <v>0</v>
      </c>
      <c r="AC221" s="25">
        <v>0</v>
      </c>
      <c r="AD221" s="25">
        <v>0</v>
      </c>
      <c r="AE221" s="25">
        <f t="shared" si="39"/>
        <v>434</v>
      </c>
      <c r="AF221" s="25">
        <f t="shared" si="40"/>
        <v>434</v>
      </c>
      <c r="AG221" s="25">
        <v>0</v>
      </c>
      <c r="AH221" s="25">
        <f t="shared" si="41"/>
        <v>7525</v>
      </c>
      <c r="AI221" s="25">
        <f t="shared" si="42"/>
        <v>116</v>
      </c>
      <c r="AJ221" s="25">
        <v>1</v>
      </c>
      <c r="AK221" s="25">
        <v>1000</v>
      </c>
      <c r="AL221" s="25">
        <v>100</v>
      </c>
      <c r="AM221" s="26">
        <v>10</v>
      </c>
      <c r="AN221" s="26">
        <v>10</v>
      </c>
      <c r="AO221" s="22" t="s">
        <v>2211</v>
      </c>
      <c r="AP221" s="26">
        <v>0</v>
      </c>
      <c r="AQ221" s="26">
        <f t="shared" si="43"/>
        <v>780</v>
      </c>
      <c r="AR221" s="18" t="str">
        <f ca="1">CONCATENATE(OFFSET(Sheet1!$A$2,RANDBETWEEN(2,500),0,1,1),OFFSET(Sheet1!$A$2,RANDBETWEEN(2,500),RANDBETWEEN(1,5),1,1))</f>
        <v>亚历山大</v>
      </c>
      <c r="AS221">
        <f>SUMPRODUCT(P221:AI221,Sheet2!$B$3:$U$3)</f>
        <v>418703</v>
      </c>
    </row>
    <row r="222" spans="1:45" x14ac:dyDescent="0.15">
      <c r="A222" s="18">
        <v>221</v>
      </c>
      <c r="B222" s="18" t="s">
        <v>999</v>
      </c>
      <c r="C222" s="18">
        <f t="shared" si="33"/>
        <v>217</v>
      </c>
      <c r="D222" s="19">
        <f t="shared" si="34"/>
        <v>3</v>
      </c>
      <c r="E222" s="19">
        <f>VLOOKUP(MOD(A222,4),各职业基础配置!C$32:D$35,2,FALSE)</f>
        <v>3</v>
      </c>
      <c r="F222" s="19">
        <f>IF(A222&lt;900,INDEX(各职业基础配置!C$23:C$28,MOD(ROW(A222),4)+1),0)</f>
        <v>14</v>
      </c>
      <c r="G222" s="19">
        <f t="shared" si="35"/>
        <v>106</v>
      </c>
      <c r="H222" s="27">
        <f t="shared" si="36"/>
        <v>2</v>
      </c>
      <c r="I222" s="6" t="s">
        <v>164</v>
      </c>
      <c r="J222" s="23" t="str">
        <f>VLOOKUP(E222,各职业基础配置!$B$9:$C$12,2,FALSE)</f>
        <v>106|107|108|4201|110</v>
      </c>
      <c r="K222" s="18" t="str">
        <f>VLOOKUP(E222,各职业基础配置!$B$15:$C$18,2,FALSE)</f>
        <v>20|21|22|23</v>
      </c>
      <c r="L222" s="18" t="str">
        <f>VLOOKUP(E222,各职业基础配置!B:C,2,FALSE)</f>
        <v>[{20,1,1},{21,1,1},{22,1,1},{23,1,1},{4,1,1},{5,1,1},{6,1,1}]</v>
      </c>
      <c r="M222" s="18">
        <v>0</v>
      </c>
      <c r="N222" s="18">
        <f t="shared" si="37"/>
        <v>7</v>
      </c>
      <c r="O222" s="18">
        <f>SUMPRODUCT(P222:AI222,Sheet2!$B$3:$U$3)</f>
        <v>418678</v>
      </c>
      <c r="P222" s="18">
        <f>CEILING(INDEX([1]系统模型!$VD:$VD,MATCH(C222,[1]系统模型!$A:$A,0))*POWER(C222/220,3.8)-50+(1000-A222),1)</f>
        <v>8711</v>
      </c>
      <c r="Q222" s="18">
        <f>CEILING(INDEX([1]系统模型!$VE:$VE,MATCH(C222,[1]系统模型!$A:$A,0))*POWER(C222/220,4),1)</f>
        <v>1595</v>
      </c>
      <c r="R222" s="18">
        <f>INT(INDEX([1]系统模型!$VF:$VF,MATCH(C222,[1]系统模型!$A:$A,0))*MAX(POWER(C222/180,4),0.5))</f>
        <v>92553</v>
      </c>
      <c r="S222" s="5">
        <v>1000</v>
      </c>
      <c r="T222" s="25">
        <v>0</v>
      </c>
      <c r="U222" s="25">
        <v>0</v>
      </c>
      <c r="V222" s="25">
        <v>0</v>
      </c>
      <c r="W222" s="25">
        <v>0</v>
      </c>
      <c r="X222" s="25">
        <f t="shared" si="38"/>
        <v>4627</v>
      </c>
      <c r="Y222" s="12">
        <v>0</v>
      </c>
      <c r="Z222" s="25">
        <v>100</v>
      </c>
      <c r="AA222" s="25">
        <v>150</v>
      </c>
      <c r="AB222" s="25">
        <v>0</v>
      </c>
      <c r="AC222" s="25">
        <v>0</v>
      </c>
      <c r="AD222" s="25">
        <v>0</v>
      </c>
      <c r="AE222" s="25">
        <f t="shared" si="39"/>
        <v>434</v>
      </c>
      <c r="AF222" s="25">
        <f t="shared" si="40"/>
        <v>434</v>
      </c>
      <c r="AG222" s="25">
        <v>0</v>
      </c>
      <c r="AH222" s="25">
        <f t="shared" si="41"/>
        <v>7525</v>
      </c>
      <c r="AI222" s="25">
        <f t="shared" si="42"/>
        <v>116</v>
      </c>
      <c r="AJ222" s="25">
        <v>1</v>
      </c>
      <c r="AK222" s="25">
        <v>1000</v>
      </c>
      <c r="AL222" s="25">
        <v>100</v>
      </c>
      <c r="AM222" s="26">
        <v>10</v>
      </c>
      <c r="AN222" s="26">
        <v>10</v>
      </c>
      <c r="AO222" s="22" t="s">
        <v>2211</v>
      </c>
      <c r="AP222" s="26">
        <v>0</v>
      </c>
      <c r="AQ222" s="26">
        <f t="shared" si="43"/>
        <v>780</v>
      </c>
      <c r="AR222" s="18" t="str">
        <f ca="1">CONCATENATE(OFFSET(Sheet1!$A$2,RANDBETWEEN(2,500),0,1,1),OFFSET(Sheet1!$A$2,RANDBETWEEN(2,500),RANDBETWEEN(1,5),1,1))</f>
        <v>白求恩</v>
      </c>
      <c r="AS222">
        <f>SUMPRODUCT(P222:AI222,Sheet2!$B$3:$U$3)</f>
        <v>418678</v>
      </c>
    </row>
    <row r="223" spans="1:45" x14ac:dyDescent="0.15">
      <c r="A223" s="23">
        <v>222</v>
      </c>
      <c r="B223" s="18" t="s">
        <v>895</v>
      </c>
      <c r="C223" s="18">
        <f t="shared" si="33"/>
        <v>217</v>
      </c>
      <c r="D223" s="19">
        <f t="shared" si="34"/>
        <v>2</v>
      </c>
      <c r="E223" s="19">
        <f>VLOOKUP(MOD(A223,4),各职业基础配置!C$32:D$35,2,FALSE)</f>
        <v>6</v>
      </c>
      <c r="F223" s="19">
        <f>IF(A223&lt;900,INDEX(各职业基础配置!C$23:C$28,MOD(ROW(A223),4)+1),0)</f>
        <v>16</v>
      </c>
      <c r="G223" s="19">
        <f t="shared" si="35"/>
        <v>106</v>
      </c>
      <c r="H223" s="27">
        <f t="shared" si="36"/>
        <v>2</v>
      </c>
      <c r="I223" s="6" t="s">
        <v>164</v>
      </c>
      <c r="J223" s="23" t="str">
        <f>VLOOKUP(E223,各职业基础配置!$B$9:$C$12,2,FALSE)</f>
        <v>111|112|113|4201|115</v>
      </c>
      <c r="K223" s="18" t="str">
        <f>VLOOKUP(E223,各职业基础配置!$B$15:$C$18,2,FALSE)</f>
        <v>32|33|34</v>
      </c>
      <c r="L223" s="18" t="str">
        <f>VLOOKUP(E223,各职业基础配置!B:C,2,FALSE)</f>
        <v>[{32,1,1},{33,1,1},{34,1,1},{35,1,1},{7,1,1},{8,1,1},{9,1,1}]</v>
      </c>
      <c r="M223" s="18">
        <v>0</v>
      </c>
      <c r="N223" s="18">
        <f t="shared" si="37"/>
        <v>7</v>
      </c>
      <c r="O223" s="18">
        <f>SUMPRODUCT(P223:AI223,Sheet2!$B$3:$U$3)</f>
        <v>418653</v>
      </c>
      <c r="P223" s="18">
        <f>CEILING(INDEX([1]系统模型!$VD:$VD,MATCH(C223,[1]系统模型!$A:$A,0))*POWER(C223/220,3.8)-50+(1000-A223),1)</f>
        <v>8710</v>
      </c>
      <c r="Q223" s="18">
        <f>CEILING(INDEX([1]系统模型!$VE:$VE,MATCH(C223,[1]系统模型!$A:$A,0))*POWER(C223/220,4),1)</f>
        <v>1595</v>
      </c>
      <c r="R223" s="18">
        <f>INT(INDEX([1]系统模型!$VF:$VF,MATCH(C223,[1]系统模型!$A:$A,0))*MAX(POWER(C223/180,4),0.5))</f>
        <v>92553</v>
      </c>
      <c r="S223" s="5">
        <v>1000</v>
      </c>
      <c r="T223" s="25">
        <v>0</v>
      </c>
      <c r="U223" s="25">
        <v>0</v>
      </c>
      <c r="V223" s="25">
        <v>0</v>
      </c>
      <c r="W223" s="25">
        <v>0</v>
      </c>
      <c r="X223" s="25">
        <f t="shared" si="38"/>
        <v>4627</v>
      </c>
      <c r="Y223" s="12">
        <v>0</v>
      </c>
      <c r="Z223" s="25">
        <v>100</v>
      </c>
      <c r="AA223" s="25">
        <v>150</v>
      </c>
      <c r="AB223" s="25">
        <v>0</v>
      </c>
      <c r="AC223" s="25">
        <v>0</v>
      </c>
      <c r="AD223" s="25">
        <v>0</v>
      </c>
      <c r="AE223" s="25">
        <f t="shared" si="39"/>
        <v>434</v>
      </c>
      <c r="AF223" s="25">
        <f t="shared" si="40"/>
        <v>434</v>
      </c>
      <c r="AG223" s="25">
        <v>0</v>
      </c>
      <c r="AH223" s="25">
        <f t="shared" si="41"/>
        <v>7525</v>
      </c>
      <c r="AI223" s="25">
        <f t="shared" si="42"/>
        <v>116</v>
      </c>
      <c r="AJ223" s="25">
        <v>1</v>
      </c>
      <c r="AK223" s="25">
        <v>1000</v>
      </c>
      <c r="AL223" s="25">
        <v>100</v>
      </c>
      <c r="AM223" s="26">
        <v>10</v>
      </c>
      <c r="AN223" s="26">
        <v>10</v>
      </c>
      <c r="AO223" s="22" t="s">
        <v>2211</v>
      </c>
      <c r="AP223" s="26">
        <v>0</v>
      </c>
      <c r="AQ223" s="26">
        <f t="shared" si="43"/>
        <v>780</v>
      </c>
      <c r="AR223" s="18" t="str">
        <f ca="1">CONCATENATE(OFFSET(Sheet1!$A$2,RANDBETWEEN(2,500),0,1,1),OFFSET(Sheet1!$A$2,RANDBETWEEN(2,500),RANDBETWEEN(1,5),1,1))</f>
        <v>查普林</v>
      </c>
      <c r="AS223">
        <f>SUMPRODUCT(P223:AI223,Sheet2!$B$3:$U$3)</f>
        <v>418653</v>
      </c>
    </row>
    <row r="224" spans="1:45" x14ac:dyDescent="0.15">
      <c r="A224" s="18">
        <v>223</v>
      </c>
      <c r="B224" s="18" t="s">
        <v>1923</v>
      </c>
      <c r="C224" s="18">
        <f t="shared" si="33"/>
        <v>216</v>
      </c>
      <c r="D224" s="19">
        <f t="shared" si="34"/>
        <v>3</v>
      </c>
      <c r="E224" s="19">
        <f>VLOOKUP(MOD(A224,4),各职业基础配置!C$32:D$35,2,FALSE)</f>
        <v>9</v>
      </c>
      <c r="F224" s="19">
        <f>IF(A224&lt;900,INDEX(各职业基础配置!C$23:C$28,MOD(ROW(A224),4)+1),0)</f>
        <v>8</v>
      </c>
      <c r="G224" s="19">
        <f t="shared" si="35"/>
        <v>103</v>
      </c>
      <c r="H224" s="27">
        <f t="shared" si="36"/>
        <v>2</v>
      </c>
      <c r="I224" s="6" t="s">
        <v>164</v>
      </c>
      <c r="J224" s="23" t="str">
        <f>VLOOKUP(E224,各职业基础配置!$B$9:$C$12,2,FALSE)</f>
        <v>116|117|118|4201|120</v>
      </c>
      <c r="K224" s="18" t="str">
        <f>VLOOKUP(E224,各职业基础配置!$B$15:$C$18,2,FALSE)</f>
        <v>28|29|30|31</v>
      </c>
      <c r="L224" s="18" t="str">
        <f>VLOOKUP(E224,各职业基础配置!B:C,2,FALSE)</f>
        <v>[{28,1,1},{29,1,1},{30,1,1},{31,1,1},{10,1,1},{11,1,1},{12,1,1}]</v>
      </c>
      <c r="M224" s="18">
        <v>0</v>
      </c>
      <c r="N224" s="18">
        <f t="shared" si="37"/>
        <v>3</v>
      </c>
      <c r="O224" s="18">
        <f>SUMPRODUCT(P224:AI224,Sheet2!$B$3:$U$3)</f>
        <v>410536</v>
      </c>
      <c r="P224" s="18">
        <f>CEILING(INDEX([1]系统模型!$VD:$VD,MATCH(C224,[1]系统模型!$A:$A,0))*POWER(C224/220,3.8)-50+(1000-A224),1)</f>
        <v>8539</v>
      </c>
      <c r="Q224" s="18">
        <f>CEILING(INDEX([1]系统模型!$VE:$VE,MATCH(C224,[1]系统模型!$A:$A,0))*POWER(C224/220,4),1)</f>
        <v>1554</v>
      </c>
      <c r="R224" s="18">
        <f>INT(INDEX([1]系统模型!$VF:$VF,MATCH(C224,[1]系统模型!$A:$A,0))*MAX(POWER(C224/180,4),0.5))</f>
        <v>90286</v>
      </c>
      <c r="S224" s="5">
        <v>1000</v>
      </c>
      <c r="T224" s="25">
        <v>0</v>
      </c>
      <c r="U224" s="25">
        <v>0</v>
      </c>
      <c r="V224" s="25">
        <v>0</v>
      </c>
      <c r="W224" s="25">
        <v>0</v>
      </c>
      <c r="X224" s="25">
        <f t="shared" si="38"/>
        <v>4514</v>
      </c>
      <c r="Y224" s="12">
        <v>0</v>
      </c>
      <c r="Z224" s="25">
        <v>100</v>
      </c>
      <c r="AA224" s="25">
        <v>150</v>
      </c>
      <c r="AB224" s="25">
        <v>0</v>
      </c>
      <c r="AC224" s="25">
        <v>0</v>
      </c>
      <c r="AD224" s="25">
        <v>0</v>
      </c>
      <c r="AE224" s="25">
        <f t="shared" si="39"/>
        <v>432</v>
      </c>
      <c r="AF224" s="25">
        <f t="shared" si="40"/>
        <v>432</v>
      </c>
      <c r="AG224" s="25">
        <v>0</v>
      </c>
      <c r="AH224" s="25">
        <f t="shared" si="41"/>
        <v>7450</v>
      </c>
      <c r="AI224" s="25">
        <f t="shared" si="42"/>
        <v>113</v>
      </c>
      <c r="AJ224" s="25">
        <v>1</v>
      </c>
      <c r="AK224" s="25">
        <v>1000</v>
      </c>
      <c r="AL224" s="25">
        <v>100</v>
      </c>
      <c r="AM224" s="26">
        <v>10</v>
      </c>
      <c r="AN224" s="26">
        <v>10</v>
      </c>
      <c r="AO224" s="22" t="s">
        <v>2211</v>
      </c>
      <c r="AP224" s="26">
        <v>0</v>
      </c>
      <c r="AQ224" s="26">
        <f t="shared" si="43"/>
        <v>780</v>
      </c>
      <c r="AR224" s="18" t="str">
        <f ca="1">CONCATENATE(OFFSET(Sheet1!$A$2,RANDBETWEEN(2,500),0,1,1),OFFSET(Sheet1!$A$2,RANDBETWEEN(2,500),RANDBETWEEN(1,5),1,1))</f>
        <v>哈罗德旋律</v>
      </c>
      <c r="AS224">
        <f>SUMPRODUCT(P224:AI224,Sheet2!$B$3:$U$3)</f>
        <v>410536</v>
      </c>
    </row>
    <row r="225" spans="1:45" x14ac:dyDescent="0.15">
      <c r="A225" s="18">
        <v>224</v>
      </c>
      <c r="B225" s="18" t="s">
        <v>560</v>
      </c>
      <c r="C225" s="18">
        <f t="shared" si="33"/>
        <v>216</v>
      </c>
      <c r="D225" s="19">
        <f t="shared" si="34"/>
        <v>2</v>
      </c>
      <c r="E225" s="19">
        <f>VLOOKUP(MOD(A225,4),各职业基础配置!C$32:D$35,2,FALSE)</f>
        <v>1</v>
      </c>
      <c r="F225" s="19">
        <f>IF(A225&lt;900,INDEX(各职业基础配置!C$23:C$28,MOD(ROW(A225),4)+1),0)</f>
        <v>13</v>
      </c>
      <c r="G225" s="19">
        <f t="shared" si="35"/>
        <v>103</v>
      </c>
      <c r="H225" s="27">
        <f t="shared" si="36"/>
        <v>2</v>
      </c>
      <c r="I225" s="6" t="s">
        <v>164</v>
      </c>
      <c r="J225" s="23" t="str">
        <f>VLOOKUP(E225,各职业基础配置!$B$9:$C$12,2,FALSE)</f>
        <v>101|102|103|4201|105</v>
      </c>
      <c r="K225" s="18" t="str">
        <f>VLOOKUP(E225,各职业基础配置!$B$15:$C$18,2,FALSE)</f>
        <v>24|25|26|27</v>
      </c>
      <c r="L225" s="18" t="str">
        <f>VLOOKUP(E225,各职业基础配置!B:C,2,FALSE)</f>
        <v>[{24,1,1},{25,1,1},{26,1,1},{27,1,1},{1,1,1},{2,1,1},{3,1,1}]</v>
      </c>
      <c r="M225" s="18">
        <v>0</v>
      </c>
      <c r="N225" s="18">
        <f t="shared" si="37"/>
        <v>3</v>
      </c>
      <c r="O225" s="18">
        <f>SUMPRODUCT(P225:AI225,Sheet2!$B$3:$U$3)</f>
        <v>410511</v>
      </c>
      <c r="P225" s="18">
        <f>CEILING(INDEX([1]系统模型!$VD:$VD,MATCH(C225,[1]系统模型!$A:$A,0))*POWER(C225/220,3.8)-50+(1000-A225),1)</f>
        <v>8538</v>
      </c>
      <c r="Q225" s="18">
        <f>CEILING(INDEX([1]系统模型!$VE:$VE,MATCH(C225,[1]系统模型!$A:$A,0))*POWER(C225/220,4),1)</f>
        <v>1554</v>
      </c>
      <c r="R225" s="18">
        <f>INT(INDEX([1]系统模型!$VF:$VF,MATCH(C225,[1]系统模型!$A:$A,0))*MAX(POWER(C225/180,4),0.5))</f>
        <v>90286</v>
      </c>
      <c r="S225" s="5">
        <v>1000</v>
      </c>
      <c r="T225" s="25">
        <v>0</v>
      </c>
      <c r="U225" s="25">
        <v>0</v>
      </c>
      <c r="V225" s="25">
        <v>0</v>
      </c>
      <c r="W225" s="25">
        <v>0</v>
      </c>
      <c r="X225" s="25">
        <f t="shared" si="38"/>
        <v>4514</v>
      </c>
      <c r="Y225" s="12">
        <v>0</v>
      </c>
      <c r="Z225" s="25">
        <v>100</v>
      </c>
      <c r="AA225" s="25">
        <v>150</v>
      </c>
      <c r="AB225" s="25">
        <v>0</v>
      </c>
      <c r="AC225" s="25">
        <v>0</v>
      </c>
      <c r="AD225" s="25">
        <v>0</v>
      </c>
      <c r="AE225" s="25">
        <f t="shared" si="39"/>
        <v>432</v>
      </c>
      <c r="AF225" s="25">
        <f t="shared" si="40"/>
        <v>432</v>
      </c>
      <c r="AG225" s="25">
        <v>0</v>
      </c>
      <c r="AH225" s="25">
        <f t="shared" si="41"/>
        <v>7450</v>
      </c>
      <c r="AI225" s="25">
        <f t="shared" si="42"/>
        <v>113</v>
      </c>
      <c r="AJ225" s="25">
        <v>1</v>
      </c>
      <c r="AK225" s="25">
        <v>1000</v>
      </c>
      <c r="AL225" s="25">
        <v>100</v>
      </c>
      <c r="AM225" s="26">
        <v>10</v>
      </c>
      <c r="AN225" s="26">
        <v>10</v>
      </c>
      <c r="AO225" s="22" t="s">
        <v>2211</v>
      </c>
      <c r="AP225" s="26">
        <v>0</v>
      </c>
      <c r="AQ225" s="26">
        <f t="shared" si="43"/>
        <v>780</v>
      </c>
      <c r="AR225" s="18" t="str">
        <f ca="1">CONCATENATE(OFFSET(Sheet1!$A$2,RANDBETWEEN(2,500),0,1,1),OFFSET(Sheet1!$A$2,RANDBETWEEN(2,500),RANDBETWEEN(1,5),1,1))</f>
        <v>哈林顿</v>
      </c>
      <c r="AS225">
        <f>SUMPRODUCT(P225:AI225,Sheet2!$B$3:$U$3)</f>
        <v>410511</v>
      </c>
    </row>
    <row r="226" spans="1:45" x14ac:dyDescent="0.15">
      <c r="A226" s="23">
        <v>225</v>
      </c>
      <c r="B226" s="18" t="s">
        <v>1184</v>
      </c>
      <c r="C226" s="18">
        <f t="shared" si="33"/>
        <v>216</v>
      </c>
      <c r="D226" s="19">
        <f t="shared" si="34"/>
        <v>3</v>
      </c>
      <c r="E226" s="19">
        <f>VLOOKUP(MOD(A226,4),各职业基础配置!C$32:D$35,2,FALSE)</f>
        <v>3</v>
      </c>
      <c r="F226" s="19">
        <f>IF(A226&lt;900,INDEX(各职业基础配置!C$23:C$28,MOD(ROW(A226),4)+1),0)</f>
        <v>14</v>
      </c>
      <c r="G226" s="19">
        <f t="shared" si="35"/>
        <v>103</v>
      </c>
      <c r="H226" s="27">
        <f t="shared" si="36"/>
        <v>2</v>
      </c>
      <c r="I226" s="6" t="s">
        <v>164</v>
      </c>
      <c r="J226" s="23" t="str">
        <f>VLOOKUP(E226,各职业基础配置!$B$9:$C$12,2,FALSE)</f>
        <v>106|107|108|4201|110</v>
      </c>
      <c r="K226" s="18" t="str">
        <f>VLOOKUP(E226,各职业基础配置!$B$15:$C$18,2,FALSE)</f>
        <v>20|21|22|23</v>
      </c>
      <c r="L226" s="18" t="str">
        <f>VLOOKUP(E226,各职业基础配置!B:C,2,FALSE)</f>
        <v>[{20,1,1},{21,1,1},{22,1,1},{23,1,1},{4,1,1},{5,1,1},{6,1,1}]</v>
      </c>
      <c r="M226" s="18">
        <v>0</v>
      </c>
      <c r="N226" s="18">
        <f t="shared" si="37"/>
        <v>7</v>
      </c>
      <c r="O226" s="18">
        <f>SUMPRODUCT(P226:AI226,Sheet2!$B$3:$U$3)</f>
        <v>410486</v>
      </c>
      <c r="P226" s="18">
        <f>CEILING(INDEX([1]系统模型!$VD:$VD,MATCH(C226,[1]系统模型!$A:$A,0))*POWER(C226/220,3.8)-50+(1000-A226),1)</f>
        <v>8537</v>
      </c>
      <c r="Q226" s="18">
        <f>CEILING(INDEX([1]系统模型!$VE:$VE,MATCH(C226,[1]系统模型!$A:$A,0))*POWER(C226/220,4),1)</f>
        <v>1554</v>
      </c>
      <c r="R226" s="18">
        <f>INT(INDEX([1]系统模型!$VF:$VF,MATCH(C226,[1]系统模型!$A:$A,0))*MAX(POWER(C226/180,4),0.5))</f>
        <v>90286</v>
      </c>
      <c r="S226" s="5">
        <v>1000</v>
      </c>
      <c r="T226" s="25">
        <v>0</v>
      </c>
      <c r="U226" s="25">
        <v>0</v>
      </c>
      <c r="V226" s="25">
        <v>0</v>
      </c>
      <c r="W226" s="25">
        <v>0</v>
      </c>
      <c r="X226" s="25">
        <f t="shared" si="38"/>
        <v>4514</v>
      </c>
      <c r="Y226" s="12">
        <v>0</v>
      </c>
      <c r="Z226" s="25">
        <v>100</v>
      </c>
      <c r="AA226" s="25">
        <v>150</v>
      </c>
      <c r="AB226" s="25">
        <v>0</v>
      </c>
      <c r="AC226" s="25">
        <v>0</v>
      </c>
      <c r="AD226" s="25">
        <v>0</v>
      </c>
      <c r="AE226" s="25">
        <f t="shared" si="39"/>
        <v>432</v>
      </c>
      <c r="AF226" s="25">
        <f t="shared" si="40"/>
        <v>432</v>
      </c>
      <c r="AG226" s="25">
        <v>0</v>
      </c>
      <c r="AH226" s="25">
        <f t="shared" si="41"/>
        <v>7450</v>
      </c>
      <c r="AI226" s="25">
        <f t="shared" si="42"/>
        <v>113</v>
      </c>
      <c r="AJ226" s="25">
        <v>1</v>
      </c>
      <c r="AK226" s="25">
        <v>1000</v>
      </c>
      <c r="AL226" s="25">
        <v>100</v>
      </c>
      <c r="AM226" s="26">
        <v>10</v>
      </c>
      <c r="AN226" s="26">
        <v>10</v>
      </c>
      <c r="AO226" s="22" t="s">
        <v>2211</v>
      </c>
      <c r="AP226" s="26">
        <v>0</v>
      </c>
      <c r="AQ226" s="26">
        <f t="shared" si="43"/>
        <v>780</v>
      </c>
      <c r="AR226" s="18" t="str">
        <f ca="1">CONCATENATE(OFFSET(Sheet1!$A$2,RANDBETWEEN(2,500),0,1,1),OFFSET(Sheet1!$A$2,RANDBETWEEN(2,500),RANDBETWEEN(1,5),1,1))</f>
        <v>休斯敦</v>
      </c>
      <c r="AS226">
        <f>SUMPRODUCT(P226:AI226,Sheet2!$B$3:$U$3)</f>
        <v>410486</v>
      </c>
    </row>
    <row r="227" spans="1:45" x14ac:dyDescent="0.15">
      <c r="A227" s="18">
        <v>226</v>
      </c>
      <c r="B227" s="18" t="s">
        <v>878</v>
      </c>
      <c r="C227" s="18">
        <f t="shared" si="33"/>
        <v>216</v>
      </c>
      <c r="D227" s="19">
        <f t="shared" si="34"/>
        <v>2</v>
      </c>
      <c r="E227" s="19">
        <f>VLOOKUP(MOD(A227,4),各职业基础配置!C$32:D$35,2,FALSE)</f>
        <v>6</v>
      </c>
      <c r="F227" s="19">
        <f>IF(A227&lt;900,INDEX(各职业基础配置!C$23:C$28,MOD(ROW(A227),4)+1),0)</f>
        <v>16</v>
      </c>
      <c r="G227" s="19">
        <f t="shared" si="35"/>
        <v>103</v>
      </c>
      <c r="H227" s="27">
        <f t="shared" si="36"/>
        <v>2</v>
      </c>
      <c r="I227" s="6" t="s">
        <v>164</v>
      </c>
      <c r="J227" s="23" t="str">
        <f>VLOOKUP(E227,各职业基础配置!$B$9:$C$12,2,FALSE)</f>
        <v>111|112|113|4201|115</v>
      </c>
      <c r="K227" s="18" t="str">
        <f>VLOOKUP(E227,各职业基础配置!$B$15:$C$18,2,FALSE)</f>
        <v>32|33|34</v>
      </c>
      <c r="L227" s="18" t="str">
        <f>VLOOKUP(E227,各职业基础配置!B:C,2,FALSE)</f>
        <v>[{32,1,1},{33,1,1},{34,1,1},{35,1,1},{7,1,1},{8,1,1},{9,1,1}]</v>
      </c>
      <c r="M227" s="18">
        <v>0</v>
      </c>
      <c r="N227" s="18">
        <f t="shared" si="37"/>
        <v>7</v>
      </c>
      <c r="O227" s="18">
        <f>SUMPRODUCT(P227:AI227,Sheet2!$B$3:$U$3)</f>
        <v>410461</v>
      </c>
      <c r="P227" s="18">
        <f>CEILING(INDEX([1]系统模型!$VD:$VD,MATCH(C227,[1]系统模型!$A:$A,0))*POWER(C227/220,3.8)-50+(1000-A227),1)</f>
        <v>8536</v>
      </c>
      <c r="Q227" s="18">
        <f>CEILING(INDEX([1]系统模型!$VE:$VE,MATCH(C227,[1]系统模型!$A:$A,0))*POWER(C227/220,4),1)</f>
        <v>1554</v>
      </c>
      <c r="R227" s="18">
        <f>INT(INDEX([1]系统模型!$VF:$VF,MATCH(C227,[1]系统模型!$A:$A,0))*MAX(POWER(C227/180,4),0.5))</f>
        <v>90286</v>
      </c>
      <c r="S227" s="5">
        <v>1000</v>
      </c>
      <c r="T227" s="25">
        <v>0</v>
      </c>
      <c r="U227" s="25">
        <v>0</v>
      </c>
      <c r="V227" s="25">
        <v>0</v>
      </c>
      <c r="W227" s="25">
        <v>0</v>
      </c>
      <c r="X227" s="25">
        <f t="shared" si="38"/>
        <v>4514</v>
      </c>
      <c r="Y227" s="12">
        <v>0</v>
      </c>
      <c r="Z227" s="25">
        <v>100</v>
      </c>
      <c r="AA227" s="25">
        <v>150</v>
      </c>
      <c r="AB227" s="25">
        <v>0</v>
      </c>
      <c r="AC227" s="25">
        <v>0</v>
      </c>
      <c r="AD227" s="25">
        <v>0</v>
      </c>
      <c r="AE227" s="25">
        <f t="shared" si="39"/>
        <v>432</v>
      </c>
      <c r="AF227" s="25">
        <f t="shared" si="40"/>
        <v>432</v>
      </c>
      <c r="AG227" s="25">
        <v>0</v>
      </c>
      <c r="AH227" s="25">
        <f t="shared" si="41"/>
        <v>7450</v>
      </c>
      <c r="AI227" s="25">
        <f t="shared" si="42"/>
        <v>113</v>
      </c>
      <c r="AJ227" s="25">
        <v>1</v>
      </c>
      <c r="AK227" s="25">
        <v>1000</v>
      </c>
      <c r="AL227" s="25">
        <v>100</v>
      </c>
      <c r="AM227" s="26">
        <v>10</v>
      </c>
      <c r="AN227" s="26">
        <v>10</v>
      </c>
      <c r="AO227" s="22" t="s">
        <v>2211</v>
      </c>
      <c r="AP227" s="26">
        <v>0</v>
      </c>
      <c r="AQ227" s="26">
        <f t="shared" si="43"/>
        <v>770</v>
      </c>
      <c r="AR227" s="18" t="str">
        <f ca="1">CONCATENATE(OFFSET(Sheet1!$A$2,RANDBETWEEN(2,500),0,1,1),OFFSET(Sheet1!$A$2,RANDBETWEEN(2,500),RANDBETWEEN(1,5),1,1))</f>
        <v>多宾</v>
      </c>
      <c r="AS227">
        <f>SUMPRODUCT(P227:AI227,Sheet2!$B$3:$U$3)</f>
        <v>410461</v>
      </c>
    </row>
    <row r="228" spans="1:45" x14ac:dyDescent="0.15">
      <c r="A228" s="18">
        <v>227</v>
      </c>
      <c r="B228" s="18" t="s">
        <v>402</v>
      </c>
      <c r="C228" s="18">
        <f t="shared" si="33"/>
        <v>216</v>
      </c>
      <c r="D228" s="19">
        <f t="shared" si="34"/>
        <v>3</v>
      </c>
      <c r="E228" s="19">
        <f>VLOOKUP(MOD(A228,4),各职业基础配置!C$32:D$35,2,FALSE)</f>
        <v>9</v>
      </c>
      <c r="F228" s="19">
        <f>IF(A228&lt;900,INDEX(各职业基础配置!C$23:C$28,MOD(ROW(A228),4)+1),0)</f>
        <v>8</v>
      </c>
      <c r="G228" s="19">
        <f t="shared" si="35"/>
        <v>103</v>
      </c>
      <c r="H228" s="27">
        <f t="shared" si="36"/>
        <v>2</v>
      </c>
      <c r="I228" s="6" t="s">
        <v>164</v>
      </c>
      <c r="J228" s="23" t="str">
        <f>VLOOKUP(E228,各职业基础配置!$B$9:$C$12,2,FALSE)</f>
        <v>116|117|118|4201|120</v>
      </c>
      <c r="K228" s="18" t="str">
        <f>VLOOKUP(E228,各职业基础配置!$B$15:$C$18,2,FALSE)</f>
        <v>28|29|30|31</v>
      </c>
      <c r="L228" s="18" t="str">
        <f>VLOOKUP(E228,各职业基础配置!B:C,2,FALSE)</f>
        <v>[{28,1,1},{29,1,1},{30,1,1},{31,1,1},{10,1,1},{11,1,1},{12,1,1}]</v>
      </c>
      <c r="M228" s="18">
        <v>0</v>
      </c>
      <c r="N228" s="18">
        <f t="shared" si="37"/>
        <v>3</v>
      </c>
      <c r="O228" s="18">
        <f>SUMPRODUCT(P228:AI228,Sheet2!$B$3:$U$3)</f>
        <v>410436</v>
      </c>
      <c r="P228" s="18">
        <f>CEILING(INDEX([1]系统模型!$VD:$VD,MATCH(C228,[1]系统模型!$A:$A,0))*POWER(C228/220,3.8)-50+(1000-A228),1)</f>
        <v>8535</v>
      </c>
      <c r="Q228" s="18">
        <f>CEILING(INDEX([1]系统模型!$VE:$VE,MATCH(C228,[1]系统模型!$A:$A,0))*POWER(C228/220,4),1)</f>
        <v>1554</v>
      </c>
      <c r="R228" s="18">
        <f>INT(INDEX([1]系统模型!$VF:$VF,MATCH(C228,[1]系统模型!$A:$A,0))*MAX(POWER(C228/180,4),0.5))</f>
        <v>90286</v>
      </c>
      <c r="S228" s="5">
        <v>1000</v>
      </c>
      <c r="T228" s="25">
        <v>0</v>
      </c>
      <c r="U228" s="25">
        <v>0</v>
      </c>
      <c r="V228" s="25">
        <v>0</v>
      </c>
      <c r="W228" s="25">
        <v>0</v>
      </c>
      <c r="X228" s="25">
        <f t="shared" si="38"/>
        <v>4514</v>
      </c>
      <c r="Y228" s="12">
        <v>0</v>
      </c>
      <c r="Z228" s="25">
        <v>100</v>
      </c>
      <c r="AA228" s="25">
        <v>150</v>
      </c>
      <c r="AB228" s="25">
        <v>0</v>
      </c>
      <c r="AC228" s="25">
        <v>0</v>
      </c>
      <c r="AD228" s="25">
        <v>0</v>
      </c>
      <c r="AE228" s="25">
        <f t="shared" si="39"/>
        <v>432</v>
      </c>
      <c r="AF228" s="25">
        <f t="shared" si="40"/>
        <v>432</v>
      </c>
      <c r="AG228" s="25">
        <v>0</v>
      </c>
      <c r="AH228" s="25">
        <f t="shared" si="41"/>
        <v>7450</v>
      </c>
      <c r="AI228" s="25">
        <f t="shared" si="42"/>
        <v>113</v>
      </c>
      <c r="AJ228" s="25">
        <v>1</v>
      </c>
      <c r="AK228" s="25">
        <v>1000</v>
      </c>
      <c r="AL228" s="25">
        <v>100</v>
      </c>
      <c r="AM228" s="26">
        <v>10</v>
      </c>
      <c r="AN228" s="26">
        <v>10</v>
      </c>
      <c r="AO228" s="22" t="s">
        <v>2211</v>
      </c>
      <c r="AP228" s="26">
        <v>0</v>
      </c>
      <c r="AQ228" s="26">
        <f t="shared" si="43"/>
        <v>770</v>
      </c>
      <c r="AR228" s="18" t="str">
        <f ca="1">CONCATENATE(OFFSET(Sheet1!$A$2,RANDBETWEEN(2,500),0,1,1),OFFSET(Sheet1!$A$2,RANDBETWEEN(2,500),RANDBETWEEN(1,5),1,1))</f>
        <v>勃特勒西格莉德</v>
      </c>
      <c r="AS228">
        <f>SUMPRODUCT(P228:AI228,Sheet2!$B$3:$U$3)</f>
        <v>410436</v>
      </c>
    </row>
    <row r="229" spans="1:45" x14ac:dyDescent="0.15">
      <c r="A229" s="23">
        <v>228</v>
      </c>
      <c r="B229" s="18" t="s">
        <v>1924</v>
      </c>
      <c r="C229" s="18">
        <f t="shared" si="33"/>
        <v>216</v>
      </c>
      <c r="D229" s="19">
        <f t="shared" si="34"/>
        <v>2</v>
      </c>
      <c r="E229" s="19">
        <f>VLOOKUP(MOD(A229,4),各职业基础配置!C$32:D$35,2,FALSE)</f>
        <v>1</v>
      </c>
      <c r="F229" s="19">
        <f>IF(A229&lt;900,INDEX(各职业基础配置!C$23:C$28,MOD(ROW(A229),4)+1),0)</f>
        <v>13</v>
      </c>
      <c r="G229" s="19">
        <f t="shared" si="35"/>
        <v>103</v>
      </c>
      <c r="H229" s="27">
        <f t="shared" si="36"/>
        <v>2</v>
      </c>
      <c r="I229" s="6" t="s">
        <v>164</v>
      </c>
      <c r="J229" s="23" t="str">
        <f>VLOOKUP(E229,各职业基础配置!$B$9:$C$12,2,FALSE)</f>
        <v>101|102|103|4201|105</v>
      </c>
      <c r="K229" s="18" t="str">
        <f>VLOOKUP(E229,各职业基础配置!$B$15:$C$18,2,FALSE)</f>
        <v>24|25|26|27</v>
      </c>
      <c r="L229" s="18" t="str">
        <f>VLOOKUP(E229,各职业基础配置!B:C,2,FALSE)</f>
        <v>[{24,1,1},{25,1,1},{26,1,1},{27,1,1},{1,1,1},{2,1,1},{3,1,1}]</v>
      </c>
      <c r="M229" s="18">
        <v>0</v>
      </c>
      <c r="N229" s="18">
        <f t="shared" si="37"/>
        <v>3</v>
      </c>
      <c r="O229" s="18">
        <f>SUMPRODUCT(P229:AI229,Sheet2!$B$3:$U$3)</f>
        <v>410411</v>
      </c>
      <c r="P229" s="18">
        <f>CEILING(INDEX([1]系统模型!$VD:$VD,MATCH(C229,[1]系统模型!$A:$A,0))*POWER(C229/220,3.8)-50+(1000-A229),1)</f>
        <v>8534</v>
      </c>
      <c r="Q229" s="18">
        <f>CEILING(INDEX([1]系统模型!$VE:$VE,MATCH(C229,[1]系统模型!$A:$A,0))*POWER(C229/220,4),1)</f>
        <v>1554</v>
      </c>
      <c r="R229" s="18">
        <f>INT(INDEX([1]系统模型!$VF:$VF,MATCH(C229,[1]系统模型!$A:$A,0))*MAX(POWER(C229/180,4),0.5))</f>
        <v>90286</v>
      </c>
      <c r="S229" s="5">
        <v>1000</v>
      </c>
      <c r="T229" s="25">
        <v>0</v>
      </c>
      <c r="U229" s="25">
        <v>0</v>
      </c>
      <c r="V229" s="25">
        <v>0</v>
      </c>
      <c r="W229" s="25">
        <v>0</v>
      </c>
      <c r="X229" s="25">
        <f t="shared" si="38"/>
        <v>4514</v>
      </c>
      <c r="Y229" s="12">
        <v>0</v>
      </c>
      <c r="Z229" s="25">
        <v>100</v>
      </c>
      <c r="AA229" s="25">
        <v>150</v>
      </c>
      <c r="AB229" s="25">
        <v>0</v>
      </c>
      <c r="AC229" s="25">
        <v>0</v>
      </c>
      <c r="AD229" s="25">
        <v>0</v>
      </c>
      <c r="AE229" s="25">
        <f t="shared" si="39"/>
        <v>432</v>
      </c>
      <c r="AF229" s="25">
        <f t="shared" si="40"/>
        <v>432</v>
      </c>
      <c r="AG229" s="25">
        <v>0</v>
      </c>
      <c r="AH229" s="25">
        <f t="shared" si="41"/>
        <v>7450</v>
      </c>
      <c r="AI229" s="25">
        <f t="shared" si="42"/>
        <v>113</v>
      </c>
      <c r="AJ229" s="25">
        <v>1</v>
      </c>
      <c r="AK229" s="25">
        <v>1000</v>
      </c>
      <c r="AL229" s="25">
        <v>100</v>
      </c>
      <c r="AM229" s="26">
        <v>10</v>
      </c>
      <c r="AN229" s="26">
        <v>10</v>
      </c>
      <c r="AO229" s="22" t="s">
        <v>2211</v>
      </c>
      <c r="AP229" s="26">
        <v>0</v>
      </c>
      <c r="AQ229" s="26">
        <f t="shared" si="43"/>
        <v>770</v>
      </c>
      <c r="AR229" s="18" t="str">
        <f ca="1">CONCATENATE(OFFSET(Sheet1!$A$2,RANDBETWEEN(2,500),0,1,1),OFFSET(Sheet1!$A$2,RANDBETWEEN(2,500),RANDBETWEEN(1,5),1,1))</f>
        <v>加登绮莉</v>
      </c>
      <c r="AS229">
        <f>SUMPRODUCT(P229:AI229,Sheet2!$B$3:$U$3)</f>
        <v>410411</v>
      </c>
    </row>
    <row r="230" spans="1:45" x14ac:dyDescent="0.15">
      <c r="A230" s="18">
        <v>229</v>
      </c>
      <c r="B230" s="18" t="s">
        <v>1925</v>
      </c>
      <c r="C230" s="18">
        <f t="shared" si="33"/>
        <v>216</v>
      </c>
      <c r="D230" s="19">
        <f t="shared" si="34"/>
        <v>3</v>
      </c>
      <c r="E230" s="19">
        <f>VLOOKUP(MOD(A230,4),各职业基础配置!C$32:D$35,2,FALSE)</f>
        <v>3</v>
      </c>
      <c r="F230" s="19">
        <f>IF(A230&lt;900,INDEX(各职业基础配置!C$23:C$28,MOD(ROW(A230),4)+1),0)</f>
        <v>14</v>
      </c>
      <c r="G230" s="19">
        <f t="shared" si="35"/>
        <v>103</v>
      </c>
      <c r="H230" s="27">
        <f t="shared" si="36"/>
        <v>2</v>
      </c>
      <c r="I230" s="6" t="s">
        <v>164</v>
      </c>
      <c r="J230" s="23" t="str">
        <f>VLOOKUP(E230,各职业基础配置!$B$9:$C$12,2,FALSE)</f>
        <v>106|107|108|4201|110</v>
      </c>
      <c r="K230" s="18" t="str">
        <f>VLOOKUP(E230,各职业基础配置!$B$15:$C$18,2,FALSE)</f>
        <v>20|21|22|23</v>
      </c>
      <c r="L230" s="18" t="str">
        <f>VLOOKUP(E230,各职业基础配置!B:C,2,FALSE)</f>
        <v>[{20,1,1},{21,1,1},{22,1,1},{23,1,1},{4,1,1},{5,1,1},{6,1,1}]</v>
      </c>
      <c r="M230" s="18">
        <v>0</v>
      </c>
      <c r="N230" s="18">
        <f t="shared" si="37"/>
        <v>7</v>
      </c>
      <c r="O230" s="18">
        <f>SUMPRODUCT(P230:AI230,Sheet2!$B$3:$U$3)</f>
        <v>410386</v>
      </c>
      <c r="P230" s="18">
        <f>CEILING(INDEX([1]系统模型!$VD:$VD,MATCH(C230,[1]系统模型!$A:$A,0))*POWER(C230/220,3.8)-50+(1000-A230),1)</f>
        <v>8533</v>
      </c>
      <c r="Q230" s="18">
        <f>CEILING(INDEX([1]系统模型!$VE:$VE,MATCH(C230,[1]系统模型!$A:$A,0))*POWER(C230/220,4),1)</f>
        <v>1554</v>
      </c>
      <c r="R230" s="18">
        <f>INT(INDEX([1]系统模型!$VF:$VF,MATCH(C230,[1]系统模型!$A:$A,0))*MAX(POWER(C230/180,4),0.5))</f>
        <v>90286</v>
      </c>
      <c r="S230" s="5">
        <v>1000</v>
      </c>
      <c r="T230" s="25">
        <v>0</v>
      </c>
      <c r="U230" s="25">
        <v>0</v>
      </c>
      <c r="V230" s="25">
        <v>0</v>
      </c>
      <c r="W230" s="25">
        <v>0</v>
      </c>
      <c r="X230" s="25">
        <f t="shared" si="38"/>
        <v>4514</v>
      </c>
      <c r="Y230" s="12">
        <v>0</v>
      </c>
      <c r="Z230" s="25">
        <v>100</v>
      </c>
      <c r="AA230" s="25">
        <v>150</v>
      </c>
      <c r="AB230" s="25">
        <v>0</v>
      </c>
      <c r="AC230" s="25">
        <v>0</v>
      </c>
      <c r="AD230" s="25">
        <v>0</v>
      </c>
      <c r="AE230" s="25">
        <f t="shared" si="39"/>
        <v>432</v>
      </c>
      <c r="AF230" s="25">
        <f t="shared" si="40"/>
        <v>432</v>
      </c>
      <c r="AG230" s="25">
        <v>0</v>
      </c>
      <c r="AH230" s="25">
        <f t="shared" si="41"/>
        <v>7450</v>
      </c>
      <c r="AI230" s="25">
        <f t="shared" si="42"/>
        <v>113</v>
      </c>
      <c r="AJ230" s="25">
        <v>1</v>
      </c>
      <c r="AK230" s="25">
        <v>1000</v>
      </c>
      <c r="AL230" s="25">
        <v>100</v>
      </c>
      <c r="AM230" s="26">
        <v>10</v>
      </c>
      <c r="AN230" s="26">
        <v>10</v>
      </c>
      <c r="AO230" s="22" t="s">
        <v>2211</v>
      </c>
      <c r="AP230" s="26">
        <v>0</v>
      </c>
      <c r="AQ230" s="26">
        <f t="shared" si="43"/>
        <v>770</v>
      </c>
      <c r="AR230" s="18" t="str">
        <f ca="1">CONCATENATE(OFFSET(Sheet1!$A$2,RANDBETWEEN(2,500),0,1,1),OFFSET(Sheet1!$A$2,RANDBETWEEN(2,500),RANDBETWEEN(1,5),1,1))</f>
        <v>丘奇</v>
      </c>
      <c r="AS230">
        <f>SUMPRODUCT(P230:AI230,Sheet2!$B$3:$U$3)</f>
        <v>410386</v>
      </c>
    </row>
    <row r="231" spans="1:45" x14ac:dyDescent="0.15">
      <c r="A231" s="18">
        <v>230</v>
      </c>
      <c r="B231" s="18" t="s">
        <v>1165</v>
      </c>
      <c r="C231" s="18">
        <f t="shared" si="33"/>
        <v>215</v>
      </c>
      <c r="D231" s="19">
        <f t="shared" si="34"/>
        <v>2</v>
      </c>
      <c r="E231" s="19">
        <f>VLOOKUP(MOD(A231,4),各职业基础配置!C$32:D$35,2,FALSE)</f>
        <v>6</v>
      </c>
      <c r="F231" s="19">
        <f>IF(A231&lt;900,INDEX(各职业基础配置!C$23:C$28,MOD(ROW(A231),4)+1),0)</f>
        <v>16</v>
      </c>
      <c r="G231" s="19">
        <f t="shared" si="35"/>
        <v>101</v>
      </c>
      <c r="H231" s="27">
        <f t="shared" si="36"/>
        <v>2</v>
      </c>
      <c r="I231" s="6" t="s">
        <v>164</v>
      </c>
      <c r="J231" s="23" t="str">
        <f>VLOOKUP(E231,各职业基础配置!$B$9:$C$12,2,FALSE)</f>
        <v>111|112|113|4201|115</v>
      </c>
      <c r="K231" s="18" t="str">
        <f>VLOOKUP(E231,各职业基础配置!$B$15:$C$18,2,FALSE)</f>
        <v>32|33|34</v>
      </c>
      <c r="L231" s="18" t="str">
        <f>VLOOKUP(E231,各职业基础配置!B:C,2,FALSE)</f>
        <v>[{32,1,1},{33,1,1},{34,1,1},{35,1,1},{7,1,1},{8,1,1},{9,1,1}]</v>
      </c>
      <c r="M231" s="18">
        <v>0</v>
      </c>
      <c r="N231" s="18">
        <f t="shared" si="37"/>
        <v>7</v>
      </c>
      <c r="O231" s="18">
        <f>SUMPRODUCT(P231:AI231,Sheet2!$B$3:$U$3)</f>
        <v>402368</v>
      </c>
      <c r="P231" s="18">
        <f>CEILING(INDEX([1]系统模型!$VD:$VD,MATCH(C231,[1]系统模型!$A:$A,0))*POWER(C231/220,3.8)-50+(1000-A231),1)</f>
        <v>8372</v>
      </c>
      <c r="Q231" s="18">
        <f>CEILING(INDEX([1]系统模型!$VE:$VE,MATCH(C231,[1]系统模型!$A:$A,0))*POWER(C231/220,4),1)</f>
        <v>1511</v>
      </c>
      <c r="R231" s="18">
        <f>INT(INDEX([1]系统模型!$VF:$VF,MATCH(C231,[1]系统模型!$A:$A,0))*MAX(POWER(C231/180,4),0.5))</f>
        <v>87893</v>
      </c>
      <c r="S231" s="5">
        <v>1000</v>
      </c>
      <c r="T231" s="25">
        <v>0</v>
      </c>
      <c r="U231" s="25">
        <v>0</v>
      </c>
      <c r="V231" s="25">
        <v>0</v>
      </c>
      <c r="W231" s="25">
        <v>0</v>
      </c>
      <c r="X231" s="25">
        <f t="shared" si="38"/>
        <v>4394</v>
      </c>
      <c r="Y231" s="12">
        <v>0</v>
      </c>
      <c r="Z231" s="25">
        <v>100</v>
      </c>
      <c r="AA231" s="25">
        <v>150</v>
      </c>
      <c r="AB231" s="25">
        <v>0</v>
      </c>
      <c r="AC231" s="25">
        <v>0</v>
      </c>
      <c r="AD231" s="25">
        <v>0</v>
      </c>
      <c r="AE231" s="25">
        <f t="shared" si="39"/>
        <v>430</v>
      </c>
      <c r="AF231" s="25">
        <f t="shared" si="40"/>
        <v>430</v>
      </c>
      <c r="AG231" s="25">
        <v>0</v>
      </c>
      <c r="AH231" s="25">
        <f t="shared" si="41"/>
        <v>7375</v>
      </c>
      <c r="AI231" s="25">
        <f t="shared" si="42"/>
        <v>111</v>
      </c>
      <c r="AJ231" s="25">
        <v>1</v>
      </c>
      <c r="AK231" s="25">
        <v>1000</v>
      </c>
      <c r="AL231" s="25">
        <v>100</v>
      </c>
      <c r="AM231" s="26">
        <v>10</v>
      </c>
      <c r="AN231" s="26">
        <v>10</v>
      </c>
      <c r="AO231" s="22" t="s">
        <v>2211</v>
      </c>
      <c r="AP231" s="26">
        <v>0</v>
      </c>
      <c r="AQ231" s="26">
        <f t="shared" si="43"/>
        <v>770</v>
      </c>
      <c r="AR231" s="18" t="str">
        <f ca="1">CONCATENATE(OFFSET(Sheet1!$A$2,RANDBETWEEN(2,500),0,1,1),OFFSET(Sheet1!$A$2,RANDBETWEEN(2,500),RANDBETWEEN(1,5),1,1))</f>
        <v>克赖顿</v>
      </c>
      <c r="AS231">
        <f>SUMPRODUCT(P231:AI231,Sheet2!$B$3:$U$3)</f>
        <v>402368</v>
      </c>
    </row>
    <row r="232" spans="1:45" x14ac:dyDescent="0.15">
      <c r="A232" s="23">
        <v>231</v>
      </c>
      <c r="B232" s="18" t="s">
        <v>838</v>
      </c>
      <c r="C232" s="18">
        <f t="shared" si="33"/>
        <v>215</v>
      </c>
      <c r="D232" s="19">
        <f t="shared" si="34"/>
        <v>3</v>
      </c>
      <c r="E232" s="19">
        <f>VLOOKUP(MOD(A232,4),各职业基础配置!C$32:D$35,2,FALSE)</f>
        <v>9</v>
      </c>
      <c r="F232" s="19">
        <f>IF(A232&lt;900,INDEX(各职业基础配置!C$23:C$28,MOD(ROW(A232),4)+1),0)</f>
        <v>8</v>
      </c>
      <c r="G232" s="19">
        <f t="shared" si="35"/>
        <v>101</v>
      </c>
      <c r="H232" s="27">
        <f t="shared" si="36"/>
        <v>2</v>
      </c>
      <c r="I232" s="6" t="s">
        <v>164</v>
      </c>
      <c r="J232" s="23" t="str">
        <f>VLOOKUP(E232,各职业基础配置!$B$9:$C$12,2,FALSE)</f>
        <v>116|117|118|4201|120</v>
      </c>
      <c r="K232" s="18" t="str">
        <f>VLOOKUP(E232,各职业基础配置!$B$15:$C$18,2,FALSE)</f>
        <v>28|29|30|31</v>
      </c>
      <c r="L232" s="18" t="str">
        <f>VLOOKUP(E232,各职业基础配置!B:C,2,FALSE)</f>
        <v>[{28,1,1},{29,1,1},{30,1,1},{31,1,1},{10,1,1},{11,1,1},{12,1,1}]</v>
      </c>
      <c r="M232" s="18">
        <v>0</v>
      </c>
      <c r="N232" s="18">
        <f t="shared" si="37"/>
        <v>3</v>
      </c>
      <c r="O232" s="18">
        <f>SUMPRODUCT(P232:AI232,Sheet2!$B$3:$U$3)</f>
        <v>402343</v>
      </c>
      <c r="P232" s="18">
        <f>CEILING(INDEX([1]系统模型!$VD:$VD,MATCH(C232,[1]系统模型!$A:$A,0))*POWER(C232/220,3.8)-50+(1000-A232),1)</f>
        <v>8371</v>
      </c>
      <c r="Q232" s="18">
        <f>CEILING(INDEX([1]系统模型!$VE:$VE,MATCH(C232,[1]系统模型!$A:$A,0))*POWER(C232/220,4),1)</f>
        <v>1511</v>
      </c>
      <c r="R232" s="18">
        <f>INT(INDEX([1]系统模型!$VF:$VF,MATCH(C232,[1]系统模型!$A:$A,0))*MAX(POWER(C232/180,4),0.5))</f>
        <v>87893</v>
      </c>
      <c r="S232" s="5">
        <v>1000</v>
      </c>
      <c r="T232" s="25">
        <v>0</v>
      </c>
      <c r="U232" s="25">
        <v>0</v>
      </c>
      <c r="V232" s="25">
        <v>0</v>
      </c>
      <c r="W232" s="25">
        <v>0</v>
      </c>
      <c r="X232" s="25">
        <f t="shared" si="38"/>
        <v>4394</v>
      </c>
      <c r="Y232" s="12">
        <v>0</v>
      </c>
      <c r="Z232" s="25">
        <v>100</v>
      </c>
      <c r="AA232" s="25">
        <v>150</v>
      </c>
      <c r="AB232" s="25">
        <v>0</v>
      </c>
      <c r="AC232" s="25">
        <v>0</v>
      </c>
      <c r="AD232" s="25">
        <v>0</v>
      </c>
      <c r="AE232" s="25">
        <f t="shared" si="39"/>
        <v>430</v>
      </c>
      <c r="AF232" s="25">
        <f t="shared" si="40"/>
        <v>430</v>
      </c>
      <c r="AG232" s="25">
        <v>0</v>
      </c>
      <c r="AH232" s="25">
        <f t="shared" si="41"/>
        <v>7375</v>
      </c>
      <c r="AI232" s="25">
        <f t="shared" si="42"/>
        <v>111</v>
      </c>
      <c r="AJ232" s="25">
        <v>1</v>
      </c>
      <c r="AK232" s="25">
        <v>1000</v>
      </c>
      <c r="AL232" s="25">
        <v>100</v>
      </c>
      <c r="AM232" s="26">
        <v>10</v>
      </c>
      <c r="AN232" s="26">
        <v>10</v>
      </c>
      <c r="AO232" s="22" t="s">
        <v>2211</v>
      </c>
      <c r="AP232" s="26">
        <v>0</v>
      </c>
      <c r="AQ232" s="26">
        <f t="shared" si="43"/>
        <v>770</v>
      </c>
      <c r="AR232" s="18" t="str">
        <f ca="1">CONCATENATE(OFFSET(Sheet1!$A$2,RANDBETWEEN(2,500),0,1,1),OFFSET(Sheet1!$A$2,RANDBETWEEN(2,500),RANDBETWEEN(1,5),1,1))</f>
        <v>克里琴斯</v>
      </c>
      <c r="AS232">
        <f>SUMPRODUCT(P232:AI232,Sheet2!$B$3:$U$3)</f>
        <v>402343</v>
      </c>
    </row>
    <row r="233" spans="1:45" x14ac:dyDescent="0.15">
      <c r="A233" s="18">
        <v>232</v>
      </c>
      <c r="B233" s="18" t="s">
        <v>1130</v>
      </c>
      <c r="C233" s="18">
        <f t="shared" si="33"/>
        <v>215</v>
      </c>
      <c r="D233" s="19">
        <f t="shared" si="34"/>
        <v>2</v>
      </c>
      <c r="E233" s="19">
        <f>VLOOKUP(MOD(A233,4),各职业基础配置!C$32:D$35,2,FALSE)</f>
        <v>1</v>
      </c>
      <c r="F233" s="19">
        <f>IF(A233&lt;900,INDEX(各职业基础配置!C$23:C$28,MOD(ROW(A233),4)+1),0)</f>
        <v>13</v>
      </c>
      <c r="G233" s="19">
        <f t="shared" si="35"/>
        <v>101</v>
      </c>
      <c r="H233" s="27">
        <f t="shared" si="36"/>
        <v>2</v>
      </c>
      <c r="I233" s="6" t="s">
        <v>164</v>
      </c>
      <c r="J233" s="23" t="str">
        <f>VLOOKUP(E233,各职业基础配置!$B$9:$C$12,2,FALSE)</f>
        <v>101|102|103|4201|105</v>
      </c>
      <c r="K233" s="18" t="str">
        <f>VLOOKUP(E233,各职业基础配置!$B$15:$C$18,2,FALSE)</f>
        <v>24|25|26|27</v>
      </c>
      <c r="L233" s="18" t="str">
        <f>VLOOKUP(E233,各职业基础配置!B:C,2,FALSE)</f>
        <v>[{24,1,1},{25,1,1},{26,1,1},{27,1,1},{1,1,1},{2,1,1},{3,1,1}]</v>
      </c>
      <c r="M233" s="18">
        <v>0</v>
      </c>
      <c r="N233" s="18">
        <f t="shared" si="37"/>
        <v>3</v>
      </c>
      <c r="O233" s="18">
        <f>SUMPRODUCT(P233:AI233,Sheet2!$B$3:$U$3)</f>
        <v>402318</v>
      </c>
      <c r="P233" s="18">
        <f>CEILING(INDEX([1]系统模型!$VD:$VD,MATCH(C233,[1]系统模型!$A:$A,0))*POWER(C233/220,3.8)-50+(1000-A233),1)</f>
        <v>8370</v>
      </c>
      <c r="Q233" s="18">
        <f>CEILING(INDEX([1]系统模型!$VE:$VE,MATCH(C233,[1]系统模型!$A:$A,0))*POWER(C233/220,4),1)</f>
        <v>1511</v>
      </c>
      <c r="R233" s="18">
        <f>INT(INDEX([1]系统模型!$VF:$VF,MATCH(C233,[1]系统模型!$A:$A,0))*MAX(POWER(C233/180,4),0.5))</f>
        <v>87893</v>
      </c>
      <c r="S233" s="5">
        <v>1000</v>
      </c>
      <c r="T233" s="25">
        <v>0</v>
      </c>
      <c r="U233" s="25">
        <v>0</v>
      </c>
      <c r="V233" s="25">
        <v>0</v>
      </c>
      <c r="W233" s="25">
        <v>0</v>
      </c>
      <c r="X233" s="25">
        <f t="shared" si="38"/>
        <v>4394</v>
      </c>
      <c r="Y233" s="12">
        <v>0</v>
      </c>
      <c r="Z233" s="25">
        <v>100</v>
      </c>
      <c r="AA233" s="25">
        <v>150</v>
      </c>
      <c r="AB233" s="25">
        <v>0</v>
      </c>
      <c r="AC233" s="25">
        <v>0</v>
      </c>
      <c r="AD233" s="25">
        <v>0</v>
      </c>
      <c r="AE233" s="25">
        <f t="shared" si="39"/>
        <v>430</v>
      </c>
      <c r="AF233" s="25">
        <f t="shared" si="40"/>
        <v>430</v>
      </c>
      <c r="AG233" s="25">
        <v>0</v>
      </c>
      <c r="AH233" s="25">
        <f t="shared" si="41"/>
        <v>7375</v>
      </c>
      <c r="AI233" s="25">
        <f t="shared" si="42"/>
        <v>111</v>
      </c>
      <c r="AJ233" s="25">
        <v>1</v>
      </c>
      <c r="AK233" s="25">
        <v>1000</v>
      </c>
      <c r="AL233" s="25">
        <v>100</v>
      </c>
      <c r="AM233" s="26">
        <v>10</v>
      </c>
      <c r="AN233" s="26">
        <v>10</v>
      </c>
      <c r="AO233" s="22" t="s">
        <v>2211</v>
      </c>
      <c r="AP233" s="26">
        <v>0</v>
      </c>
      <c r="AQ233" s="26">
        <f t="shared" si="43"/>
        <v>770</v>
      </c>
      <c r="AR233" s="18" t="str">
        <f ca="1">CONCATENATE(OFFSET(Sheet1!$A$2,RANDBETWEEN(2,500),0,1,1),OFFSET(Sheet1!$A$2,RANDBETWEEN(2,500),RANDBETWEEN(1,5),1,1))</f>
        <v>季星</v>
      </c>
      <c r="AS233">
        <f>SUMPRODUCT(P233:AI233,Sheet2!$B$3:$U$3)</f>
        <v>402318</v>
      </c>
    </row>
    <row r="234" spans="1:45" x14ac:dyDescent="0.15">
      <c r="A234" s="18">
        <v>233</v>
      </c>
      <c r="B234" s="18" t="s">
        <v>1357</v>
      </c>
      <c r="C234" s="18">
        <f t="shared" si="33"/>
        <v>215</v>
      </c>
      <c r="D234" s="19">
        <f t="shared" si="34"/>
        <v>3</v>
      </c>
      <c r="E234" s="19">
        <f>VLOOKUP(MOD(A234,4),各职业基础配置!C$32:D$35,2,FALSE)</f>
        <v>3</v>
      </c>
      <c r="F234" s="19">
        <f>IF(A234&lt;900,INDEX(各职业基础配置!C$23:C$28,MOD(ROW(A234),4)+1),0)</f>
        <v>14</v>
      </c>
      <c r="G234" s="19">
        <f t="shared" si="35"/>
        <v>101</v>
      </c>
      <c r="H234" s="27">
        <f t="shared" si="36"/>
        <v>2</v>
      </c>
      <c r="I234" s="6" t="s">
        <v>164</v>
      </c>
      <c r="J234" s="23" t="str">
        <f>VLOOKUP(E234,各职业基础配置!$B$9:$C$12,2,FALSE)</f>
        <v>106|107|108|4201|110</v>
      </c>
      <c r="K234" s="18" t="str">
        <f>VLOOKUP(E234,各职业基础配置!$B$15:$C$18,2,FALSE)</f>
        <v>20|21|22|23</v>
      </c>
      <c r="L234" s="18" t="str">
        <f>VLOOKUP(E234,各职业基础配置!B:C,2,FALSE)</f>
        <v>[{20,1,1},{21,1,1},{22,1,1},{23,1,1},{4,1,1},{5,1,1},{6,1,1}]</v>
      </c>
      <c r="M234" s="18">
        <v>0</v>
      </c>
      <c r="N234" s="18">
        <f t="shared" si="37"/>
        <v>7</v>
      </c>
      <c r="O234" s="18">
        <f>SUMPRODUCT(P234:AI234,Sheet2!$B$3:$U$3)</f>
        <v>402293</v>
      </c>
      <c r="P234" s="18">
        <f>CEILING(INDEX([1]系统模型!$VD:$VD,MATCH(C234,[1]系统模型!$A:$A,0))*POWER(C234/220,3.8)-50+(1000-A234),1)</f>
        <v>8369</v>
      </c>
      <c r="Q234" s="18">
        <f>CEILING(INDEX([1]系统模型!$VE:$VE,MATCH(C234,[1]系统模型!$A:$A,0))*POWER(C234/220,4),1)</f>
        <v>1511</v>
      </c>
      <c r="R234" s="18">
        <f>INT(INDEX([1]系统模型!$VF:$VF,MATCH(C234,[1]系统模型!$A:$A,0))*MAX(POWER(C234/180,4),0.5))</f>
        <v>87893</v>
      </c>
      <c r="S234" s="5">
        <v>1000</v>
      </c>
      <c r="T234" s="25">
        <v>0</v>
      </c>
      <c r="U234" s="25">
        <v>0</v>
      </c>
      <c r="V234" s="25">
        <v>0</v>
      </c>
      <c r="W234" s="25">
        <v>0</v>
      </c>
      <c r="X234" s="25">
        <f t="shared" si="38"/>
        <v>4394</v>
      </c>
      <c r="Y234" s="12">
        <v>0</v>
      </c>
      <c r="Z234" s="25">
        <v>100</v>
      </c>
      <c r="AA234" s="25">
        <v>150</v>
      </c>
      <c r="AB234" s="25">
        <v>0</v>
      </c>
      <c r="AC234" s="25">
        <v>0</v>
      </c>
      <c r="AD234" s="25">
        <v>0</v>
      </c>
      <c r="AE234" s="25">
        <f t="shared" si="39"/>
        <v>430</v>
      </c>
      <c r="AF234" s="25">
        <f t="shared" si="40"/>
        <v>430</v>
      </c>
      <c r="AG234" s="25">
        <v>0</v>
      </c>
      <c r="AH234" s="25">
        <f t="shared" si="41"/>
        <v>7375</v>
      </c>
      <c r="AI234" s="25">
        <f t="shared" si="42"/>
        <v>111</v>
      </c>
      <c r="AJ234" s="25">
        <v>1</v>
      </c>
      <c r="AK234" s="25">
        <v>1000</v>
      </c>
      <c r="AL234" s="25">
        <v>100</v>
      </c>
      <c r="AM234" s="26">
        <v>10</v>
      </c>
      <c r="AN234" s="26">
        <v>10</v>
      </c>
      <c r="AO234" s="22" t="s">
        <v>2211</v>
      </c>
      <c r="AP234" s="26">
        <v>0</v>
      </c>
      <c r="AQ234" s="26">
        <f t="shared" si="43"/>
        <v>770</v>
      </c>
      <c r="AR234" s="18" t="str">
        <f ca="1">CONCATENATE(OFFSET(Sheet1!$A$2,RANDBETWEEN(2,500),0,1,1),OFFSET(Sheet1!$A$2,RANDBETWEEN(2,500),RANDBETWEEN(1,5),1,1))</f>
        <v>格莱斯顿</v>
      </c>
      <c r="AS234">
        <f>SUMPRODUCT(P234:AI234,Sheet2!$B$3:$U$3)</f>
        <v>402293</v>
      </c>
    </row>
    <row r="235" spans="1:45" x14ac:dyDescent="0.15">
      <c r="A235" s="23">
        <v>234</v>
      </c>
      <c r="B235" s="18" t="s">
        <v>1039</v>
      </c>
      <c r="C235" s="18">
        <f t="shared" si="33"/>
        <v>215</v>
      </c>
      <c r="D235" s="19">
        <f t="shared" si="34"/>
        <v>2</v>
      </c>
      <c r="E235" s="19">
        <f>VLOOKUP(MOD(A235,4),各职业基础配置!C$32:D$35,2,FALSE)</f>
        <v>6</v>
      </c>
      <c r="F235" s="19">
        <f>IF(A235&lt;900,INDEX(各职业基础配置!C$23:C$28,MOD(ROW(A235),4)+1),0)</f>
        <v>16</v>
      </c>
      <c r="G235" s="19">
        <f t="shared" si="35"/>
        <v>101</v>
      </c>
      <c r="H235" s="27">
        <f t="shared" si="36"/>
        <v>2</v>
      </c>
      <c r="I235" s="6" t="s">
        <v>164</v>
      </c>
      <c r="J235" s="23" t="str">
        <f>VLOOKUP(E235,各职业基础配置!$B$9:$C$12,2,FALSE)</f>
        <v>111|112|113|4201|115</v>
      </c>
      <c r="K235" s="18" t="str">
        <f>VLOOKUP(E235,各职业基础配置!$B$15:$C$18,2,FALSE)</f>
        <v>32|33|34</v>
      </c>
      <c r="L235" s="18" t="str">
        <f>VLOOKUP(E235,各职业基础配置!B:C,2,FALSE)</f>
        <v>[{32,1,1},{33,1,1},{34,1,1},{35,1,1},{7,1,1},{8,1,1},{9,1,1}]</v>
      </c>
      <c r="M235" s="18">
        <v>0</v>
      </c>
      <c r="N235" s="18">
        <f t="shared" si="37"/>
        <v>7</v>
      </c>
      <c r="O235" s="18">
        <f>SUMPRODUCT(P235:AI235,Sheet2!$B$3:$U$3)</f>
        <v>402268</v>
      </c>
      <c r="P235" s="18">
        <f>CEILING(INDEX([1]系统模型!$VD:$VD,MATCH(C235,[1]系统模型!$A:$A,0))*POWER(C235/220,3.8)-50+(1000-A235),1)</f>
        <v>8368</v>
      </c>
      <c r="Q235" s="18">
        <f>CEILING(INDEX([1]系统模型!$VE:$VE,MATCH(C235,[1]系统模型!$A:$A,0))*POWER(C235/220,4),1)</f>
        <v>1511</v>
      </c>
      <c r="R235" s="18">
        <f>INT(INDEX([1]系统模型!$VF:$VF,MATCH(C235,[1]系统模型!$A:$A,0))*MAX(POWER(C235/180,4),0.5))</f>
        <v>87893</v>
      </c>
      <c r="S235" s="5">
        <v>1000</v>
      </c>
      <c r="T235" s="25">
        <v>0</v>
      </c>
      <c r="U235" s="25">
        <v>0</v>
      </c>
      <c r="V235" s="25">
        <v>0</v>
      </c>
      <c r="W235" s="25">
        <v>0</v>
      </c>
      <c r="X235" s="25">
        <f t="shared" si="38"/>
        <v>4394</v>
      </c>
      <c r="Y235" s="12">
        <v>0</v>
      </c>
      <c r="Z235" s="25">
        <v>100</v>
      </c>
      <c r="AA235" s="25">
        <v>150</v>
      </c>
      <c r="AB235" s="25">
        <v>0</v>
      </c>
      <c r="AC235" s="25">
        <v>0</v>
      </c>
      <c r="AD235" s="25">
        <v>0</v>
      </c>
      <c r="AE235" s="25">
        <f t="shared" si="39"/>
        <v>430</v>
      </c>
      <c r="AF235" s="25">
        <f t="shared" si="40"/>
        <v>430</v>
      </c>
      <c r="AG235" s="25">
        <v>0</v>
      </c>
      <c r="AH235" s="25">
        <f t="shared" si="41"/>
        <v>7375</v>
      </c>
      <c r="AI235" s="25">
        <f t="shared" si="42"/>
        <v>111</v>
      </c>
      <c r="AJ235" s="25">
        <v>1</v>
      </c>
      <c r="AK235" s="25">
        <v>1000</v>
      </c>
      <c r="AL235" s="25">
        <v>100</v>
      </c>
      <c r="AM235" s="26">
        <v>10</v>
      </c>
      <c r="AN235" s="26">
        <v>10</v>
      </c>
      <c r="AO235" s="22" t="s">
        <v>2211</v>
      </c>
      <c r="AP235" s="26">
        <v>0</v>
      </c>
      <c r="AQ235" s="26">
        <f t="shared" si="43"/>
        <v>770</v>
      </c>
      <c r="AR235" s="18" t="str">
        <f ca="1">CONCATENATE(OFFSET(Sheet1!$A$2,RANDBETWEEN(2,500),0,1,1),OFFSET(Sheet1!$A$2,RANDBETWEEN(2,500),RANDBETWEEN(1,5),1,1))</f>
        <v>福克斯妮蒂亚</v>
      </c>
      <c r="AS235">
        <f>SUMPRODUCT(P235:AI235,Sheet2!$B$3:$U$3)</f>
        <v>402268</v>
      </c>
    </row>
    <row r="236" spans="1:45" x14ac:dyDescent="0.15">
      <c r="A236" s="18">
        <v>235</v>
      </c>
      <c r="B236" s="18" t="s">
        <v>587</v>
      </c>
      <c r="C236" s="18">
        <f t="shared" si="33"/>
        <v>215</v>
      </c>
      <c r="D236" s="19">
        <f t="shared" si="34"/>
        <v>3</v>
      </c>
      <c r="E236" s="19">
        <f>VLOOKUP(MOD(A236,4),各职业基础配置!C$32:D$35,2,FALSE)</f>
        <v>9</v>
      </c>
      <c r="F236" s="19">
        <f>IF(A236&lt;900,INDEX(各职业基础配置!C$23:C$28,MOD(ROW(A236),4)+1),0)</f>
        <v>8</v>
      </c>
      <c r="G236" s="19">
        <f t="shared" si="35"/>
        <v>101</v>
      </c>
      <c r="H236" s="27">
        <f t="shared" si="36"/>
        <v>2</v>
      </c>
      <c r="I236" s="6" t="s">
        <v>164</v>
      </c>
      <c r="J236" s="23" t="str">
        <f>VLOOKUP(E236,各职业基础配置!$B$9:$C$12,2,FALSE)</f>
        <v>116|117|118|4201|120</v>
      </c>
      <c r="K236" s="18" t="str">
        <f>VLOOKUP(E236,各职业基础配置!$B$15:$C$18,2,FALSE)</f>
        <v>28|29|30|31</v>
      </c>
      <c r="L236" s="18" t="str">
        <f>VLOOKUP(E236,各职业基础配置!B:C,2,FALSE)</f>
        <v>[{28,1,1},{29,1,1},{30,1,1},{31,1,1},{10,1,1},{11,1,1},{12,1,1}]</v>
      </c>
      <c r="M236" s="18">
        <v>0</v>
      </c>
      <c r="N236" s="18">
        <f t="shared" si="37"/>
        <v>3</v>
      </c>
      <c r="O236" s="18">
        <f>SUMPRODUCT(P236:AI236,Sheet2!$B$3:$U$3)</f>
        <v>402243</v>
      </c>
      <c r="P236" s="18">
        <f>CEILING(INDEX([1]系统模型!$VD:$VD,MATCH(C236,[1]系统模型!$A:$A,0))*POWER(C236/220,3.8)-50+(1000-A236),1)</f>
        <v>8367</v>
      </c>
      <c r="Q236" s="18">
        <f>CEILING(INDEX([1]系统模型!$VE:$VE,MATCH(C236,[1]系统模型!$A:$A,0))*POWER(C236/220,4),1)</f>
        <v>1511</v>
      </c>
      <c r="R236" s="18">
        <f>INT(INDEX([1]系统模型!$VF:$VF,MATCH(C236,[1]系统模型!$A:$A,0))*MAX(POWER(C236/180,4),0.5))</f>
        <v>87893</v>
      </c>
      <c r="S236" s="5">
        <v>1000</v>
      </c>
      <c r="T236" s="25">
        <v>0</v>
      </c>
      <c r="U236" s="25">
        <v>0</v>
      </c>
      <c r="V236" s="25">
        <v>0</v>
      </c>
      <c r="W236" s="25">
        <v>0</v>
      </c>
      <c r="X236" s="25">
        <f t="shared" si="38"/>
        <v>4394</v>
      </c>
      <c r="Y236" s="12">
        <v>0</v>
      </c>
      <c r="Z236" s="25">
        <v>100</v>
      </c>
      <c r="AA236" s="25">
        <v>150</v>
      </c>
      <c r="AB236" s="25">
        <v>0</v>
      </c>
      <c r="AC236" s="25">
        <v>0</v>
      </c>
      <c r="AD236" s="25">
        <v>0</v>
      </c>
      <c r="AE236" s="25">
        <f t="shared" si="39"/>
        <v>430</v>
      </c>
      <c r="AF236" s="25">
        <f t="shared" si="40"/>
        <v>430</v>
      </c>
      <c r="AG236" s="25">
        <v>0</v>
      </c>
      <c r="AH236" s="25">
        <f t="shared" si="41"/>
        <v>7375</v>
      </c>
      <c r="AI236" s="25">
        <f t="shared" si="42"/>
        <v>111</v>
      </c>
      <c r="AJ236" s="25">
        <v>1</v>
      </c>
      <c r="AK236" s="25">
        <v>1000</v>
      </c>
      <c r="AL236" s="25">
        <v>100</v>
      </c>
      <c r="AM236" s="26">
        <v>10</v>
      </c>
      <c r="AN236" s="26">
        <v>10</v>
      </c>
      <c r="AO236" s="22" t="s">
        <v>2211</v>
      </c>
      <c r="AP236" s="26">
        <v>0</v>
      </c>
      <c r="AQ236" s="26">
        <f t="shared" si="43"/>
        <v>770</v>
      </c>
      <c r="AR236" s="18" t="str">
        <f ca="1">CONCATENATE(OFFSET(Sheet1!$A$2,RANDBETWEEN(2,500),0,1,1),OFFSET(Sheet1!$A$2,RANDBETWEEN(2,500),RANDBETWEEN(1,5),1,1))</f>
        <v>格拉德斯通</v>
      </c>
      <c r="AS236">
        <f>SUMPRODUCT(P236:AI236,Sheet2!$B$3:$U$3)</f>
        <v>402243</v>
      </c>
    </row>
    <row r="237" spans="1:45" x14ac:dyDescent="0.15">
      <c r="A237" s="18">
        <v>236</v>
      </c>
      <c r="B237" s="18" t="s">
        <v>1348</v>
      </c>
      <c r="C237" s="18">
        <f t="shared" si="33"/>
        <v>215</v>
      </c>
      <c r="D237" s="19">
        <f t="shared" si="34"/>
        <v>2</v>
      </c>
      <c r="E237" s="19">
        <f>VLOOKUP(MOD(A237,4),各职业基础配置!C$32:D$35,2,FALSE)</f>
        <v>1</v>
      </c>
      <c r="F237" s="19">
        <f>IF(A237&lt;900,INDEX(各职业基础配置!C$23:C$28,MOD(ROW(A237),4)+1),0)</f>
        <v>13</v>
      </c>
      <c r="G237" s="19">
        <f t="shared" si="35"/>
        <v>101</v>
      </c>
      <c r="H237" s="27">
        <f t="shared" si="36"/>
        <v>2</v>
      </c>
      <c r="I237" s="6" t="s">
        <v>164</v>
      </c>
      <c r="J237" s="23" t="str">
        <f>VLOOKUP(E237,各职业基础配置!$B$9:$C$12,2,FALSE)</f>
        <v>101|102|103|4201|105</v>
      </c>
      <c r="K237" s="18" t="str">
        <f>VLOOKUP(E237,各职业基础配置!$B$15:$C$18,2,FALSE)</f>
        <v>24|25|26|27</v>
      </c>
      <c r="L237" s="18" t="str">
        <f>VLOOKUP(E237,各职业基础配置!B:C,2,FALSE)</f>
        <v>[{24,1,1},{25,1,1},{26,1,1},{27,1,1},{1,1,1},{2,1,1},{3,1,1}]</v>
      </c>
      <c r="M237" s="18">
        <v>0</v>
      </c>
      <c r="N237" s="18">
        <f t="shared" si="37"/>
        <v>3</v>
      </c>
      <c r="O237" s="18">
        <f>SUMPRODUCT(P237:AI237,Sheet2!$B$3:$U$3)</f>
        <v>402218</v>
      </c>
      <c r="P237" s="18">
        <f>CEILING(INDEX([1]系统模型!$VD:$VD,MATCH(C237,[1]系统模型!$A:$A,0))*POWER(C237/220,3.8)-50+(1000-A237),1)</f>
        <v>8366</v>
      </c>
      <c r="Q237" s="18">
        <f>CEILING(INDEX([1]系统模型!$VE:$VE,MATCH(C237,[1]系统模型!$A:$A,0))*POWER(C237/220,4),1)</f>
        <v>1511</v>
      </c>
      <c r="R237" s="18">
        <f>INT(INDEX([1]系统模型!$VF:$VF,MATCH(C237,[1]系统模型!$A:$A,0))*MAX(POWER(C237/180,4),0.5))</f>
        <v>87893</v>
      </c>
      <c r="S237" s="5">
        <v>1000</v>
      </c>
      <c r="T237" s="25">
        <v>0</v>
      </c>
      <c r="U237" s="25">
        <v>0</v>
      </c>
      <c r="V237" s="25">
        <v>0</v>
      </c>
      <c r="W237" s="25">
        <v>0</v>
      </c>
      <c r="X237" s="25">
        <f t="shared" si="38"/>
        <v>4394</v>
      </c>
      <c r="Y237" s="12">
        <v>0</v>
      </c>
      <c r="Z237" s="25">
        <v>100</v>
      </c>
      <c r="AA237" s="25">
        <v>150</v>
      </c>
      <c r="AB237" s="25">
        <v>0</v>
      </c>
      <c r="AC237" s="25">
        <v>0</v>
      </c>
      <c r="AD237" s="25">
        <v>0</v>
      </c>
      <c r="AE237" s="25">
        <f t="shared" si="39"/>
        <v>430</v>
      </c>
      <c r="AF237" s="25">
        <f t="shared" si="40"/>
        <v>430</v>
      </c>
      <c r="AG237" s="25">
        <v>0</v>
      </c>
      <c r="AH237" s="25">
        <f t="shared" si="41"/>
        <v>7375</v>
      </c>
      <c r="AI237" s="25">
        <f t="shared" si="42"/>
        <v>111</v>
      </c>
      <c r="AJ237" s="25">
        <v>1</v>
      </c>
      <c r="AK237" s="25">
        <v>1000</v>
      </c>
      <c r="AL237" s="25">
        <v>100</v>
      </c>
      <c r="AM237" s="26">
        <v>10</v>
      </c>
      <c r="AN237" s="26">
        <v>10</v>
      </c>
      <c r="AO237" s="22" t="s">
        <v>2211</v>
      </c>
      <c r="AP237" s="26">
        <v>0</v>
      </c>
      <c r="AQ237" s="26">
        <f t="shared" si="43"/>
        <v>760</v>
      </c>
      <c r="AR237" s="18" t="str">
        <f ca="1">CONCATENATE(OFFSET(Sheet1!$A$2,RANDBETWEEN(2,500),0,1,1),OFFSET(Sheet1!$A$2,RANDBETWEEN(2,500),RANDBETWEEN(1,5),1,1))</f>
        <v>格雷西卡玛</v>
      </c>
      <c r="AS237">
        <f>SUMPRODUCT(P237:AI237,Sheet2!$B$3:$U$3)</f>
        <v>402218</v>
      </c>
    </row>
    <row r="238" spans="1:45" x14ac:dyDescent="0.15">
      <c r="A238" s="23">
        <v>237</v>
      </c>
      <c r="B238" s="18" t="s">
        <v>1926</v>
      </c>
      <c r="C238" s="18">
        <f t="shared" si="33"/>
        <v>214</v>
      </c>
      <c r="D238" s="19">
        <f t="shared" si="34"/>
        <v>3</v>
      </c>
      <c r="E238" s="19">
        <f>VLOOKUP(MOD(A238,4),各职业基础配置!C$32:D$35,2,FALSE)</f>
        <v>3</v>
      </c>
      <c r="F238" s="19">
        <f>IF(A238&lt;900,INDEX(各职业基础配置!C$23:C$28,MOD(ROW(A238),4)+1),0)</f>
        <v>14</v>
      </c>
      <c r="G238" s="19">
        <f t="shared" si="35"/>
        <v>98</v>
      </c>
      <c r="H238" s="27">
        <f t="shared" si="36"/>
        <v>2</v>
      </c>
      <c r="I238" s="6" t="s">
        <v>164</v>
      </c>
      <c r="J238" s="23" t="str">
        <f>VLOOKUP(E238,各职业基础配置!$B$9:$C$12,2,FALSE)</f>
        <v>106|107|108|4201|110</v>
      </c>
      <c r="K238" s="18" t="str">
        <f>VLOOKUP(E238,各职业基础配置!$B$15:$C$18,2,FALSE)</f>
        <v>20|21|22|23</v>
      </c>
      <c r="L238" s="18" t="str">
        <f>VLOOKUP(E238,各职业基础配置!B:C,2,FALSE)</f>
        <v>[{20,1,1},{21,1,1},{22,1,1},{23,1,1},{4,1,1},{5,1,1},{6,1,1}]</v>
      </c>
      <c r="M238" s="18">
        <v>0</v>
      </c>
      <c r="N238" s="18">
        <f t="shared" si="37"/>
        <v>7</v>
      </c>
      <c r="O238" s="18">
        <f>SUMPRODUCT(P238:AI238,Sheet2!$B$3:$U$3)</f>
        <v>393360</v>
      </c>
      <c r="P238" s="18">
        <f>CEILING(INDEX([1]系统模型!$VD:$VD,MATCH(C238,[1]系统模型!$A:$A,0))*POWER(C238/220,3.8)-50+(1000-A238),1)</f>
        <v>8191</v>
      </c>
      <c r="Q238" s="18">
        <f>CEILING(INDEX([1]系统模型!$VE:$VE,MATCH(C238,[1]系统模型!$A:$A,0))*POWER(C238/220,4),1)</f>
        <v>1460</v>
      </c>
      <c r="R238" s="18">
        <f>INT(INDEX([1]系统模型!$VF:$VF,MATCH(C238,[1]系统模型!$A:$A,0))*MAX(POWER(C238/180,4),0.5))</f>
        <v>85210</v>
      </c>
      <c r="S238" s="5">
        <v>1000</v>
      </c>
      <c r="T238" s="25">
        <v>0</v>
      </c>
      <c r="U238" s="25">
        <v>0</v>
      </c>
      <c r="V238" s="25">
        <v>0</v>
      </c>
      <c r="W238" s="25">
        <v>0</v>
      </c>
      <c r="X238" s="25">
        <f t="shared" si="38"/>
        <v>4260</v>
      </c>
      <c r="Y238" s="12">
        <v>0</v>
      </c>
      <c r="Z238" s="25">
        <v>100</v>
      </c>
      <c r="AA238" s="25">
        <v>150</v>
      </c>
      <c r="AB238" s="25">
        <v>0</v>
      </c>
      <c r="AC238" s="25">
        <v>0</v>
      </c>
      <c r="AD238" s="25">
        <v>0</v>
      </c>
      <c r="AE238" s="25">
        <f t="shared" si="39"/>
        <v>428</v>
      </c>
      <c r="AF238" s="25">
        <f t="shared" si="40"/>
        <v>428</v>
      </c>
      <c r="AG238" s="25">
        <v>0</v>
      </c>
      <c r="AH238" s="25">
        <f t="shared" si="41"/>
        <v>7300</v>
      </c>
      <c r="AI238" s="25">
        <f t="shared" si="42"/>
        <v>109</v>
      </c>
      <c r="AJ238" s="25">
        <v>1</v>
      </c>
      <c r="AK238" s="25">
        <v>1000</v>
      </c>
      <c r="AL238" s="25">
        <v>100</v>
      </c>
      <c r="AM238" s="26">
        <v>10</v>
      </c>
      <c r="AN238" s="26">
        <v>10</v>
      </c>
      <c r="AO238" s="22" t="s">
        <v>2211</v>
      </c>
      <c r="AP238" s="26">
        <v>0</v>
      </c>
      <c r="AQ238" s="26">
        <f t="shared" si="43"/>
        <v>760</v>
      </c>
      <c r="AR238" s="18" t="str">
        <f ca="1">CONCATENATE(OFFSET(Sheet1!$A$2,RANDBETWEEN(2,500),0,1,1),OFFSET(Sheet1!$A$2,RANDBETWEEN(2,500),RANDBETWEEN(1,5),1,1))</f>
        <v>安德鲁演绎</v>
      </c>
      <c r="AS238">
        <f>SUMPRODUCT(P238:AI238,Sheet2!$B$3:$U$3)</f>
        <v>393360</v>
      </c>
    </row>
    <row r="239" spans="1:45" x14ac:dyDescent="0.15">
      <c r="A239" s="18">
        <v>238</v>
      </c>
      <c r="B239" s="18" t="s">
        <v>842</v>
      </c>
      <c r="C239" s="18">
        <f t="shared" si="33"/>
        <v>214</v>
      </c>
      <c r="D239" s="19">
        <f t="shared" si="34"/>
        <v>2</v>
      </c>
      <c r="E239" s="19">
        <f>VLOOKUP(MOD(A239,4),各职业基础配置!C$32:D$35,2,FALSE)</f>
        <v>6</v>
      </c>
      <c r="F239" s="19">
        <f>IF(A239&lt;900,INDEX(各职业基础配置!C$23:C$28,MOD(ROW(A239),4)+1),0)</f>
        <v>16</v>
      </c>
      <c r="G239" s="19">
        <f t="shared" si="35"/>
        <v>98</v>
      </c>
      <c r="H239" s="27">
        <f t="shared" si="36"/>
        <v>2</v>
      </c>
      <c r="I239" s="6" t="s">
        <v>164</v>
      </c>
      <c r="J239" s="23" t="str">
        <f>VLOOKUP(E239,各职业基础配置!$B$9:$C$12,2,FALSE)</f>
        <v>111|112|113|4201|115</v>
      </c>
      <c r="K239" s="18" t="str">
        <f>VLOOKUP(E239,各职业基础配置!$B$15:$C$18,2,FALSE)</f>
        <v>32|33|34</v>
      </c>
      <c r="L239" s="18" t="str">
        <f>VLOOKUP(E239,各职业基础配置!B:C,2,FALSE)</f>
        <v>[{32,1,1},{33,1,1},{34,1,1},{35,1,1},{7,1,1},{8,1,1},{9,1,1}]</v>
      </c>
      <c r="M239" s="18">
        <v>0</v>
      </c>
      <c r="N239" s="18">
        <f t="shared" si="37"/>
        <v>7</v>
      </c>
      <c r="O239" s="18">
        <f>SUMPRODUCT(P239:AI239,Sheet2!$B$3:$U$3)</f>
        <v>393335</v>
      </c>
      <c r="P239" s="18">
        <f>CEILING(INDEX([1]系统模型!$VD:$VD,MATCH(C239,[1]系统模型!$A:$A,0))*POWER(C239/220,3.8)-50+(1000-A239),1)</f>
        <v>8190</v>
      </c>
      <c r="Q239" s="18">
        <f>CEILING(INDEX([1]系统模型!$VE:$VE,MATCH(C239,[1]系统模型!$A:$A,0))*POWER(C239/220,4),1)</f>
        <v>1460</v>
      </c>
      <c r="R239" s="18">
        <f>INT(INDEX([1]系统模型!$VF:$VF,MATCH(C239,[1]系统模型!$A:$A,0))*MAX(POWER(C239/180,4),0.5))</f>
        <v>85210</v>
      </c>
      <c r="S239" s="5">
        <v>1000</v>
      </c>
      <c r="T239" s="25">
        <v>0</v>
      </c>
      <c r="U239" s="25">
        <v>0</v>
      </c>
      <c r="V239" s="25">
        <v>0</v>
      </c>
      <c r="W239" s="25">
        <v>0</v>
      </c>
      <c r="X239" s="25">
        <f t="shared" si="38"/>
        <v>4260</v>
      </c>
      <c r="Y239" s="12">
        <v>0</v>
      </c>
      <c r="Z239" s="25">
        <v>100</v>
      </c>
      <c r="AA239" s="25">
        <v>150</v>
      </c>
      <c r="AB239" s="25">
        <v>0</v>
      </c>
      <c r="AC239" s="25">
        <v>0</v>
      </c>
      <c r="AD239" s="25">
        <v>0</v>
      </c>
      <c r="AE239" s="25">
        <f t="shared" si="39"/>
        <v>428</v>
      </c>
      <c r="AF239" s="25">
        <f t="shared" si="40"/>
        <v>428</v>
      </c>
      <c r="AG239" s="25">
        <v>0</v>
      </c>
      <c r="AH239" s="25">
        <f t="shared" si="41"/>
        <v>7300</v>
      </c>
      <c r="AI239" s="25">
        <f t="shared" si="42"/>
        <v>109</v>
      </c>
      <c r="AJ239" s="25">
        <v>1</v>
      </c>
      <c r="AK239" s="25">
        <v>1000</v>
      </c>
      <c r="AL239" s="25">
        <v>100</v>
      </c>
      <c r="AM239" s="26">
        <v>10</v>
      </c>
      <c r="AN239" s="26">
        <v>10</v>
      </c>
      <c r="AO239" s="22" t="s">
        <v>2211</v>
      </c>
      <c r="AP239" s="26">
        <v>0</v>
      </c>
      <c r="AQ239" s="26">
        <f t="shared" si="43"/>
        <v>760</v>
      </c>
      <c r="AR239" s="18" t="str">
        <f ca="1">CONCATENATE(OFFSET(Sheet1!$A$2,RANDBETWEEN(2,500),0,1,1),OFFSET(Sheet1!$A$2,RANDBETWEEN(2,500),RANDBETWEEN(1,5),1,1))</f>
        <v>丘吉尔</v>
      </c>
      <c r="AS239">
        <f>SUMPRODUCT(P239:AI239,Sheet2!$B$3:$U$3)</f>
        <v>393335</v>
      </c>
    </row>
    <row r="240" spans="1:45" x14ac:dyDescent="0.15">
      <c r="A240" s="18">
        <v>239</v>
      </c>
      <c r="B240" s="18" t="s">
        <v>1204</v>
      </c>
      <c r="C240" s="18">
        <f t="shared" si="33"/>
        <v>214</v>
      </c>
      <c r="D240" s="19">
        <f t="shared" si="34"/>
        <v>3</v>
      </c>
      <c r="E240" s="19">
        <f>VLOOKUP(MOD(A240,4),各职业基础配置!C$32:D$35,2,FALSE)</f>
        <v>9</v>
      </c>
      <c r="F240" s="19">
        <f>IF(A240&lt;900,INDEX(各职业基础配置!C$23:C$28,MOD(ROW(A240),4)+1),0)</f>
        <v>8</v>
      </c>
      <c r="G240" s="19">
        <f t="shared" si="35"/>
        <v>98</v>
      </c>
      <c r="H240" s="27">
        <f t="shared" si="36"/>
        <v>2</v>
      </c>
      <c r="I240" s="6" t="s">
        <v>164</v>
      </c>
      <c r="J240" s="23" t="str">
        <f>VLOOKUP(E240,各职业基础配置!$B$9:$C$12,2,FALSE)</f>
        <v>116|117|118|4201|120</v>
      </c>
      <c r="K240" s="18" t="str">
        <f>VLOOKUP(E240,各职业基础配置!$B$15:$C$18,2,FALSE)</f>
        <v>28|29|30|31</v>
      </c>
      <c r="L240" s="18" t="str">
        <f>VLOOKUP(E240,各职业基础配置!B:C,2,FALSE)</f>
        <v>[{28,1,1},{29,1,1},{30,1,1},{31,1,1},{10,1,1},{11,1,1},{12,1,1}]</v>
      </c>
      <c r="M240" s="18">
        <v>0</v>
      </c>
      <c r="N240" s="18">
        <f t="shared" si="37"/>
        <v>3</v>
      </c>
      <c r="O240" s="18">
        <f>SUMPRODUCT(P240:AI240,Sheet2!$B$3:$U$3)</f>
        <v>393310</v>
      </c>
      <c r="P240" s="18">
        <f>CEILING(INDEX([1]系统模型!$VD:$VD,MATCH(C240,[1]系统模型!$A:$A,0))*POWER(C240/220,3.8)-50+(1000-A240),1)</f>
        <v>8189</v>
      </c>
      <c r="Q240" s="18">
        <f>CEILING(INDEX([1]系统模型!$VE:$VE,MATCH(C240,[1]系统模型!$A:$A,0))*POWER(C240/220,4),1)</f>
        <v>1460</v>
      </c>
      <c r="R240" s="18">
        <f>INT(INDEX([1]系统模型!$VF:$VF,MATCH(C240,[1]系统模型!$A:$A,0))*MAX(POWER(C240/180,4),0.5))</f>
        <v>85210</v>
      </c>
      <c r="S240" s="5">
        <v>1000</v>
      </c>
      <c r="T240" s="25">
        <v>0</v>
      </c>
      <c r="U240" s="25">
        <v>0</v>
      </c>
      <c r="V240" s="25">
        <v>0</v>
      </c>
      <c r="W240" s="25">
        <v>0</v>
      </c>
      <c r="X240" s="25">
        <f t="shared" si="38"/>
        <v>4260</v>
      </c>
      <c r="Y240" s="12">
        <v>0</v>
      </c>
      <c r="Z240" s="25">
        <v>100</v>
      </c>
      <c r="AA240" s="25">
        <v>150</v>
      </c>
      <c r="AB240" s="25">
        <v>0</v>
      </c>
      <c r="AC240" s="25">
        <v>0</v>
      </c>
      <c r="AD240" s="25">
        <v>0</v>
      </c>
      <c r="AE240" s="25">
        <f t="shared" si="39"/>
        <v>428</v>
      </c>
      <c r="AF240" s="25">
        <f t="shared" si="40"/>
        <v>428</v>
      </c>
      <c r="AG240" s="25">
        <v>0</v>
      </c>
      <c r="AH240" s="25">
        <f t="shared" si="41"/>
        <v>7300</v>
      </c>
      <c r="AI240" s="25">
        <f t="shared" si="42"/>
        <v>109</v>
      </c>
      <c r="AJ240" s="25">
        <v>1</v>
      </c>
      <c r="AK240" s="25">
        <v>1000</v>
      </c>
      <c r="AL240" s="25">
        <v>100</v>
      </c>
      <c r="AM240" s="26">
        <v>10</v>
      </c>
      <c r="AN240" s="26">
        <v>10</v>
      </c>
      <c r="AO240" s="22" t="s">
        <v>2211</v>
      </c>
      <c r="AP240" s="26">
        <v>0</v>
      </c>
      <c r="AQ240" s="26">
        <f t="shared" si="43"/>
        <v>760</v>
      </c>
      <c r="AR240" s="18" t="str">
        <f ca="1">CONCATENATE(OFFSET(Sheet1!$A$2,RANDBETWEEN(2,500),0,1,1),OFFSET(Sheet1!$A$2,RANDBETWEEN(2,500),RANDBETWEEN(1,5),1,1))</f>
        <v>查普曼朱莉娅</v>
      </c>
      <c r="AS240">
        <f>SUMPRODUCT(P240:AI240,Sheet2!$B$3:$U$3)</f>
        <v>393310</v>
      </c>
    </row>
    <row r="241" spans="1:45" x14ac:dyDescent="0.15">
      <c r="A241" s="23">
        <v>240</v>
      </c>
      <c r="B241" s="18" t="s">
        <v>565</v>
      </c>
      <c r="C241" s="18">
        <f t="shared" si="33"/>
        <v>214</v>
      </c>
      <c r="D241" s="19">
        <f t="shared" si="34"/>
        <v>2</v>
      </c>
      <c r="E241" s="19">
        <f>VLOOKUP(MOD(A241,4),各职业基础配置!C$32:D$35,2,FALSE)</f>
        <v>1</v>
      </c>
      <c r="F241" s="19">
        <f>IF(A241&lt;900,INDEX(各职业基础配置!C$23:C$28,MOD(ROW(A241),4)+1),0)</f>
        <v>13</v>
      </c>
      <c r="G241" s="19">
        <f t="shared" si="35"/>
        <v>98</v>
      </c>
      <c r="H241" s="27">
        <f t="shared" si="36"/>
        <v>2</v>
      </c>
      <c r="I241" s="6" t="s">
        <v>164</v>
      </c>
      <c r="J241" s="23" t="str">
        <f>VLOOKUP(E241,各职业基础配置!$B$9:$C$12,2,FALSE)</f>
        <v>101|102|103|4201|105</v>
      </c>
      <c r="K241" s="18" t="str">
        <f>VLOOKUP(E241,各职业基础配置!$B$15:$C$18,2,FALSE)</f>
        <v>24|25|26|27</v>
      </c>
      <c r="L241" s="18" t="str">
        <f>VLOOKUP(E241,各职业基础配置!B:C,2,FALSE)</f>
        <v>[{24,1,1},{25,1,1},{26,1,1},{27,1,1},{1,1,1},{2,1,1},{3,1,1}]</v>
      </c>
      <c r="M241" s="18">
        <v>0</v>
      </c>
      <c r="N241" s="18">
        <f t="shared" si="37"/>
        <v>3</v>
      </c>
      <c r="O241" s="18">
        <f>SUMPRODUCT(P241:AI241,Sheet2!$B$3:$U$3)</f>
        <v>393285</v>
      </c>
      <c r="P241" s="18">
        <f>CEILING(INDEX([1]系统模型!$VD:$VD,MATCH(C241,[1]系统模型!$A:$A,0))*POWER(C241/220,3.8)-50+(1000-A241),1)</f>
        <v>8188</v>
      </c>
      <c r="Q241" s="18">
        <f>CEILING(INDEX([1]系统模型!$VE:$VE,MATCH(C241,[1]系统模型!$A:$A,0))*POWER(C241/220,4),1)</f>
        <v>1460</v>
      </c>
      <c r="R241" s="18">
        <f>INT(INDEX([1]系统模型!$VF:$VF,MATCH(C241,[1]系统模型!$A:$A,0))*MAX(POWER(C241/180,4),0.5))</f>
        <v>85210</v>
      </c>
      <c r="S241" s="5">
        <v>1000</v>
      </c>
      <c r="T241" s="25">
        <v>0</v>
      </c>
      <c r="U241" s="25">
        <v>0</v>
      </c>
      <c r="V241" s="25">
        <v>0</v>
      </c>
      <c r="W241" s="25">
        <v>0</v>
      </c>
      <c r="X241" s="25">
        <f t="shared" si="38"/>
        <v>4260</v>
      </c>
      <c r="Y241" s="12">
        <v>0</v>
      </c>
      <c r="Z241" s="25">
        <v>100</v>
      </c>
      <c r="AA241" s="25">
        <v>150</v>
      </c>
      <c r="AB241" s="25">
        <v>0</v>
      </c>
      <c r="AC241" s="25">
        <v>0</v>
      </c>
      <c r="AD241" s="25">
        <v>0</v>
      </c>
      <c r="AE241" s="25">
        <f t="shared" si="39"/>
        <v>428</v>
      </c>
      <c r="AF241" s="25">
        <f t="shared" si="40"/>
        <v>428</v>
      </c>
      <c r="AG241" s="25">
        <v>0</v>
      </c>
      <c r="AH241" s="25">
        <f t="shared" si="41"/>
        <v>7300</v>
      </c>
      <c r="AI241" s="25">
        <f t="shared" si="42"/>
        <v>109</v>
      </c>
      <c r="AJ241" s="25">
        <v>1</v>
      </c>
      <c r="AK241" s="25">
        <v>1000</v>
      </c>
      <c r="AL241" s="25">
        <v>100</v>
      </c>
      <c r="AM241" s="26">
        <v>10</v>
      </c>
      <c r="AN241" s="26">
        <v>10</v>
      </c>
      <c r="AO241" s="22" t="s">
        <v>2211</v>
      </c>
      <c r="AP241" s="26">
        <v>0</v>
      </c>
      <c r="AQ241" s="26">
        <f t="shared" si="43"/>
        <v>760</v>
      </c>
      <c r="AR241" s="18" t="str">
        <f ca="1">CONCATENATE(OFFSET(Sheet1!$A$2,RANDBETWEEN(2,500),0,1,1),OFFSET(Sheet1!$A$2,RANDBETWEEN(2,500),RANDBETWEEN(1,5),1,1))</f>
        <v>本森莎</v>
      </c>
      <c r="AS241">
        <f>SUMPRODUCT(P241:AI241,Sheet2!$B$3:$U$3)</f>
        <v>393285</v>
      </c>
    </row>
    <row r="242" spans="1:45" x14ac:dyDescent="0.15">
      <c r="A242" s="18">
        <v>241</v>
      </c>
      <c r="B242" s="18" t="s">
        <v>1927</v>
      </c>
      <c r="C242" s="18">
        <f t="shared" si="33"/>
        <v>214</v>
      </c>
      <c r="D242" s="19">
        <f t="shared" si="34"/>
        <v>3</v>
      </c>
      <c r="E242" s="19">
        <f>VLOOKUP(MOD(A242,4),各职业基础配置!C$32:D$35,2,FALSE)</f>
        <v>3</v>
      </c>
      <c r="F242" s="19">
        <f>IF(A242&lt;900,INDEX(各职业基础配置!C$23:C$28,MOD(ROW(A242),4)+1),0)</f>
        <v>14</v>
      </c>
      <c r="G242" s="19">
        <f t="shared" si="35"/>
        <v>98</v>
      </c>
      <c r="H242" s="27">
        <f t="shared" si="36"/>
        <v>2</v>
      </c>
      <c r="I242" s="6" t="s">
        <v>164</v>
      </c>
      <c r="J242" s="23" t="str">
        <f>VLOOKUP(E242,各职业基础配置!$B$9:$C$12,2,FALSE)</f>
        <v>106|107|108|4201|110</v>
      </c>
      <c r="K242" s="18" t="str">
        <f>VLOOKUP(E242,各职业基础配置!$B$15:$C$18,2,FALSE)</f>
        <v>20|21|22|23</v>
      </c>
      <c r="L242" s="18" t="str">
        <f>VLOOKUP(E242,各职业基础配置!B:C,2,FALSE)</f>
        <v>[{20,1,1},{21,1,1},{22,1,1},{23,1,1},{4,1,1},{5,1,1},{6,1,1}]</v>
      </c>
      <c r="M242" s="18">
        <v>0</v>
      </c>
      <c r="N242" s="18">
        <f t="shared" si="37"/>
        <v>7</v>
      </c>
      <c r="O242" s="18">
        <f>SUMPRODUCT(P242:AI242,Sheet2!$B$3:$U$3)</f>
        <v>393260</v>
      </c>
      <c r="P242" s="18">
        <f>CEILING(INDEX([1]系统模型!$VD:$VD,MATCH(C242,[1]系统模型!$A:$A,0))*POWER(C242/220,3.8)-50+(1000-A242),1)</f>
        <v>8187</v>
      </c>
      <c r="Q242" s="18">
        <f>CEILING(INDEX([1]系统模型!$VE:$VE,MATCH(C242,[1]系统模型!$A:$A,0))*POWER(C242/220,4),1)</f>
        <v>1460</v>
      </c>
      <c r="R242" s="18">
        <f>INT(INDEX([1]系统模型!$VF:$VF,MATCH(C242,[1]系统模型!$A:$A,0))*MAX(POWER(C242/180,4),0.5))</f>
        <v>85210</v>
      </c>
      <c r="S242" s="5">
        <v>1000</v>
      </c>
      <c r="T242" s="25">
        <v>0</v>
      </c>
      <c r="U242" s="25">
        <v>0</v>
      </c>
      <c r="V242" s="25">
        <v>0</v>
      </c>
      <c r="W242" s="25">
        <v>0</v>
      </c>
      <c r="X242" s="25">
        <f t="shared" si="38"/>
        <v>4260</v>
      </c>
      <c r="Y242" s="12">
        <v>0</v>
      </c>
      <c r="Z242" s="25">
        <v>100</v>
      </c>
      <c r="AA242" s="25">
        <v>150</v>
      </c>
      <c r="AB242" s="25">
        <v>0</v>
      </c>
      <c r="AC242" s="25">
        <v>0</v>
      </c>
      <c r="AD242" s="25">
        <v>0</v>
      </c>
      <c r="AE242" s="25">
        <f t="shared" si="39"/>
        <v>428</v>
      </c>
      <c r="AF242" s="25">
        <f t="shared" si="40"/>
        <v>428</v>
      </c>
      <c r="AG242" s="25">
        <v>0</v>
      </c>
      <c r="AH242" s="25">
        <f t="shared" si="41"/>
        <v>7300</v>
      </c>
      <c r="AI242" s="25">
        <f t="shared" si="42"/>
        <v>109</v>
      </c>
      <c r="AJ242" s="25">
        <v>1</v>
      </c>
      <c r="AK242" s="25">
        <v>1000</v>
      </c>
      <c r="AL242" s="25">
        <v>100</v>
      </c>
      <c r="AM242" s="26">
        <v>10</v>
      </c>
      <c r="AN242" s="26">
        <v>10</v>
      </c>
      <c r="AO242" s="22" t="s">
        <v>2211</v>
      </c>
      <c r="AP242" s="26">
        <v>0</v>
      </c>
      <c r="AQ242" s="26">
        <f t="shared" si="43"/>
        <v>760</v>
      </c>
      <c r="AR242" s="18" t="str">
        <f ca="1">CONCATENATE(OFFSET(Sheet1!$A$2,RANDBETWEEN(2,500),0,1,1),OFFSET(Sheet1!$A$2,RANDBETWEEN(2,500),RANDBETWEEN(1,5),1,1))</f>
        <v>坎伯兰</v>
      </c>
      <c r="AS242">
        <f>SUMPRODUCT(P242:AI242,Sheet2!$B$3:$U$3)</f>
        <v>393260</v>
      </c>
    </row>
    <row r="243" spans="1:45" x14ac:dyDescent="0.15">
      <c r="A243" s="18">
        <v>242</v>
      </c>
      <c r="B243" s="18" t="s">
        <v>593</v>
      </c>
      <c r="C243" s="18">
        <f t="shared" si="33"/>
        <v>214</v>
      </c>
      <c r="D243" s="19">
        <f t="shared" si="34"/>
        <v>2</v>
      </c>
      <c r="E243" s="19">
        <f>VLOOKUP(MOD(A243,4),各职业基础配置!C$32:D$35,2,FALSE)</f>
        <v>6</v>
      </c>
      <c r="F243" s="19">
        <f>IF(A243&lt;900,INDEX(各职业基础配置!C$23:C$28,MOD(ROW(A243),4)+1),0)</f>
        <v>16</v>
      </c>
      <c r="G243" s="19">
        <f t="shared" si="35"/>
        <v>98</v>
      </c>
      <c r="H243" s="27">
        <f t="shared" si="36"/>
        <v>2</v>
      </c>
      <c r="I243" s="6" t="s">
        <v>164</v>
      </c>
      <c r="J243" s="23" t="str">
        <f>VLOOKUP(E243,各职业基础配置!$B$9:$C$12,2,FALSE)</f>
        <v>111|112|113|4201|115</v>
      </c>
      <c r="K243" s="18" t="str">
        <f>VLOOKUP(E243,各职业基础配置!$B$15:$C$18,2,FALSE)</f>
        <v>32|33|34</v>
      </c>
      <c r="L243" s="18" t="str">
        <f>VLOOKUP(E243,各职业基础配置!B:C,2,FALSE)</f>
        <v>[{32,1,1},{33,1,1},{34,1,1},{35,1,1},{7,1,1},{8,1,1},{9,1,1}]</v>
      </c>
      <c r="M243" s="18">
        <v>0</v>
      </c>
      <c r="N243" s="18">
        <f t="shared" si="37"/>
        <v>7</v>
      </c>
      <c r="O243" s="18">
        <f>SUMPRODUCT(P243:AI243,Sheet2!$B$3:$U$3)</f>
        <v>393235</v>
      </c>
      <c r="P243" s="18">
        <f>CEILING(INDEX([1]系统模型!$VD:$VD,MATCH(C243,[1]系统模型!$A:$A,0))*POWER(C243/220,3.8)-50+(1000-A243),1)</f>
        <v>8186</v>
      </c>
      <c r="Q243" s="18">
        <f>CEILING(INDEX([1]系统模型!$VE:$VE,MATCH(C243,[1]系统模型!$A:$A,0))*POWER(C243/220,4),1)</f>
        <v>1460</v>
      </c>
      <c r="R243" s="18">
        <f>INT(INDEX([1]系统模型!$VF:$VF,MATCH(C243,[1]系统模型!$A:$A,0))*MAX(POWER(C243/180,4),0.5))</f>
        <v>85210</v>
      </c>
      <c r="S243" s="5">
        <v>1000</v>
      </c>
      <c r="T243" s="25">
        <v>0</v>
      </c>
      <c r="U243" s="25">
        <v>0</v>
      </c>
      <c r="V243" s="25">
        <v>0</v>
      </c>
      <c r="W243" s="25">
        <v>0</v>
      </c>
      <c r="X243" s="25">
        <f t="shared" si="38"/>
        <v>4260</v>
      </c>
      <c r="Y243" s="12">
        <v>0</v>
      </c>
      <c r="Z243" s="25">
        <v>100</v>
      </c>
      <c r="AA243" s="25">
        <v>150</v>
      </c>
      <c r="AB243" s="25">
        <v>0</v>
      </c>
      <c r="AC243" s="25">
        <v>0</v>
      </c>
      <c r="AD243" s="25">
        <v>0</v>
      </c>
      <c r="AE243" s="25">
        <f t="shared" si="39"/>
        <v>428</v>
      </c>
      <c r="AF243" s="25">
        <f t="shared" si="40"/>
        <v>428</v>
      </c>
      <c r="AG243" s="25">
        <v>0</v>
      </c>
      <c r="AH243" s="25">
        <f t="shared" si="41"/>
        <v>7300</v>
      </c>
      <c r="AI243" s="25">
        <f t="shared" si="42"/>
        <v>109</v>
      </c>
      <c r="AJ243" s="25">
        <v>1</v>
      </c>
      <c r="AK243" s="25">
        <v>1000</v>
      </c>
      <c r="AL243" s="25">
        <v>100</v>
      </c>
      <c r="AM243" s="26">
        <v>10</v>
      </c>
      <c r="AN243" s="26">
        <v>10</v>
      </c>
      <c r="AO243" s="22" t="s">
        <v>2211</v>
      </c>
      <c r="AP243" s="26">
        <v>0</v>
      </c>
      <c r="AQ243" s="26">
        <f t="shared" si="43"/>
        <v>760</v>
      </c>
      <c r="AR243" s="18" t="str">
        <f ca="1">CONCATENATE(OFFSET(Sheet1!$A$2,RANDBETWEEN(2,500),0,1,1),OFFSET(Sheet1!$A$2,RANDBETWEEN(2,500),RANDBETWEEN(1,5),1,1))</f>
        <v>埃玛凯瑟琳</v>
      </c>
      <c r="AS243">
        <f>SUMPRODUCT(P243:AI243,Sheet2!$B$3:$U$3)</f>
        <v>393235</v>
      </c>
    </row>
    <row r="244" spans="1:45" x14ac:dyDescent="0.15">
      <c r="A244" s="23">
        <v>243</v>
      </c>
      <c r="B244" s="18" t="s">
        <v>1226</v>
      </c>
      <c r="C244" s="18">
        <f t="shared" si="33"/>
        <v>214</v>
      </c>
      <c r="D244" s="19">
        <f t="shared" si="34"/>
        <v>3</v>
      </c>
      <c r="E244" s="19">
        <f>VLOOKUP(MOD(A244,4),各职业基础配置!C$32:D$35,2,FALSE)</f>
        <v>9</v>
      </c>
      <c r="F244" s="19">
        <f>IF(A244&lt;900,INDEX(各职业基础配置!C$23:C$28,MOD(ROW(A244),4)+1),0)</f>
        <v>8</v>
      </c>
      <c r="G244" s="19">
        <f t="shared" si="35"/>
        <v>98</v>
      </c>
      <c r="H244" s="27">
        <f t="shared" si="36"/>
        <v>2</v>
      </c>
      <c r="I244" s="6" t="s">
        <v>164</v>
      </c>
      <c r="J244" s="23" t="str">
        <f>VLOOKUP(E244,各职业基础配置!$B$9:$C$12,2,FALSE)</f>
        <v>116|117|118|4201|120</v>
      </c>
      <c r="K244" s="18" t="str">
        <f>VLOOKUP(E244,各职业基础配置!$B$15:$C$18,2,FALSE)</f>
        <v>28|29|30|31</v>
      </c>
      <c r="L244" s="18" t="str">
        <f>VLOOKUP(E244,各职业基础配置!B:C,2,FALSE)</f>
        <v>[{28,1,1},{29,1,1},{30,1,1},{31,1,1},{10,1,1},{11,1,1},{12,1,1}]</v>
      </c>
      <c r="M244" s="18">
        <v>0</v>
      </c>
      <c r="N244" s="18">
        <f t="shared" si="37"/>
        <v>3</v>
      </c>
      <c r="O244" s="18">
        <f>SUMPRODUCT(P244:AI244,Sheet2!$B$3:$U$3)</f>
        <v>393210</v>
      </c>
      <c r="P244" s="18">
        <f>CEILING(INDEX([1]系统模型!$VD:$VD,MATCH(C244,[1]系统模型!$A:$A,0))*POWER(C244/220,3.8)-50+(1000-A244),1)</f>
        <v>8185</v>
      </c>
      <c r="Q244" s="18">
        <f>CEILING(INDEX([1]系统模型!$VE:$VE,MATCH(C244,[1]系统模型!$A:$A,0))*POWER(C244/220,4),1)</f>
        <v>1460</v>
      </c>
      <c r="R244" s="18">
        <f>INT(INDEX([1]系统模型!$VF:$VF,MATCH(C244,[1]系统模型!$A:$A,0))*MAX(POWER(C244/180,4),0.5))</f>
        <v>85210</v>
      </c>
      <c r="S244" s="5">
        <v>1000</v>
      </c>
      <c r="T244" s="25">
        <v>0</v>
      </c>
      <c r="U244" s="25">
        <v>0</v>
      </c>
      <c r="V244" s="25">
        <v>0</v>
      </c>
      <c r="W244" s="25">
        <v>0</v>
      </c>
      <c r="X244" s="25">
        <f t="shared" si="38"/>
        <v>4260</v>
      </c>
      <c r="Y244" s="12">
        <v>0</v>
      </c>
      <c r="Z244" s="25">
        <v>100</v>
      </c>
      <c r="AA244" s="25">
        <v>150</v>
      </c>
      <c r="AB244" s="25">
        <v>0</v>
      </c>
      <c r="AC244" s="25">
        <v>0</v>
      </c>
      <c r="AD244" s="25">
        <v>0</v>
      </c>
      <c r="AE244" s="25">
        <f t="shared" si="39"/>
        <v>428</v>
      </c>
      <c r="AF244" s="25">
        <f t="shared" si="40"/>
        <v>428</v>
      </c>
      <c r="AG244" s="25">
        <v>0</v>
      </c>
      <c r="AH244" s="25">
        <f t="shared" si="41"/>
        <v>7300</v>
      </c>
      <c r="AI244" s="25">
        <f t="shared" si="42"/>
        <v>109</v>
      </c>
      <c r="AJ244" s="25">
        <v>1</v>
      </c>
      <c r="AK244" s="25">
        <v>1000</v>
      </c>
      <c r="AL244" s="25">
        <v>100</v>
      </c>
      <c r="AM244" s="26">
        <v>10</v>
      </c>
      <c r="AN244" s="26">
        <v>10</v>
      </c>
      <c r="AO244" s="22" t="s">
        <v>2211</v>
      </c>
      <c r="AP244" s="26">
        <v>0</v>
      </c>
      <c r="AQ244" s="26">
        <f t="shared" si="43"/>
        <v>760</v>
      </c>
      <c r="AR244" s="18" t="str">
        <f ca="1">CONCATENATE(OFFSET(Sheet1!$A$2,RANDBETWEEN(2,500),0,1,1),OFFSET(Sheet1!$A$2,RANDBETWEEN(2,500),RANDBETWEEN(1,5),1,1))</f>
        <v>福克斯</v>
      </c>
      <c r="AS244">
        <f>SUMPRODUCT(P244:AI244,Sheet2!$B$3:$U$3)</f>
        <v>393210</v>
      </c>
    </row>
    <row r="245" spans="1:45" x14ac:dyDescent="0.15">
      <c r="A245" s="18">
        <v>244</v>
      </c>
      <c r="B245" s="18" t="s">
        <v>1928</v>
      </c>
      <c r="C245" s="18">
        <f t="shared" si="33"/>
        <v>213</v>
      </c>
      <c r="D245" s="19">
        <f t="shared" si="34"/>
        <v>2</v>
      </c>
      <c r="E245" s="19">
        <f>VLOOKUP(MOD(A245,4),各职业基础配置!C$32:D$35,2,FALSE)</f>
        <v>1</v>
      </c>
      <c r="F245" s="19">
        <f>IF(A245&lt;900,INDEX(各职业基础配置!C$23:C$28,MOD(ROW(A245),4)+1),0)</f>
        <v>13</v>
      </c>
      <c r="G245" s="19">
        <f t="shared" si="35"/>
        <v>95</v>
      </c>
      <c r="H245" s="27">
        <f t="shared" si="36"/>
        <v>2</v>
      </c>
      <c r="I245" s="6" t="s">
        <v>164</v>
      </c>
      <c r="J245" s="23" t="str">
        <f>VLOOKUP(E245,各职业基础配置!$B$9:$C$12,2,FALSE)</f>
        <v>101|102|103|4201|105</v>
      </c>
      <c r="K245" s="18" t="str">
        <f>VLOOKUP(E245,各职业基础配置!$B$15:$C$18,2,FALSE)</f>
        <v>24|25|26|27</v>
      </c>
      <c r="L245" s="18" t="str">
        <f>VLOOKUP(E245,各职业基础配置!B:C,2,FALSE)</f>
        <v>[{24,1,1},{25,1,1},{26,1,1},{27,1,1},{1,1,1},{2,1,1},{3,1,1}]</v>
      </c>
      <c r="M245" s="18">
        <v>0</v>
      </c>
      <c r="N245" s="18">
        <f t="shared" si="37"/>
        <v>3</v>
      </c>
      <c r="O245" s="18">
        <f>SUMPRODUCT(P245:AI245,Sheet2!$B$3:$U$3)</f>
        <v>384526</v>
      </c>
      <c r="P245" s="18">
        <f>CEILING(INDEX([1]系统模型!$VD:$VD,MATCH(C245,[1]系统模型!$A:$A,0))*POWER(C245/220,3.8)-50+(1000-A245),1)</f>
        <v>8008</v>
      </c>
      <c r="Q245" s="18">
        <f>CEILING(INDEX([1]系统模型!$VE:$VE,MATCH(C245,[1]系统模型!$A:$A,0))*POWER(C245/220,4),1)</f>
        <v>1409</v>
      </c>
      <c r="R245" s="18">
        <f>INT(INDEX([1]系统模型!$VF:$VF,MATCH(C245,[1]系统模型!$A:$A,0))*MAX(POWER(C245/180,4),0.5))</f>
        <v>82776</v>
      </c>
      <c r="S245" s="5">
        <v>1000</v>
      </c>
      <c r="T245" s="25">
        <v>0</v>
      </c>
      <c r="U245" s="25">
        <v>0</v>
      </c>
      <c r="V245" s="25">
        <v>0</v>
      </c>
      <c r="W245" s="25">
        <v>0</v>
      </c>
      <c r="X245" s="25">
        <f t="shared" si="38"/>
        <v>4138</v>
      </c>
      <c r="Y245" s="12">
        <v>0</v>
      </c>
      <c r="Z245" s="25">
        <v>100</v>
      </c>
      <c r="AA245" s="25">
        <v>150</v>
      </c>
      <c r="AB245" s="25">
        <v>0</v>
      </c>
      <c r="AC245" s="25">
        <v>0</v>
      </c>
      <c r="AD245" s="25">
        <v>0</v>
      </c>
      <c r="AE245" s="25">
        <f t="shared" si="39"/>
        <v>426</v>
      </c>
      <c r="AF245" s="25">
        <f t="shared" si="40"/>
        <v>426</v>
      </c>
      <c r="AG245" s="25">
        <v>0</v>
      </c>
      <c r="AH245" s="25">
        <f t="shared" si="41"/>
        <v>7225</v>
      </c>
      <c r="AI245" s="25">
        <f t="shared" si="42"/>
        <v>106</v>
      </c>
      <c r="AJ245" s="25">
        <v>1</v>
      </c>
      <c r="AK245" s="25">
        <v>1000</v>
      </c>
      <c r="AL245" s="25">
        <v>100</v>
      </c>
      <c r="AM245" s="26">
        <v>10</v>
      </c>
      <c r="AN245" s="26">
        <v>10</v>
      </c>
      <c r="AO245" s="22" t="s">
        <v>2211</v>
      </c>
      <c r="AP245" s="26">
        <v>0</v>
      </c>
      <c r="AQ245" s="26">
        <f t="shared" si="43"/>
        <v>760</v>
      </c>
      <c r="AR245" s="18" t="str">
        <f ca="1">CONCATENATE(OFFSET(Sheet1!$A$2,RANDBETWEEN(2,500),0,1,1),OFFSET(Sheet1!$A$2,RANDBETWEEN(2,500),RANDBETWEEN(1,5),1,1))</f>
        <v> 福尔摩斯</v>
      </c>
      <c r="AS245">
        <f>SUMPRODUCT(P245:AI245,Sheet2!$B$3:$U$3)</f>
        <v>384526</v>
      </c>
    </row>
    <row r="246" spans="1:45" x14ac:dyDescent="0.15">
      <c r="A246" s="18">
        <v>245</v>
      </c>
      <c r="B246" s="18" t="s">
        <v>1929</v>
      </c>
      <c r="C246" s="18">
        <f t="shared" si="33"/>
        <v>213</v>
      </c>
      <c r="D246" s="19">
        <f t="shared" si="34"/>
        <v>3</v>
      </c>
      <c r="E246" s="19">
        <f>VLOOKUP(MOD(A246,4),各职业基础配置!C$32:D$35,2,FALSE)</f>
        <v>3</v>
      </c>
      <c r="F246" s="19">
        <f>IF(A246&lt;900,INDEX(各职业基础配置!C$23:C$28,MOD(ROW(A246),4)+1),0)</f>
        <v>14</v>
      </c>
      <c r="G246" s="19">
        <f t="shared" si="35"/>
        <v>95</v>
      </c>
      <c r="H246" s="27">
        <f t="shared" si="36"/>
        <v>2</v>
      </c>
      <c r="I246" s="6" t="s">
        <v>164</v>
      </c>
      <c r="J246" s="23" t="str">
        <f>VLOOKUP(E246,各职业基础配置!$B$9:$C$12,2,FALSE)</f>
        <v>106|107|108|4201|110</v>
      </c>
      <c r="K246" s="18" t="str">
        <f>VLOOKUP(E246,各职业基础配置!$B$15:$C$18,2,FALSE)</f>
        <v>20|21|22|23</v>
      </c>
      <c r="L246" s="18" t="str">
        <f>VLOOKUP(E246,各职业基础配置!B:C,2,FALSE)</f>
        <v>[{20,1,1},{21,1,1},{22,1,1},{23,1,1},{4,1,1},{5,1,1},{6,1,1}]</v>
      </c>
      <c r="M246" s="18">
        <v>0</v>
      </c>
      <c r="N246" s="18">
        <f t="shared" si="37"/>
        <v>7</v>
      </c>
      <c r="O246" s="18">
        <f>SUMPRODUCT(P246:AI246,Sheet2!$B$3:$U$3)</f>
        <v>384501</v>
      </c>
      <c r="P246" s="18">
        <f>CEILING(INDEX([1]系统模型!$VD:$VD,MATCH(C246,[1]系统模型!$A:$A,0))*POWER(C246/220,3.8)-50+(1000-A246),1)</f>
        <v>8007</v>
      </c>
      <c r="Q246" s="18">
        <f>CEILING(INDEX([1]系统模型!$VE:$VE,MATCH(C246,[1]系统模型!$A:$A,0))*POWER(C246/220,4),1)</f>
        <v>1409</v>
      </c>
      <c r="R246" s="18">
        <f>INT(INDEX([1]系统模型!$VF:$VF,MATCH(C246,[1]系统模型!$A:$A,0))*MAX(POWER(C246/180,4),0.5))</f>
        <v>82776</v>
      </c>
      <c r="S246" s="5">
        <v>1000</v>
      </c>
      <c r="T246" s="25">
        <v>0</v>
      </c>
      <c r="U246" s="25">
        <v>0</v>
      </c>
      <c r="V246" s="25">
        <v>0</v>
      </c>
      <c r="W246" s="25">
        <v>0</v>
      </c>
      <c r="X246" s="25">
        <f t="shared" si="38"/>
        <v>4138</v>
      </c>
      <c r="Y246" s="12">
        <v>0</v>
      </c>
      <c r="Z246" s="25">
        <v>100</v>
      </c>
      <c r="AA246" s="25">
        <v>150</v>
      </c>
      <c r="AB246" s="25">
        <v>0</v>
      </c>
      <c r="AC246" s="25">
        <v>0</v>
      </c>
      <c r="AD246" s="25">
        <v>0</v>
      </c>
      <c r="AE246" s="25">
        <f t="shared" si="39"/>
        <v>426</v>
      </c>
      <c r="AF246" s="25">
        <f t="shared" si="40"/>
        <v>426</v>
      </c>
      <c r="AG246" s="25">
        <v>0</v>
      </c>
      <c r="AH246" s="25">
        <f t="shared" si="41"/>
        <v>7225</v>
      </c>
      <c r="AI246" s="25">
        <f t="shared" si="42"/>
        <v>106</v>
      </c>
      <c r="AJ246" s="25">
        <v>1</v>
      </c>
      <c r="AK246" s="25">
        <v>1000</v>
      </c>
      <c r="AL246" s="25">
        <v>100</v>
      </c>
      <c r="AM246" s="26">
        <v>10</v>
      </c>
      <c r="AN246" s="26">
        <v>10</v>
      </c>
      <c r="AO246" s="22" t="s">
        <v>2211</v>
      </c>
      <c r="AP246" s="26">
        <v>0</v>
      </c>
      <c r="AQ246" s="26">
        <f t="shared" si="43"/>
        <v>760</v>
      </c>
      <c r="AR246" s="18" t="str">
        <f ca="1">CONCATENATE(OFFSET(Sheet1!$A$2,RANDBETWEEN(2,500),0,1,1),OFFSET(Sheet1!$A$2,RANDBETWEEN(2,500),RANDBETWEEN(1,5),1,1))</f>
        <v>卡罗琳</v>
      </c>
      <c r="AS246">
        <f>SUMPRODUCT(P246:AI246,Sheet2!$B$3:$U$3)</f>
        <v>384501</v>
      </c>
    </row>
    <row r="247" spans="1:45" x14ac:dyDescent="0.15">
      <c r="A247" s="23">
        <v>246</v>
      </c>
      <c r="B247" s="18" t="s">
        <v>1371</v>
      </c>
      <c r="C247" s="18">
        <f t="shared" si="33"/>
        <v>213</v>
      </c>
      <c r="D247" s="19">
        <f t="shared" si="34"/>
        <v>2</v>
      </c>
      <c r="E247" s="19">
        <f>VLOOKUP(MOD(A247,4),各职业基础配置!C$32:D$35,2,FALSE)</f>
        <v>6</v>
      </c>
      <c r="F247" s="19">
        <f>IF(A247&lt;900,INDEX(各职业基础配置!C$23:C$28,MOD(ROW(A247),4)+1),0)</f>
        <v>16</v>
      </c>
      <c r="G247" s="19">
        <f t="shared" si="35"/>
        <v>95</v>
      </c>
      <c r="H247" s="27">
        <f t="shared" si="36"/>
        <v>2</v>
      </c>
      <c r="I247" s="6" t="s">
        <v>164</v>
      </c>
      <c r="J247" s="23" t="str">
        <f>VLOOKUP(E247,各职业基础配置!$B$9:$C$12,2,FALSE)</f>
        <v>111|112|113|4201|115</v>
      </c>
      <c r="K247" s="18" t="str">
        <f>VLOOKUP(E247,各职业基础配置!$B$15:$C$18,2,FALSE)</f>
        <v>32|33|34</v>
      </c>
      <c r="L247" s="18" t="str">
        <f>VLOOKUP(E247,各职业基础配置!B:C,2,FALSE)</f>
        <v>[{32,1,1},{33,1,1},{34,1,1},{35,1,1},{7,1,1},{8,1,1},{9,1,1}]</v>
      </c>
      <c r="M247" s="18">
        <v>0</v>
      </c>
      <c r="N247" s="18">
        <f t="shared" si="37"/>
        <v>7</v>
      </c>
      <c r="O247" s="18">
        <f>SUMPRODUCT(P247:AI247,Sheet2!$B$3:$U$3)</f>
        <v>384476</v>
      </c>
      <c r="P247" s="18">
        <f>CEILING(INDEX([1]系统模型!$VD:$VD,MATCH(C247,[1]系统模型!$A:$A,0))*POWER(C247/220,3.8)-50+(1000-A247),1)</f>
        <v>8006</v>
      </c>
      <c r="Q247" s="18">
        <f>CEILING(INDEX([1]系统模型!$VE:$VE,MATCH(C247,[1]系统模型!$A:$A,0))*POWER(C247/220,4),1)</f>
        <v>1409</v>
      </c>
      <c r="R247" s="18">
        <f>INT(INDEX([1]系统模型!$VF:$VF,MATCH(C247,[1]系统模型!$A:$A,0))*MAX(POWER(C247/180,4),0.5))</f>
        <v>82776</v>
      </c>
      <c r="S247" s="5">
        <v>1000</v>
      </c>
      <c r="T247" s="25">
        <v>0</v>
      </c>
      <c r="U247" s="25">
        <v>0</v>
      </c>
      <c r="V247" s="25">
        <v>0</v>
      </c>
      <c r="W247" s="25">
        <v>0</v>
      </c>
      <c r="X247" s="25">
        <f t="shared" si="38"/>
        <v>4138</v>
      </c>
      <c r="Y247" s="12">
        <v>0</v>
      </c>
      <c r="Z247" s="25">
        <v>100</v>
      </c>
      <c r="AA247" s="25">
        <v>150</v>
      </c>
      <c r="AB247" s="25">
        <v>0</v>
      </c>
      <c r="AC247" s="25">
        <v>0</v>
      </c>
      <c r="AD247" s="25">
        <v>0</v>
      </c>
      <c r="AE247" s="25">
        <f t="shared" si="39"/>
        <v>426</v>
      </c>
      <c r="AF247" s="25">
        <f t="shared" si="40"/>
        <v>426</v>
      </c>
      <c r="AG247" s="25">
        <v>0</v>
      </c>
      <c r="AH247" s="25">
        <f t="shared" si="41"/>
        <v>7225</v>
      </c>
      <c r="AI247" s="25">
        <f t="shared" si="42"/>
        <v>106</v>
      </c>
      <c r="AJ247" s="25">
        <v>1</v>
      </c>
      <c r="AK247" s="25">
        <v>1000</v>
      </c>
      <c r="AL247" s="25">
        <v>100</v>
      </c>
      <c r="AM247" s="26">
        <v>10</v>
      </c>
      <c r="AN247" s="26">
        <v>10</v>
      </c>
      <c r="AO247" s="22" t="s">
        <v>2211</v>
      </c>
      <c r="AP247" s="26">
        <v>0</v>
      </c>
      <c r="AQ247" s="26">
        <f t="shared" si="43"/>
        <v>750</v>
      </c>
      <c r="AR247" s="18" t="str">
        <f ca="1">CONCATENATE(OFFSET(Sheet1!$A$2,RANDBETWEEN(2,500),0,1,1),OFFSET(Sheet1!$A$2,RANDBETWEEN(2,500),RANDBETWEEN(1,5),1,1))</f>
        <v>凯里</v>
      </c>
      <c r="AS247">
        <f>SUMPRODUCT(P247:AI247,Sheet2!$B$3:$U$3)</f>
        <v>384476</v>
      </c>
    </row>
    <row r="248" spans="1:45" x14ac:dyDescent="0.15">
      <c r="A248" s="18">
        <v>247</v>
      </c>
      <c r="B248" s="18" t="s">
        <v>432</v>
      </c>
      <c r="C248" s="18">
        <f t="shared" si="33"/>
        <v>213</v>
      </c>
      <c r="D248" s="19">
        <f t="shared" si="34"/>
        <v>3</v>
      </c>
      <c r="E248" s="19">
        <f>VLOOKUP(MOD(A248,4),各职业基础配置!C$32:D$35,2,FALSE)</f>
        <v>9</v>
      </c>
      <c r="F248" s="19">
        <f>IF(A248&lt;900,INDEX(各职业基础配置!C$23:C$28,MOD(ROW(A248),4)+1),0)</f>
        <v>8</v>
      </c>
      <c r="G248" s="19">
        <f t="shared" si="35"/>
        <v>95</v>
      </c>
      <c r="H248" s="27">
        <f t="shared" si="36"/>
        <v>2</v>
      </c>
      <c r="I248" s="6" t="s">
        <v>164</v>
      </c>
      <c r="J248" s="23" t="str">
        <f>VLOOKUP(E248,各职业基础配置!$B$9:$C$12,2,FALSE)</f>
        <v>116|117|118|4201|120</v>
      </c>
      <c r="K248" s="18" t="str">
        <f>VLOOKUP(E248,各职业基础配置!$B$15:$C$18,2,FALSE)</f>
        <v>28|29|30|31</v>
      </c>
      <c r="L248" s="18" t="str">
        <f>VLOOKUP(E248,各职业基础配置!B:C,2,FALSE)</f>
        <v>[{28,1,1},{29,1,1},{30,1,1},{31,1,1},{10,1,1},{11,1,1},{12,1,1}]</v>
      </c>
      <c r="M248" s="18">
        <v>0</v>
      </c>
      <c r="N248" s="18">
        <f t="shared" si="37"/>
        <v>3</v>
      </c>
      <c r="O248" s="18">
        <f>SUMPRODUCT(P248:AI248,Sheet2!$B$3:$U$3)</f>
        <v>384451</v>
      </c>
      <c r="P248" s="18">
        <f>CEILING(INDEX([1]系统模型!$VD:$VD,MATCH(C248,[1]系统模型!$A:$A,0))*POWER(C248/220,3.8)-50+(1000-A248),1)</f>
        <v>8005</v>
      </c>
      <c r="Q248" s="18">
        <f>CEILING(INDEX([1]系统模型!$VE:$VE,MATCH(C248,[1]系统模型!$A:$A,0))*POWER(C248/220,4),1)</f>
        <v>1409</v>
      </c>
      <c r="R248" s="18">
        <f>INT(INDEX([1]系统模型!$VF:$VF,MATCH(C248,[1]系统模型!$A:$A,0))*MAX(POWER(C248/180,4),0.5))</f>
        <v>82776</v>
      </c>
      <c r="S248" s="5">
        <v>1000</v>
      </c>
      <c r="T248" s="25">
        <v>0</v>
      </c>
      <c r="U248" s="25">
        <v>0</v>
      </c>
      <c r="V248" s="25">
        <v>0</v>
      </c>
      <c r="W248" s="25">
        <v>0</v>
      </c>
      <c r="X248" s="25">
        <f t="shared" si="38"/>
        <v>4138</v>
      </c>
      <c r="Y248" s="12">
        <v>0</v>
      </c>
      <c r="Z248" s="25">
        <v>100</v>
      </c>
      <c r="AA248" s="25">
        <v>150</v>
      </c>
      <c r="AB248" s="25">
        <v>0</v>
      </c>
      <c r="AC248" s="25">
        <v>0</v>
      </c>
      <c r="AD248" s="25">
        <v>0</v>
      </c>
      <c r="AE248" s="25">
        <f t="shared" si="39"/>
        <v>426</v>
      </c>
      <c r="AF248" s="25">
        <f t="shared" si="40"/>
        <v>426</v>
      </c>
      <c r="AG248" s="25">
        <v>0</v>
      </c>
      <c r="AH248" s="25">
        <f t="shared" si="41"/>
        <v>7225</v>
      </c>
      <c r="AI248" s="25">
        <f t="shared" si="42"/>
        <v>106</v>
      </c>
      <c r="AJ248" s="25">
        <v>1</v>
      </c>
      <c r="AK248" s="25">
        <v>1000</v>
      </c>
      <c r="AL248" s="25">
        <v>100</v>
      </c>
      <c r="AM248" s="26">
        <v>10</v>
      </c>
      <c r="AN248" s="26">
        <v>10</v>
      </c>
      <c r="AO248" s="22" t="s">
        <v>2211</v>
      </c>
      <c r="AP248" s="26">
        <v>0</v>
      </c>
      <c r="AQ248" s="26">
        <f t="shared" si="43"/>
        <v>750</v>
      </c>
      <c r="AR248" s="18" t="str">
        <f ca="1">CONCATENATE(OFFSET(Sheet1!$A$2,RANDBETWEEN(2,500),0,1,1),OFFSET(Sheet1!$A$2,RANDBETWEEN(2,500),RANDBETWEEN(1,5),1,1))</f>
        <v>克罗夫特</v>
      </c>
      <c r="AS248">
        <f>SUMPRODUCT(P248:AI248,Sheet2!$B$3:$U$3)</f>
        <v>384451</v>
      </c>
    </row>
    <row r="249" spans="1:45" x14ac:dyDescent="0.15">
      <c r="A249" s="18">
        <v>248</v>
      </c>
      <c r="B249" s="18" t="s">
        <v>406</v>
      </c>
      <c r="C249" s="18">
        <f t="shared" si="33"/>
        <v>213</v>
      </c>
      <c r="D249" s="19">
        <f t="shared" si="34"/>
        <v>2</v>
      </c>
      <c r="E249" s="19">
        <f>VLOOKUP(MOD(A249,4),各职业基础配置!C$32:D$35,2,FALSE)</f>
        <v>1</v>
      </c>
      <c r="F249" s="19">
        <f>IF(A249&lt;900,INDEX(各职业基础配置!C$23:C$28,MOD(ROW(A249),4)+1),0)</f>
        <v>13</v>
      </c>
      <c r="G249" s="19">
        <f t="shared" si="35"/>
        <v>95</v>
      </c>
      <c r="H249" s="27">
        <f t="shared" si="36"/>
        <v>2</v>
      </c>
      <c r="I249" s="6" t="s">
        <v>164</v>
      </c>
      <c r="J249" s="23" t="str">
        <f>VLOOKUP(E249,各职业基础配置!$B$9:$C$12,2,FALSE)</f>
        <v>101|102|103|4201|105</v>
      </c>
      <c r="K249" s="18" t="str">
        <f>VLOOKUP(E249,各职业基础配置!$B$15:$C$18,2,FALSE)</f>
        <v>24|25|26|27</v>
      </c>
      <c r="L249" s="18" t="str">
        <f>VLOOKUP(E249,各职业基础配置!B:C,2,FALSE)</f>
        <v>[{24,1,1},{25,1,1},{26,1,1},{27,1,1},{1,1,1},{2,1,1},{3,1,1}]</v>
      </c>
      <c r="M249" s="18">
        <v>0</v>
      </c>
      <c r="N249" s="18">
        <f t="shared" si="37"/>
        <v>3</v>
      </c>
      <c r="O249" s="18">
        <f>SUMPRODUCT(P249:AI249,Sheet2!$B$3:$U$3)</f>
        <v>384426</v>
      </c>
      <c r="P249" s="18">
        <f>CEILING(INDEX([1]系统模型!$VD:$VD,MATCH(C249,[1]系统模型!$A:$A,0))*POWER(C249/220,3.8)-50+(1000-A249),1)</f>
        <v>8004</v>
      </c>
      <c r="Q249" s="18">
        <f>CEILING(INDEX([1]系统模型!$VE:$VE,MATCH(C249,[1]系统模型!$A:$A,0))*POWER(C249/220,4),1)</f>
        <v>1409</v>
      </c>
      <c r="R249" s="18">
        <f>INT(INDEX([1]系统模型!$VF:$VF,MATCH(C249,[1]系统模型!$A:$A,0))*MAX(POWER(C249/180,4),0.5))</f>
        <v>82776</v>
      </c>
      <c r="S249" s="5">
        <v>1000</v>
      </c>
      <c r="T249" s="25">
        <v>0</v>
      </c>
      <c r="U249" s="25">
        <v>0</v>
      </c>
      <c r="V249" s="25">
        <v>0</v>
      </c>
      <c r="W249" s="25">
        <v>0</v>
      </c>
      <c r="X249" s="25">
        <f t="shared" si="38"/>
        <v>4138</v>
      </c>
      <c r="Y249" s="12">
        <v>0</v>
      </c>
      <c r="Z249" s="25">
        <v>100</v>
      </c>
      <c r="AA249" s="25">
        <v>150</v>
      </c>
      <c r="AB249" s="25">
        <v>0</v>
      </c>
      <c r="AC249" s="25">
        <v>0</v>
      </c>
      <c r="AD249" s="25">
        <v>0</v>
      </c>
      <c r="AE249" s="25">
        <f t="shared" si="39"/>
        <v>426</v>
      </c>
      <c r="AF249" s="25">
        <f t="shared" si="40"/>
        <v>426</v>
      </c>
      <c r="AG249" s="25">
        <v>0</v>
      </c>
      <c r="AH249" s="25">
        <f t="shared" si="41"/>
        <v>7225</v>
      </c>
      <c r="AI249" s="25">
        <f t="shared" si="42"/>
        <v>106</v>
      </c>
      <c r="AJ249" s="25">
        <v>1</v>
      </c>
      <c r="AK249" s="25">
        <v>1000</v>
      </c>
      <c r="AL249" s="25">
        <v>100</v>
      </c>
      <c r="AM249" s="26">
        <v>10</v>
      </c>
      <c r="AN249" s="26">
        <v>10</v>
      </c>
      <c r="AO249" s="22" t="s">
        <v>2211</v>
      </c>
      <c r="AP249" s="26">
        <v>0</v>
      </c>
      <c r="AQ249" s="26">
        <f t="shared" si="43"/>
        <v>750</v>
      </c>
      <c r="AR249" s="18" t="str">
        <f ca="1">CONCATENATE(OFFSET(Sheet1!$A$2,RANDBETWEEN(2,500),0,1,1),OFFSET(Sheet1!$A$2,RANDBETWEEN(2,500),RANDBETWEEN(1,5),1,1))</f>
        <v>黑兹利特</v>
      </c>
      <c r="AS249">
        <f>SUMPRODUCT(P249:AI249,Sheet2!$B$3:$U$3)</f>
        <v>384426</v>
      </c>
    </row>
    <row r="250" spans="1:45" x14ac:dyDescent="0.15">
      <c r="A250" s="23">
        <v>249</v>
      </c>
      <c r="B250" s="18" t="s">
        <v>1930</v>
      </c>
      <c r="C250" s="18">
        <f t="shared" si="33"/>
        <v>213</v>
      </c>
      <c r="D250" s="19">
        <f t="shared" si="34"/>
        <v>3</v>
      </c>
      <c r="E250" s="19">
        <f>VLOOKUP(MOD(A250,4),各职业基础配置!C$32:D$35,2,FALSE)</f>
        <v>3</v>
      </c>
      <c r="F250" s="19">
        <f>IF(A250&lt;900,INDEX(各职业基础配置!C$23:C$28,MOD(ROW(A250),4)+1),0)</f>
        <v>14</v>
      </c>
      <c r="G250" s="19">
        <f t="shared" si="35"/>
        <v>95</v>
      </c>
      <c r="H250" s="27">
        <f t="shared" si="36"/>
        <v>2</v>
      </c>
      <c r="I250" s="6" t="s">
        <v>164</v>
      </c>
      <c r="J250" s="23" t="str">
        <f>VLOOKUP(E250,各职业基础配置!$B$9:$C$12,2,FALSE)</f>
        <v>106|107|108|4201|110</v>
      </c>
      <c r="K250" s="18" t="str">
        <f>VLOOKUP(E250,各职业基础配置!$B$15:$C$18,2,FALSE)</f>
        <v>20|21|22|23</v>
      </c>
      <c r="L250" s="18" t="str">
        <f>VLOOKUP(E250,各职业基础配置!B:C,2,FALSE)</f>
        <v>[{20,1,1},{21,1,1},{22,1,1},{23,1,1},{4,1,1},{5,1,1},{6,1,1}]</v>
      </c>
      <c r="M250" s="18">
        <v>0</v>
      </c>
      <c r="N250" s="18">
        <f t="shared" si="37"/>
        <v>7</v>
      </c>
      <c r="O250" s="18">
        <f>SUMPRODUCT(P250:AI250,Sheet2!$B$3:$U$3)</f>
        <v>384401</v>
      </c>
      <c r="P250" s="18">
        <f>CEILING(INDEX([1]系统模型!$VD:$VD,MATCH(C250,[1]系统模型!$A:$A,0))*POWER(C250/220,3.8)-50+(1000-A250),1)</f>
        <v>8003</v>
      </c>
      <c r="Q250" s="18">
        <f>CEILING(INDEX([1]系统模型!$VE:$VE,MATCH(C250,[1]系统模型!$A:$A,0))*POWER(C250/220,4),1)</f>
        <v>1409</v>
      </c>
      <c r="R250" s="18">
        <f>INT(INDEX([1]系统模型!$VF:$VF,MATCH(C250,[1]系统模型!$A:$A,0))*MAX(POWER(C250/180,4),0.5))</f>
        <v>82776</v>
      </c>
      <c r="S250" s="5">
        <v>1000</v>
      </c>
      <c r="T250" s="25">
        <v>0</v>
      </c>
      <c r="U250" s="25">
        <v>0</v>
      </c>
      <c r="V250" s="25">
        <v>0</v>
      </c>
      <c r="W250" s="25">
        <v>0</v>
      </c>
      <c r="X250" s="25">
        <f t="shared" si="38"/>
        <v>4138</v>
      </c>
      <c r="Y250" s="12">
        <v>0</v>
      </c>
      <c r="Z250" s="25">
        <v>100</v>
      </c>
      <c r="AA250" s="25">
        <v>150</v>
      </c>
      <c r="AB250" s="25">
        <v>0</v>
      </c>
      <c r="AC250" s="25">
        <v>0</v>
      </c>
      <c r="AD250" s="25">
        <v>0</v>
      </c>
      <c r="AE250" s="25">
        <f t="shared" si="39"/>
        <v>426</v>
      </c>
      <c r="AF250" s="25">
        <f t="shared" si="40"/>
        <v>426</v>
      </c>
      <c r="AG250" s="25">
        <v>0</v>
      </c>
      <c r="AH250" s="25">
        <f t="shared" si="41"/>
        <v>7225</v>
      </c>
      <c r="AI250" s="25">
        <f t="shared" si="42"/>
        <v>106</v>
      </c>
      <c r="AJ250" s="25">
        <v>1</v>
      </c>
      <c r="AK250" s="25">
        <v>1000</v>
      </c>
      <c r="AL250" s="25">
        <v>100</v>
      </c>
      <c r="AM250" s="26">
        <v>10</v>
      </c>
      <c r="AN250" s="26">
        <v>10</v>
      </c>
      <c r="AO250" s="22" t="s">
        <v>2211</v>
      </c>
      <c r="AP250" s="26">
        <v>0</v>
      </c>
      <c r="AQ250" s="26">
        <f t="shared" si="43"/>
        <v>750</v>
      </c>
      <c r="AR250" s="18" t="str">
        <f ca="1">CONCATENATE(OFFSET(Sheet1!$A$2,RANDBETWEEN(2,500),0,1,1),OFFSET(Sheet1!$A$2,RANDBETWEEN(2,500),RANDBETWEEN(1,5),1,1))</f>
        <v>休</v>
      </c>
      <c r="AS250">
        <f>SUMPRODUCT(P250:AI250,Sheet2!$B$3:$U$3)</f>
        <v>384401</v>
      </c>
    </row>
    <row r="251" spans="1:45" x14ac:dyDescent="0.15">
      <c r="A251" s="18">
        <v>250</v>
      </c>
      <c r="B251" s="18" t="s">
        <v>1931</v>
      </c>
      <c r="C251" s="18">
        <f t="shared" si="33"/>
        <v>213</v>
      </c>
      <c r="D251" s="19">
        <f t="shared" si="34"/>
        <v>2</v>
      </c>
      <c r="E251" s="19">
        <f>VLOOKUP(MOD(A251,4),各职业基础配置!C$32:D$35,2,FALSE)</f>
        <v>6</v>
      </c>
      <c r="F251" s="19">
        <f>IF(A251&lt;900,INDEX(各职业基础配置!C$23:C$28,MOD(ROW(A251),4)+1),0)</f>
        <v>16</v>
      </c>
      <c r="G251" s="19">
        <f t="shared" si="35"/>
        <v>95</v>
      </c>
      <c r="H251" s="27">
        <f t="shared" si="36"/>
        <v>2</v>
      </c>
      <c r="I251" s="6" t="s">
        <v>164</v>
      </c>
      <c r="J251" s="23" t="str">
        <f>VLOOKUP(E251,各职业基础配置!$B$9:$C$12,2,FALSE)</f>
        <v>111|112|113|4201|115</v>
      </c>
      <c r="K251" s="18" t="str">
        <f>VLOOKUP(E251,各职业基础配置!$B$15:$C$18,2,FALSE)</f>
        <v>32|33|34</v>
      </c>
      <c r="L251" s="18" t="str">
        <f>VLOOKUP(E251,各职业基础配置!B:C,2,FALSE)</f>
        <v>[{32,1,1},{33,1,1},{34,1,1},{35,1,1},{7,1,1},{8,1,1},{9,1,1}]</v>
      </c>
      <c r="M251" s="18">
        <v>0</v>
      </c>
      <c r="N251" s="18">
        <f t="shared" si="37"/>
        <v>7</v>
      </c>
      <c r="O251" s="18">
        <f>SUMPRODUCT(P251:AI251,Sheet2!$B$3:$U$3)</f>
        <v>384376</v>
      </c>
      <c r="P251" s="18">
        <f>CEILING(INDEX([1]系统模型!$VD:$VD,MATCH(C251,[1]系统模型!$A:$A,0))*POWER(C251/220,3.8)-50+(1000-A251),1)</f>
        <v>8002</v>
      </c>
      <c r="Q251" s="18">
        <f>CEILING(INDEX([1]系统模型!$VE:$VE,MATCH(C251,[1]系统模型!$A:$A,0))*POWER(C251/220,4),1)</f>
        <v>1409</v>
      </c>
      <c r="R251" s="18">
        <f>INT(INDEX([1]系统模型!$VF:$VF,MATCH(C251,[1]系统模型!$A:$A,0))*MAX(POWER(C251/180,4),0.5))</f>
        <v>82776</v>
      </c>
      <c r="S251" s="5">
        <v>1000</v>
      </c>
      <c r="T251" s="25">
        <v>0</v>
      </c>
      <c r="U251" s="25">
        <v>0</v>
      </c>
      <c r="V251" s="25">
        <v>0</v>
      </c>
      <c r="W251" s="25">
        <v>0</v>
      </c>
      <c r="X251" s="25">
        <f t="shared" si="38"/>
        <v>4138</v>
      </c>
      <c r="Y251" s="12">
        <v>0</v>
      </c>
      <c r="Z251" s="25">
        <v>100</v>
      </c>
      <c r="AA251" s="25">
        <v>150</v>
      </c>
      <c r="AB251" s="25">
        <v>0</v>
      </c>
      <c r="AC251" s="25">
        <v>0</v>
      </c>
      <c r="AD251" s="25">
        <v>0</v>
      </c>
      <c r="AE251" s="25">
        <f t="shared" si="39"/>
        <v>426</v>
      </c>
      <c r="AF251" s="25">
        <f t="shared" si="40"/>
        <v>426</v>
      </c>
      <c r="AG251" s="25">
        <v>0</v>
      </c>
      <c r="AH251" s="25">
        <f t="shared" si="41"/>
        <v>7225</v>
      </c>
      <c r="AI251" s="25">
        <f t="shared" si="42"/>
        <v>106</v>
      </c>
      <c r="AJ251" s="25">
        <v>1</v>
      </c>
      <c r="AK251" s="25">
        <v>1000</v>
      </c>
      <c r="AL251" s="25">
        <v>100</v>
      </c>
      <c r="AM251" s="26">
        <v>10</v>
      </c>
      <c r="AN251" s="26">
        <v>10</v>
      </c>
      <c r="AO251" s="22" t="s">
        <v>2211</v>
      </c>
      <c r="AP251" s="26">
        <v>0</v>
      </c>
      <c r="AQ251" s="26">
        <f t="shared" si="43"/>
        <v>750</v>
      </c>
      <c r="AR251" s="18" t="str">
        <f ca="1">CONCATENATE(OFFSET(Sheet1!$A$2,RANDBETWEEN(2,500),0,1,1),OFFSET(Sheet1!$A$2,RANDBETWEEN(2,500),RANDBETWEEN(1,5),1,1))</f>
        <v>霍普金</v>
      </c>
      <c r="AS251">
        <f>SUMPRODUCT(P251:AI251,Sheet2!$B$3:$U$3)</f>
        <v>384376</v>
      </c>
    </row>
    <row r="252" spans="1:45" x14ac:dyDescent="0.15">
      <c r="A252" s="18">
        <v>251</v>
      </c>
      <c r="B252" s="18" t="s">
        <v>1061</v>
      </c>
      <c r="C252" s="18">
        <f t="shared" si="33"/>
        <v>212</v>
      </c>
      <c r="D252" s="19">
        <f t="shared" si="34"/>
        <v>3</v>
      </c>
      <c r="E252" s="19">
        <f>VLOOKUP(MOD(A252,4),各职业基础配置!C$32:D$35,2,FALSE)</f>
        <v>9</v>
      </c>
      <c r="F252" s="19">
        <f>IF(A252&lt;900,INDEX(各职业基础配置!C$23:C$28,MOD(ROW(A252),4)+1),0)</f>
        <v>8</v>
      </c>
      <c r="G252" s="19">
        <f t="shared" si="35"/>
        <v>92</v>
      </c>
      <c r="H252" s="27">
        <f t="shared" si="36"/>
        <v>2</v>
      </c>
      <c r="I252" s="6" t="s">
        <v>164</v>
      </c>
      <c r="J252" s="23" t="str">
        <f>VLOOKUP(E252,各职业基础配置!$B$9:$C$12,2,FALSE)</f>
        <v>116|117|118|4201|120</v>
      </c>
      <c r="K252" s="18" t="str">
        <f>VLOOKUP(E252,各职业基础配置!$B$15:$C$18,2,FALSE)</f>
        <v>28|29|30|31</v>
      </c>
      <c r="L252" s="18" t="str">
        <f>VLOOKUP(E252,各职业基础配置!B:C,2,FALSE)</f>
        <v>[{28,1,1},{29,1,1},{30,1,1},{31,1,1},{10,1,1},{11,1,1},{12,1,1}]</v>
      </c>
      <c r="M252" s="18">
        <v>0</v>
      </c>
      <c r="N252" s="18">
        <f t="shared" si="37"/>
        <v>3</v>
      </c>
      <c r="O252" s="18">
        <f>SUMPRODUCT(P252:AI252,Sheet2!$B$3:$U$3)</f>
        <v>375732</v>
      </c>
      <c r="P252" s="18">
        <f>CEILING(INDEX([1]系统模型!$VD:$VD,MATCH(C252,[1]系统模型!$A:$A,0))*POWER(C252/220,3.8)-50+(1000-A252),1)</f>
        <v>7811</v>
      </c>
      <c r="Q252" s="18">
        <f>CEILING(INDEX([1]系统模型!$VE:$VE,MATCH(C252,[1]系统模型!$A:$A,0))*POWER(C252/220,4),1)</f>
        <v>1370</v>
      </c>
      <c r="R252" s="18">
        <f>INT(INDEX([1]系统模型!$VF:$VF,MATCH(C252,[1]系统模型!$A:$A,0))*MAX(POWER(C252/180,4),0.5))</f>
        <v>80407</v>
      </c>
      <c r="S252" s="5">
        <v>1000</v>
      </c>
      <c r="T252" s="25">
        <v>0</v>
      </c>
      <c r="U252" s="25">
        <v>0</v>
      </c>
      <c r="V252" s="25">
        <v>0</v>
      </c>
      <c r="W252" s="25">
        <v>0</v>
      </c>
      <c r="X252" s="25">
        <f t="shared" si="38"/>
        <v>4020</v>
      </c>
      <c r="Y252" s="12">
        <v>0</v>
      </c>
      <c r="Z252" s="25">
        <v>100</v>
      </c>
      <c r="AA252" s="25">
        <v>150</v>
      </c>
      <c r="AB252" s="25">
        <v>0</v>
      </c>
      <c r="AC252" s="25">
        <v>0</v>
      </c>
      <c r="AD252" s="25">
        <v>0</v>
      </c>
      <c r="AE252" s="25">
        <f t="shared" si="39"/>
        <v>424</v>
      </c>
      <c r="AF252" s="25">
        <f t="shared" si="40"/>
        <v>424</v>
      </c>
      <c r="AG252" s="25">
        <v>0</v>
      </c>
      <c r="AH252" s="25">
        <f t="shared" si="41"/>
        <v>7150</v>
      </c>
      <c r="AI252" s="25">
        <f t="shared" si="42"/>
        <v>104</v>
      </c>
      <c r="AJ252" s="25">
        <v>1</v>
      </c>
      <c r="AK252" s="25">
        <v>1000</v>
      </c>
      <c r="AL252" s="25">
        <v>100</v>
      </c>
      <c r="AM252" s="26">
        <v>10</v>
      </c>
      <c r="AN252" s="26">
        <v>10</v>
      </c>
      <c r="AO252" s="22" t="s">
        <v>2211</v>
      </c>
      <c r="AP252" s="26">
        <v>0</v>
      </c>
      <c r="AQ252" s="26">
        <f t="shared" si="43"/>
        <v>750</v>
      </c>
      <c r="AR252" s="18" t="str">
        <f ca="1">CONCATENATE(OFFSET(Sheet1!$A$2,RANDBETWEEN(2,500),0,1,1),OFFSET(Sheet1!$A$2,RANDBETWEEN(2,500),RANDBETWEEN(1,5),1,1))</f>
        <v>格兰瑟姆</v>
      </c>
      <c r="AS252">
        <f>SUMPRODUCT(P252:AI252,Sheet2!$B$3:$U$3)</f>
        <v>375732</v>
      </c>
    </row>
    <row r="253" spans="1:45" x14ac:dyDescent="0.15">
      <c r="A253" s="23">
        <v>252</v>
      </c>
      <c r="B253" s="18" t="s">
        <v>1135</v>
      </c>
      <c r="C253" s="18">
        <f t="shared" si="33"/>
        <v>212</v>
      </c>
      <c r="D253" s="19">
        <f t="shared" si="34"/>
        <v>2</v>
      </c>
      <c r="E253" s="19">
        <f>VLOOKUP(MOD(A253,4),各职业基础配置!C$32:D$35,2,FALSE)</f>
        <v>1</v>
      </c>
      <c r="F253" s="19">
        <f>IF(A253&lt;900,INDEX(各职业基础配置!C$23:C$28,MOD(ROW(A253),4)+1),0)</f>
        <v>13</v>
      </c>
      <c r="G253" s="19">
        <f t="shared" si="35"/>
        <v>92</v>
      </c>
      <c r="H253" s="27">
        <f t="shared" si="36"/>
        <v>2</v>
      </c>
      <c r="I253" s="6" t="s">
        <v>164</v>
      </c>
      <c r="J253" s="23" t="str">
        <f>VLOOKUP(E253,各职业基础配置!$B$9:$C$12,2,FALSE)</f>
        <v>101|102|103|4201|105</v>
      </c>
      <c r="K253" s="18" t="str">
        <f>VLOOKUP(E253,各职业基础配置!$B$15:$C$18,2,FALSE)</f>
        <v>24|25|26|27</v>
      </c>
      <c r="L253" s="18" t="str">
        <f>VLOOKUP(E253,各职业基础配置!B:C,2,FALSE)</f>
        <v>[{24,1,1},{25,1,1},{26,1,1},{27,1,1},{1,1,1},{2,1,1},{3,1,1}]</v>
      </c>
      <c r="M253" s="18">
        <v>0</v>
      </c>
      <c r="N253" s="18">
        <f t="shared" si="37"/>
        <v>3</v>
      </c>
      <c r="O253" s="18">
        <f>SUMPRODUCT(P253:AI253,Sheet2!$B$3:$U$3)</f>
        <v>375707</v>
      </c>
      <c r="P253" s="18">
        <f>CEILING(INDEX([1]系统模型!$VD:$VD,MATCH(C253,[1]系统模型!$A:$A,0))*POWER(C253/220,3.8)-50+(1000-A253),1)</f>
        <v>7810</v>
      </c>
      <c r="Q253" s="18">
        <f>CEILING(INDEX([1]系统模型!$VE:$VE,MATCH(C253,[1]系统模型!$A:$A,0))*POWER(C253/220,4),1)</f>
        <v>1370</v>
      </c>
      <c r="R253" s="18">
        <f>INT(INDEX([1]系统模型!$VF:$VF,MATCH(C253,[1]系统模型!$A:$A,0))*MAX(POWER(C253/180,4),0.5))</f>
        <v>80407</v>
      </c>
      <c r="S253" s="5">
        <v>1000</v>
      </c>
      <c r="T253" s="25">
        <v>0</v>
      </c>
      <c r="U253" s="25">
        <v>0</v>
      </c>
      <c r="V253" s="25">
        <v>0</v>
      </c>
      <c r="W253" s="25">
        <v>0</v>
      </c>
      <c r="X253" s="25">
        <f t="shared" si="38"/>
        <v>4020</v>
      </c>
      <c r="Y253" s="12">
        <v>0</v>
      </c>
      <c r="Z253" s="25">
        <v>100</v>
      </c>
      <c r="AA253" s="25">
        <v>150</v>
      </c>
      <c r="AB253" s="25">
        <v>0</v>
      </c>
      <c r="AC253" s="25">
        <v>0</v>
      </c>
      <c r="AD253" s="25">
        <v>0</v>
      </c>
      <c r="AE253" s="25">
        <f t="shared" si="39"/>
        <v>424</v>
      </c>
      <c r="AF253" s="25">
        <f t="shared" si="40"/>
        <v>424</v>
      </c>
      <c r="AG253" s="25">
        <v>0</v>
      </c>
      <c r="AH253" s="25">
        <f t="shared" si="41"/>
        <v>7150</v>
      </c>
      <c r="AI253" s="25">
        <f t="shared" si="42"/>
        <v>104</v>
      </c>
      <c r="AJ253" s="25">
        <v>1</v>
      </c>
      <c r="AK253" s="25">
        <v>1000</v>
      </c>
      <c r="AL253" s="25">
        <v>100</v>
      </c>
      <c r="AM253" s="26">
        <v>10</v>
      </c>
      <c r="AN253" s="26">
        <v>10</v>
      </c>
      <c r="AO253" s="22" t="s">
        <v>2211</v>
      </c>
      <c r="AP253" s="26">
        <v>0</v>
      </c>
      <c r="AQ253" s="26">
        <f t="shared" si="43"/>
        <v>750</v>
      </c>
      <c r="AR253" s="18" t="str">
        <f ca="1">CONCATENATE(OFFSET(Sheet1!$A$2,RANDBETWEEN(2,500),0,1,1),OFFSET(Sheet1!$A$2,RANDBETWEEN(2,500),RANDBETWEEN(1,5),1,1))</f>
        <v>休士</v>
      </c>
      <c r="AS253">
        <f>SUMPRODUCT(P253:AI253,Sheet2!$B$3:$U$3)</f>
        <v>375707</v>
      </c>
    </row>
    <row r="254" spans="1:45" x14ac:dyDescent="0.15">
      <c r="A254" s="18">
        <v>253</v>
      </c>
      <c r="B254" s="18" t="s">
        <v>1932</v>
      </c>
      <c r="C254" s="18">
        <f t="shared" si="33"/>
        <v>212</v>
      </c>
      <c r="D254" s="19">
        <f t="shared" si="34"/>
        <v>3</v>
      </c>
      <c r="E254" s="19">
        <f>VLOOKUP(MOD(A254,4),各职业基础配置!C$32:D$35,2,FALSE)</f>
        <v>3</v>
      </c>
      <c r="F254" s="19">
        <f>IF(A254&lt;900,INDEX(各职业基础配置!C$23:C$28,MOD(ROW(A254),4)+1),0)</f>
        <v>14</v>
      </c>
      <c r="G254" s="19">
        <f t="shared" si="35"/>
        <v>92</v>
      </c>
      <c r="H254" s="27">
        <f t="shared" si="36"/>
        <v>2</v>
      </c>
      <c r="I254" s="6" t="s">
        <v>164</v>
      </c>
      <c r="J254" s="23" t="str">
        <f>VLOOKUP(E254,各职业基础配置!$B$9:$C$12,2,FALSE)</f>
        <v>106|107|108|4201|110</v>
      </c>
      <c r="K254" s="18" t="str">
        <f>VLOOKUP(E254,各职业基础配置!$B$15:$C$18,2,FALSE)</f>
        <v>20|21|22|23</v>
      </c>
      <c r="L254" s="18" t="str">
        <f>VLOOKUP(E254,各职业基础配置!B:C,2,FALSE)</f>
        <v>[{20,1,1},{21,1,1},{22,1,1},{23,1,1},{4,1,1},{5,1,1},{6,1,1}]</v>
      </c>
      <c r="M254" s="18">
        <v>0</v>
      </c>
      <c r="N254" s="18">
        <f t="shared" si="37"/>
        <v>7</v>
      </c>
      <c r="O254" s="18">
        <f>SUMPRODUCT(P254:AI254,Sheet2!$B$3:$U$3)</f>
        <v>375682</v>
      </c>
      <c r="P254" s="18">
        <f>CEILING(INDEX([1]系统模型!$VD:$VD,MATCH(C254,[1]系统模型!$A:$A,0))*POWER(C254/220,3.8)-50+(1000-A254),1)</f>
        <v>7809</v>
      </c>
      <c r="Q254" s="18">
        <f>CEILING(INDEX([1]系统模型!$VE:$VE,MATCH(C254,[1]系统模型!$A:$A,0))*POWER(C254/220,4),1)</f>
        <v>1370</v>
      </c>
      <c r="R254" s="18">
        <f>INT(INDEX([1]系统模型!$VF:$VF,MATCH(C254,[1]系统模型!$A:$A,0))*MAX(POWER(C254/180,4),0.5))</f>
        <v>80407</v>
      </c>
      <c r="S254" s="5">
        <v>1000</v>
      </c>
      <c r="T254" s="25">
        <v>0</v>
      </c>
      <c r="U254" s="25">
        <v>0</v>
      </c>
      <c r="V254" s="25">
        <v>0</v>
      </c>
      <c r="W254" s="25">
        <v>0</v>
      </c>
      <c r="X254" s="25">
        <f t="shared" si="38"/>
        <v>4020</v>
      </c>
      <c r="Y254" s="12">
        <v>0</v>
      </c>
      <c r="Z254" s="25">
        <v>100</v>
      </c>
      <c r="AA254" s="25">
        <v>150</v>
      </c>
      <c r="AB254" s="25">
        <v>0</v>
      </c>
      <c r="AC254" s="25">
        <v>0</v>
      </c>
      <c r="AD254" s="25">
        <v>0</v>
      </c>
      <c r="AE254" s="25">
        <f t="shared" si="39"/>
        <v>424</v>
      </c>
      <c r="AF254" s="25">
        <f t="shared" si="40"/>
        <v>424</v>
      </c>
      <c r="AG254" s="25">
        <v>0</v>
      </c>
      <c r="AH254" s="25">
        <f t="shared" si="41"/>
        <v>7150</v>
      </c>
      <c r="AI254" s="25">
        <f t="shared" si="42"/>
        <v>104</v>
      </c>
      <c r="AJ254" s="25">
        <v>1</v>
      </c>
      <c r="AK254" s="25">
        <v>1000</v>
      </c>
      <c r="AL254" s="25">
        <v>100</v>
      </c>
      <c r="AM254" s="26">
        <v>10</v>
      </c>
      <c r="AN254" s="26">
        <v>10</v>
      </c>
      <c r="AO254" s="22" t="s">
        <v>2211</v>
      </c>
      <c r="AP254" s="26">
        <v>0</v>
      </c>
      <c r="AQ254" s="26">
        <f t="shared" si="43"/>
        <v>750</v>
      </c>
      <c r="AR254" s="18" t="str">
        <f ca="1">CONCATENATE(OFFSET(Sheet1!$A$2,RANDBETWEEN(2,500),0,1,1),OFFSET(Sheet1!$A$2,RANDBETWEEN(2,500),RANDBETWEEN(1,5),1,1))</f>
        <v>鲍曼</v>
      </c>
      <c r="AS254">
        <f>SUMPRODUCT(P254:AI254,Sheet2!$B$3:$U$3)</f>
        <v>375682</v>
      </c>
    </row>
    <row r="255" spans="1:45" x14ac:dyDescent="0.15">
      <c r="A255" s="18">
        <v>254</v>
      </c>
      <c r="B255" s="18" t="s">
        <v>1933</v>
      </c>
      <c r="C255" s="18">
        <f t="shared" si="33"/>
        <v>212</v>
      </c>
      <c r="D255" s="19">
        <f t="shared" si="34"/>
        <v>2</v>
      </c>
      <c r="E255" s="19">
        <f>VLOOKUP(MOD(A255,4),各职业基础配置!C$32:D$35,2,FALSE)</f>
        <v>6</v>
      </c>
      <c r="F255" s="19">
        <f>IF(A255&lt;900,INDEX(各职业基础配置!C$23:C$28,MOD(ROW(A255),4)+1),0)</f>
        <v>16</v>
      </c>
      <c r="G255" s="19">
        <f t="shared" si="35"/>
        <v>92</v>
      </c>
      <c r="H255" s="27">
        <f t="shared" si="36"/>
        <v>2</v>
      </c>
      <c r="I255" s="6" t="s">
        <v>164</v>
      </c>
      <c r="J255" s="23" t="str">
        <f>VLOOKUP(E255,各职业基础配置!$B$9:$C$12,2,FALSE)</f>
        <v>111|112|113|4201|115</v>
      </c>
      <c r="K255" s="18" t="str">
        <f>VLOOKUP(E255,各职业基础配置!$B$15:$C$18,2,FALSE)</f>
        <v>32|33|34</v>
      </c>
      <c r="L255" s="18" t="str">
        <f>VLOOKUP(E255,各职业基础配置!B:C,2,FALSE)</f>
        <v>[{32,1,1},{33,1,1},{34,1,1},{35,1,1},{7,1,1},{8,1,1},{9,1,1}]</v>
      </c>
      <c r="M255" s="18">
        <v>0</v>
      </c>
      <c r="N255" s="18">
        <f t="shared" si="37"/>
        <v>7</v>
      </c>
      <c r="O255" s="18">
        <f>SUMPRODUCT(P255:AI255,Sheet2!$B$3:$U$3)</f>
        <v>375657</v>
      </c>
      <c r="P255" s="18">
        <f>CEILING(INDEX([1]系统模型!$VD:$VD,MATCH(C255,[1]系统模型!$A:$A,0))*POWER(C255/220,3.8)-50+(1000-A255),1)</f>
        <v>7808</v>
      </c>
      <c r="Q255" s="18">
        <f>CEILING(INDEX([1]系统模型!$VE:$VE,MATCH(C255,[1]系统模型!$A:$A,0))*POWER(C255/220,4),1)</f>
        <v>1370</v>
      </c>
      <c r="R255" s="18">
        <f>INT(INDEX([1]系统模型!$VF:$VF,MATCH(C255,[1]系统模型!$A:$A,0))*MAX(POWER(C255/180,4),0.5))</f>
        <v>80407</v>
      </c>
      <c r="S255" s="5">
        <v>1000</v>
      </c>
      <c r="T255" s="25">
        <v>0</v>
      </c>
      <c r="U255" s="25">
        <v>0</v>
      </c>
      <c r="V255" s="25">
        <v>0</v>
      </c>
      <c r="W255" s="25">
        <v>0</v>
      </c>
      <c r="X255" s="25">
        <f t="shared" si="38"/>
        <v>4020</v>
      </c>
      <c r="Y255" s="12">
        <v>0</v>
      </c>
      <c r="Z255" s="25">
        <v>100</v>
      </c>
      <c r="AA255" s="25">
        <v>150</v>
      </c>
      <c r="AB255" s="25">
        <v>0</v>
      </c>
      <c r="AC255" s="25">
        <v>0</v>
      </c>
      <c r="AD255" s="25">
        <v>0</v>
      </c>
      <c r="AE255" s="25">
        <f t="shared" si="39"/>
        <v>424</v>
      </c>
      <c r="AF255" s="25">
        <f t="shared" si="40"/>
        <v>424</v>
      </c>
      <c r="AG255" s="25">
        <v>0</v>
      </c>
      <c r="AH255" s="25">
        <f t="shared" si="41"/>
        <v>7150</v>
      </c>
      <c r="AI255" s="25">
        <f t="shared" si="42"/>
        <v>104</v>
      </c>
      <c r="AJ255" s="25">
        <v>1</v>
      </c>
      <c r="AK255" s="25">
        <v>1000</v>
      </c>
      <c r="AL255" s="25">
        <v>100</v>
      </c>
      <c r="AM255" s="26">
        <v>10</v>
      </c>
      <c r="AN255" s="26">
        <v>10</v>
      </c>
      <c r="AO255" s="22" t="s">
        <v>2211</v>
      </c>
      <c r="AP255" s="26">
        <v>0</v>
      </c>
      <c r="AQ255" s="26">
        <f t="shared" si="43"/>
        <v>750</v>
      </c>
      <c r="AR255" s="18" t="str">
        <f ca="1">CONCATENATE(OFFSET(Sheet1!$A$2,RANDBETWEEN(2,500),0,1,1),OFFSET(Sheet1!$A$2,RANDBETWEEN(2,500),RANDBETWEEN(1,5),1,1))</f>
        <v>哈珀</v>
      </c>
      <c r="AS255">
        <f>SUMPRODUCT(P255:AI255,Sheet2!$B$3:$U$3)</f>
        <v>375657</v>
      </c>
    </row>
    <row r="256" spans="1:45" x14ac:dyDescent="0.15">
      <c r="A256" s="23">
        <v>255</v>
      </c>
      <c r="B256" s="18" t="s">
        <v>1934</v>
      </c>
      <c r="C256" s="18">
        <f t="shared" si="33"/>
        <v>212</v>
      </c>
      <c r="D256" s="19">
        <f t="shared" si="34"/>
        <v>3</v>
      </c>
      <c r="E256" s="19">
        <f>VLOOKUP(MOD(A256,4),各职业基础配置!C$32:D$35,2,FALSE)</f>
        <v>9</v>
      </c>
      <c r="F256" s="19">
        <f>IF(A256&lt;900,INDEX(各职业基础配置!C$23:C$28,MOD(ROW(A256),4)+1),0)</f>
        <v>8</v>
      </c>
      <c r="G256" s="19">
        <f t="shared" si="35"/>
        <v>92</v>
      </c>
      <c r="H256" s="27">
        <f t="shared" si="36"/>
        <v>2</v>
      </c>
      <c r="I256" s="6" t="s">
        <v>164</v>
      </c>
      <c r="J256" s="23" t="str">
        <f>VLOOKUP(E256,各职业基础配置!$B$9:$C$12,2,FALSE)</f>
        <v>116|117|118|4201|120</v>
      </c>
      <c r="K256" s="18" t="str">
        <f>VLOOKUP(E256,各职业基础配置!$B$15:$C$18,2,FALSE)</f>
        <v>28|29|30|31</v>
      </c>
      <c r="L256" s="18" t="str">
        <f>VLOOKUP(E256,各职业基础配置!B:C,2,FALSE)</f>
        <v>[{28,1,1},{29,1,1},{30,1,1},{31,1,1},{10,1,1},{11,1,1},{12,1,1}]</v>
      </c>
      <c r="M256" s="18">
        <v>0</v>
      </c>
      <c r="N256" s="18">
        <f t="shared" si="37"/>
        <v>3</v>
      </c>
      <c r="O256" s="18">
        <f>SUMPRODUCT(P256:AI256,Sheet2!$B$3:$U$3)</f>
        <v>375632</v>
      </c>
      <c r="P256" s="18">
        <f>CEILING(INDEX([1]系统模型!$VD:$VD,MATCH(C256,[1]系统模型!$A:$A,0))*POWER(C256/220,3.8)-50+(1000-A256),1)</f>
        <v>7807</v>
      </c>
      <c r="Q256" s="18">
        <f>CEILING(INDEX([1]系统模型!$VE:$VE,MATCH(C256,[1]系统模型!$A:$A,0))*POWER(C256/220,4),1)</f>
        <v>1370</v>
      </c>
      <c r="R256" s="18">
        <f>INT(INDEX([1]系统模型!$VF:$VF,MATCH(C256,[1]系统模型!$A:$A,0))*MAX(POWER(C256/180,4),0.5))</f>
        <v>80407</v>
      </c>
      <c r="S256" s="5">
        <v>1000</v>
      </c>
      <c r="T256" s="25">
        <v>0</v>
      </c>
      <c r="U256" s="25">
        <v>0</v>
      </c>
      <c r="V256" s="25">
        <v>0</v>
      </c>
      <c r="W256" s="25">
        <v>0</v>
      </c>
      <c r="X256" s="25">
        <f t="shared" si="38"/>
        <v>4020</v>
      </c>
      <c r="Y256" s="12">
        <v>0</v>
      </c>
      <c r="Z256" s="25">
        <v>100</v>
      </c>
      <c r="AA256" s="25">
        <v>150</v>
      </c>
      <c r="AB256" s="25">
        <v>0</v>
      </c>
      <c r="AC256" s="25">
        <v>0</v>
      </c>
      <c r="AD256" s="25">
        <v>0</v>
      </c>
      <c r="AE256" s="25">
        <f t="shared" si="39"/>
        <v>424</v>
      </c>
      <c r="AF256" s="25">
        <f t="shared" si="40"/>
        <v>424</v>
      </c>
      <c r="AG256" s="25">
        <v>0</v>
      </c>
      <c r="AH256" s="25">
        <f t="shared" si="41"/>
        <v>7150</v>
      </c>
      <c r="AI256" s="25">
        <f t="shared" si="42"/>
        <v>104</v>
      </c>
      <c r="AJ256" s="25">
        <v>1</v>
      </c>
      <c r="AK256" s="25">
        <v>1000</v>
      </c>
      <c r="AL256" s="25">
        <v>100</v>
      </c>
      <c r="AM256" s="26">
        <v>10</v>
      </c>
      <c r="AN256" s="26">
        <v>10</v>
      </c>
      <c r="AO256" s="22" t="s">
        <v>2211</v>
      </c>
      <c r="AP256" s="26">
        <v>0</v>
      </c>
      <c r="AQ256" s="26">
        <f t="shared" si="43"/>
        <v>740</v>
      </c>
      <c r="AR256" s="18" t="str">
        <f ca="1">CONCATENATE(OFFSET(Sheet1!$A$2,RANDBETWEEN(2,500),0,1,1),OFFSET(Sheet1!$A$2,RANDBETWEEN(2,500),RANDBETWEEN(1,5),1,1))</f>
        <v>爱德华</v>
      </c>
      <c r="AS256">
        <f>SUMPRODUCT(P256:AI256,Sheet2!$B$3:$U$3)</f>
        <v>375632</v>
      </c>
    </row>
    <row r="257" spans="1:45" x14ac:dyDescent="0.15">
      <c r="A257" s="18">
        <v>256</v>
      </c>
      <c r="B257" s="18" t="s">
        <v>1935</v>
      </c>
      <c r="C257" s="18">
        <f t="shared" si="33"/>
        <v>212</v>
      </c>
      <c r="D257" s="19">
        <f t="shared" si="34"/>
        <v>2</v>
      </c>
      <c r="E257" s="19">
        <f>VLOOKUP(MOD(A257,4),各职业基础配置!C$32:D$35,2,FALSE)</f>
        <v>1</v>
      </c>
      <c r="F257" s="19">
        <f>IF(A257&lt;900,INDEX(各职业基础配置!C$23:C$28,MOD(ROW(A257),4)+1),0)</f>
        <v>13</v>
      </c>
      <c r="G257" s="19">
        <f t="shared" si="35"/>
        <v>92</v>
      </c>
      <c r="H257" s="27">
        <f t="shared" si="36"/>
        <v>2</v>
      </c>
      <c r="I257" s="6" t="s">
        <v>164</v>
      </c>
      <c r="J257" s="23" t="str">
        <f>VLOOKUP(E257,各职业基础配置!$B$9:$C$12,2,FALSE)</f>
        <v>101|102|103|4201|105</v>
      </c>
      <c r="K257" s="18" t="str">
        <f>VLOOKUP(E257,各职业基础配置!$B$15:$C$18,2,FALSE)</f>
        <v>24|25|26|27</v>
      </c>
      <c r="L257" s="18" t="str">
        <f>VLOOKUP(E257,各职业基础配置!B:C,2,FALSE)</f>
        <v>[{24,1,1},{25,1,1},{26,1,1},{27,1,1},{1,1,1},{2,1,1},{3,1,1}]</v>
      </c>
      <c r="M257" s="18">
        <v>0</v>
      </c>
      <c r="N257" s="18">
        <f t="shared" si="37"/>
        <v>3</v>
      </c>
      <c r="O257" s="18">
        <f>SUMPRODUCT(P257:AI257,Sheet2!$B$3:$U$3)</f>
        <v>375607</v>
      </c>
      <c r="P257" s="18">
        <f>CEILING(INDEX([1]系统模型!$VD:$VD,MATCH(C257,[1]系统模型!$A:$A,0))*POWER(C257/220,3.8)-50+(1000-A257),1)</f>
        <v>7806</v>
      </c>
      <c r="Q257" s="18">
        <f>CEILING(INDEX([1]系统模型!$VE:$VE,MATCH(C257,[1]系统模型!$A:$A,0))*POWER(C257/220,4),1)</f>
        <v>1370</v>
      </c>
      <c r="R257" s="18">
        <f>INT(INDEX([1]系统模型!$VF:$VF,MATCH(C257,[1]系统模型!$A:$A,0))*MAX(POWER(C257/180,4),0.5))</f>
        <v>80407</v>
      </c>
      <c r="S257" s="5">
        <v>1000</v>
      </c>
      <c r="T257" s="25">
        <v>0</v>
      </c>
      <c r="U257" s="25">
        <v>0</v>
      </c>
      <c r="V257" s="25">
        <v>0</v>
      </c>
      <c r="W257" s="25">
        <v>0</v>
      </c>
      <c r="X257" s="25">
        <f t="shared" si="38"/>
        <v>4020</v>
      </c>
      <c r="Y257" s="12">
        <v>0</v>
      </c>
      <c r="Z257" s="25">
        <v>100</v>
      </c>
      <c r="AA257" s="25">
        <v>150</v>
      </c>
      <c r="AB257" s="25">
        <v>0</v>
      </c>
      <c r="AC257" s="25">
        <v>0</v>
      </c>
      <c r="AD257" s="25">
        <v>0</v>
      </c>
      <c r="AE257" s="25">
        <f t="shared" si="39"/>
        <v>424</v>
      </c>
      <c r="AF257" s="25">
        <f t="shared" si="40"/>
        <v>424</v>
      </c>
      <c r="AG257" s="25">
        <v>0</v>
      </c>
      <c r="AH257" s="25">
        <f t="shared" si="41"/>
        <v>7150</v>
      </c>
      <c r="AI257" s="25">
        <f t="shared" si="42"/>
        <v>104</v>
      </c>
      <c r="AJ257" s="25">
        <v>1</v>
      </c>
      <c r="AK257" s="25">
        <v>1000</v>
      </c>
      <c r="AL257" s="25">
        <v>100</v>
      </c>
      <c r="AM257" s="26">
        <v>10</v>
      </c>
      <c r="AN257" s="26">
        <v>10</v>
      </c>
      <c r="AO257" s="22" t="s">
        <v>2211</v>
      </c>
      <c r="AP257" s="26">
        <v>0</v>
      </c>
      <c r="AQ257" s="26">
        <f t="shared" si="43"/>
        <v>740</v>
      </c>
      <c r="AR257" s="18" t="str">
        <f ca="1">CONCATENATE(OFFSET(Sheet1!$A$2,RANDBETWEEN(2,500),0,1,1),OFFSET(Sheet1!$A$2,RANDBETWEEN(2,500),RANDBETWEEN(1,5),1,1))</f>
        <v>霍尔特</v>
      </c>
      <c r="AS257">
        <f>SUMPRODUCT(P257:AI257,Sheet2!$B$3:$U$3)</f>
        <v>375607</v>
      </c>
    </row>
    <row r="258" spans="1:45" x14ac:dyDescent="0.15">
      <c r="A258" s="18">
        <v>257</v>
      </c>
      <c r="B258" s="18" t="s">
        <v>1936</v>
      </c>
      <c r="C258" s="18">
        <f t="shared" si="33"/>
        <v>211</v>
      </c>
      <c r="D258" s="19">
        <f t="shared" si="34"/>
        <v>3</v>
      </c>
      <c r="E258" s="19">
        <f>VLOOKUP(MOD(A258,4),各职业基础配置!C$32:D$35,2,FALSE)</f>
        <v>3</v>
      </c>
      <c r="F258" s="19">
        <f>IF(A258&lt;900,INDEX(各职业基础配置!C$23:C$28,MOD(ROW(A258),4)+1),0)</f>
        <v>14</v>
      </c>
      <c r="G258" s="19">
        <f t="shared" si="35"/>
        <v>90</v>
      </c>
      <c r="H258" s="27">
        <f t="shared" si="36"/>
        <v>2</v>
      </c>
      <c r="I258" s="6" t="s">
        <v>164</v>
      </c>
      <c r="J258" s="23" t="str">
        <f>VLOOKUP(E258,各职业基础配置!$B$9:$C$12,2,FALSE)</f>
        <v>106|107|108|4201|110</v>
      </c>
      <c r="K258" s="18" t="str">
        <f>VLOOKUP(E258,各职业基础配置!$B$15:$C$18,2,FALSE)</f>
        <v>20|21|22|23</v>
      </c>
      <c r="L258" s="18" t="str">
        <f>VLOOKUP(E258,各职业基础配置!B:C,2,FALSE)</f>
        <v>[{20,1,1},{21,1,1},{22,1,1},{23,1,1},{4,1,1},{5,1,1},{6,1,1}]</v>
      </c>
      <c r="M258" s="18">
        <v>0</v>
      </c>
      <c r="N258" s="18">
        <f t="shared" si="37"/>
        <v>7</v>
      </c>
      <c r="O258" s="18">
        <f>SUMPRODUCT(P258:AI258,Sheet2!$B$3:$U$3)</f>
        <v>366714</v>
      </c>
      <c r="P258" s="18">
        <f>CEILING(INDEX([1]系统模型!$VD:$VD,MATCH(C258,[1]系统模型!$A:$A,0))*POWER(C258/220,3.8)-50+(1000-A258),1)</f>
        <v>7628</v>
      </c>
      <c r="Q258" s="18">
        <f>CEILING(INDEX([1]系统模型!$VE:$VE,MATCH(C258,[1]系统模型!$A:$A,0))*POWER(C258/220,4),1)</f>
        <v>1325</v>
      </c>
      <c r="R258" s="18">
        <f>INT(INDEX([1]系统模型!$VF:$VF,MATCH(C258,[1]系统模型!$A:$A,0))*MAX(POWER(C258/180,4),0.5))</f>
        <v>77639</v>
      </c>
      <c r="S258" s="5">
        <v>1000</v>
      </c>
      <c r="T258" s="25">
        <v>0</v>
      </c>
      <c r="U258" s="25">
        <v>0</v>
      </c>
      <c r="V258" s="25">
        <v>0</v>
      </c>
      <c r="W258" s="25">
        <v>0</v>
      </c>
      <c r="X258" s="25">
        <f t="shared" si="38"/>
        <v>3881</v>
      </c>
      <c r="Y258" s="12">
        <v>0</v>
      </c>
      <c r="Z258" s="25">
        <v>100</v>
      </c>
      <c r="AA258" s="25">
        <v>150</v>
      </c>
      <c r="AB258" s="25">
        <v>0</v>
      </c>
      <c r="AC258" s="25">
        <v>0</v>
      </c>
      <c r="AD258" s="25">
        <v>0</v>
      </c>
      <c r="AE258" s="25">
        <f t="shared" si="39"/>
        <v>422</v>
      </c>
      <c r="AF258" s="25">
        <f t="shared" si="40"/>
        <v>422</v>
      </c>
      <c r="AG258" s="25">
        <v>0</v>
      </c>
      <c r="AH258" s="25">
        <f t="shared" si="41"/>
        <v>7075</v>
      </c>
      <c r="AI258" s="25">
        <f t="shared" si="42"/>
        <v>101</v>
      </c>
      <c r="AJ258" s="25">
        <v>1</v>
      </c>
      <c r="AK258" s="25">
        <v>1000</v>
      </c>
      <c r="AL258" s="25">
        <v>100</v>
      </c>
      <c r="AM258" s="26">
        <v>10</v>
      </c>
      <c r="AN258" s="26">
        <v>10</v>
      </c>
      <c r="AO258" s="22" t="s">
        <v>2211</v>
      </c>
      <c r="AP258" s="26">
        <v>0</v>
      </c>
      <c r="AQ258" s="26">
        <f t="shared" si="43"/>
        <v>740</v>
      </c>
      <c r="AR258" s="18" t="str">
        <f ca="1">CONCATENATE(OFFSET(Sheet1!$A$2,RANDBETWEEN(2,500),0,1,1),OFFSET(Sheet1!$A$2,RANDBETWEEN(2,500),RANDBETWEEN(1,5),1,1))</f>
        <v>费利克斯</v>
      </c>
      <c r="AS258">
        <f>SUMPRODUCT(P258:AI258,Sheet2!$B$3:$U$3)</f>
        <v>366714</v>
      </c>
    </row>
    <row r="259" spans="1:45" x14ac:dyDescent="0.15">
      <c r="A259" s="23">
        <v>258</v>
      </c>
      <c r="B259" s="18" t="s">
        <v>1329</v>
      </c>
      <c r="C259" s="18">
        <f t="shared" ref="C259:C322" si="44">INT(250-(150-2)/1000*A259)</f>
        <v>211</v>
      </c>
      <c r="D259" s="19">
        <f t="shared" ref="D259:D322" si="45">MOD(A259,2)+2</f>
        <v>2</v>
      </c>
      <c r="E259" s="19">
        <f>VLOOKUP(MOD(A259,4),各职业基础配置!C$32:D$35,2,FALSE)</f>
        <v>6</v>
      </c>
      <c r="F259" s="19">
        <f>IF(A259&lt;900,INDEX(各职业基础配置!C$23:C$28,MOD(ROW(A259),4)+1),0)</f>
        <v>16</v>
      </c>
      <c r="G259" s="19">
        <f t="shared" ref="G259:G322" si="46">INT(C259*POWER(C259/250,5))</f>
        <v>90</v>
      </c>
      <c r="H259" s="27">
        <f t="shared" ref="H259:H322" si="47">CEILING(C259/75,1)-1</f>
        <v>2</v>
      </c>
      <c r="I259" s="6" t="s">
        <v>164</v>
      </c>
      <c r="J259" s="23" t="str">
        <f>VLOOKUP(E259,各职业基础配置!$B$9:$C$12,2,FALSE)</f>
        <v>111|112|113|4201|115</v>
      </c>
      <c r="K259" s="18" t="str">
        <f>VLOOKUP(E259,各职业基础配置!$B$15:$C$18,2,FALSE)</f>
        <v>32|33|34</v>
      </c>
      <c r="L259" s="18" t="str">
        <f>VLOOKUP(E259,各职业基础配置!B:C,2,FALSE)</f>
        <v>[{32,1,1},{33,1,1},{34,1,1},{35,1,1},{7,1,1},{8,1,1},{9,1,1}]</v>
      </c>
      <c r="M259" s="18">
        <v>0</v>
      </c>
      <c r="N259" s="18">
        <f t="shared" ref="N259:N322" si="48">IF(OR(E259=3,E259=6),7,3)</f>
        <v>7</v>
      </c>
      <c r="O259" s="18">
        <f>SUMPRODUCT(P259:AI259,Sheet2!$B$3:$U$3)</f>
        <v>366689</v>
      </c>
      <c r="P259" s="18">
        <f>CEILING(INDEX([1]系统模型!$VD:$VD,MATCH(C259,[1]系统模型!$A:$A,0))*POWER(C259/220,3.8)-50+(1000-A259),1)</f>
        <v>7627</v>
      </c>
      <c r="Q259" s="18">
        <f>CEILING(INDEX([1]系统模型!$VE:$VE,MATCH(C259,[1]系统模型!$A:$A,0))*POWER(C259/220,4),1)</f>
        <v>1325</v>
      </c>
      <c r="R259" s="18">
        <f>INT(INDEX([1]系统模型!$VF:$VF,MATCH(C259,[1]系统模型!$A:$A,0))*MAX(POWER(C259/180,4),0.5))</f>
        <v>77639</v>
      </c>
      <c r="S259" s="5">
        <v>1000</v>
      </c>
      <c r="T259" s="25">
        <v>0</v>
      </c>
      <c r="U259" s="25">
        <v>0</v>
      </c>
      <c r="V259" s="25">
        <v>0</v>
      </c>
      <c r="W259" s="25">
        <v>0</v>
      </c>
      <c r="X259" s="25">
        <f t="shared" ref="X259:X322" si="49">INT(R259/20)</f>
        <v>3881</v>
      </c>
      <c r="Y259" s="12">
        <v>0</v>
      </c>
      <c r="Z259" s="25">
        <v>100</v>
      </c>
      <c r="AA259" s="25">
        <v>150</v>
      </c>
      <c r="AB259" s="25">
        <v>0</v>
      </c>
      <c r="AC259" s="25">
        <v>0</v>
      </c>
      <c r="AD259" s="25">
        <v>0</v>
      </c>
      <c r="AE259" s="25">
        <f t="shared" ref="AE259:AE322" si="50">C259*2</f>
        <v>422</v>
      </c>
      <c r="AF259" s="25">
        <f t="shared" ref="AF259:AF322" si="51">C259*2</f>
        <v>422</v>
      </c>
      <c r="AG259" s="25">
        <v>0</v>
      </c>
      <c r="AH259" s="25">
        <f t="shared" ref="AH259:AH322" si="52">MAX(10000-(250-C259)*75,0)</f>
        <v>7075</v>
      </c>
      <c r="AI259" s="25">
        <f t="shared" ref="AI259:AI322" si="53">INT(P259/75)</f>
        <v>101</v>
      </c>
      <c r="AJ259" s="25">
        <v>1</v>
      </c>
      <c r="AK259" s="25">
        <v>1000</v>
      </c>
      <c r="AL259" s="25">
        <v>100</v>
      </c>
      <c r="AM259" s="26">
        <v>10</v>
      </c>
      <c r="AN259" s="26">
        <v>10</v>
      </c>
      <c r="AO259" s="22" t="s">
        <v>2211</v>
      </c>
      <c r="AP259" s="26">
        <v>0</v>
      </c>
      <c r="AQ259" s="26">
        <f t="shared" ref="AQ259:AQ322" si="54">MAX(CEILING(1000-A259*1.02,10),0)</f>
        <v>740</v>
      </c>
      <c r="AR259" s="18" t="str">
        <f ca="1">CONCATENATE(OFFSET(Sheet1!$A$2,RANDBETWEEN(2,500),0,1,1),OFFSET(Sheet1!$A$2,RANDBETWEEN(2,500),RANDBETWEEN(1,5),1,1))</f>
        <v>鲍德温</v>
      </c>
      <c r="AS259">
        <f>SUMPRODUCT(P259:AI259,Sheet2!$B$3:$U$3)</f>
        <v>366689</v>
      </c>
    </row>
    <row r="260" spans="1:45" x14ac:dyDescent="0.15">
      <c r="A260" s="18">
        <v>259</v>
      </c>
      <c r="B260" s="18" t="s">
        <v>555</v>
      </c>
      <c r="C260" s="18">
        <f t="shared" si="44"/>
        <v>211</v>
      </c>
      <c r="D260" s="19">
        <f t="shared" si="45"/>
        <v>3</v>
      </c>
      <c r="E260" s="19">
        <f>VLOOKUP(MOD(A260,4),各职业基础配置!C$32:D$35,2,FALSE)</f>
        <v>9</v>
      </c>
      <c r="F260" s="19">
        <f>IF(A260&lt;900,INDEX(各职业基础配置!C$23:C$28,MOD(ROW(A260),4)+1),0)</f>
        <v>8</v>
      </c>
      <c r="G260" s="19">
        <f t="shared" si="46"/>
        <v>90</v>
      </c>
      <c r="H260" s="27">
        <f t="shared" si="47"/>
        <v>2</v>
      </c>
      <c r="I260" s="6" t="s">
        <v>164</v>
      </c>
      <c r="J260" s="23" t="str">
        <f>VLOOKUP(E260,各职业基础配置!$B$9:$C$12,2,FALSE)</f>
        <v>116|117|118|4201|120</v>
      </c>
      <c r="K260" s="18" t="str">
        <f>VLOOKUP(E260,各职业基础配置!$B$15:$C$18,2,FALSE)</f>
        <v>28|29|30|31</v>
      </c>
      <c r="L260" s="18" t="str">
        <f>VLOOKUP(E260,各职业基础配置!B:C,2,FALSE)</f>
        <v>[{28,1,1},{29,1,1},{30,1,1},{31,1,1},{10,1,1},{11,1,1},{12,1,1}]</v>
      </c>
      <c r="M260" s="18">
        <v>0</v>
      </c>
      <c r="N260" s="18">
        <f t="shared" si="48"/>
        <v>3</v>
      </c>
      <c r="O260" s="18">
        <f>SUMPRODUCT(P260:AI260,Sheet2!$B$3:$U$3)</f>
        <v>366664</v>
      </c>
      <c r="P260" s="18">
        <f>CEILING(INDEX([1]系统模型!$VD:$VD,MATCH(C260,[1]系统模型!$A:$A,0))*POWER(C260/220,3.8)-50+(1000-A260),1)</f>
        <v>7626</v>
      </c>
      <c r="Q260" s="18">
        <f>CEILING(INDEX([1]系统模型!$VE:$VE,MATCH(C260,[1]系统模型!$A:$A,0))*POWER(C260/220,4),1)</f>
        <v>1325</v>
      </c>
      <c r="R260" s="18">
        <f>INT(INDEX([1]系统模型!$VF:$VF,MATCH(C260,[1]系统模型!$A:$A,0))*MAX(POWER(C260/180,4),0.5))</f>
        <v>77639</v>
      </c>
      <c r="S260" s="5">
        <v>1000</v>
      </c>
      <c r="T260" s="25">
        <v>0</v>
      </c>
      <c r="U260" s="25">
        <v>0</v>
      </c>
      <c r="V260" s="25">
        <v>0</v>
      </c>
      <c r="W260" s="25">
        <v>0</v>
      </c>
      <c r="X260" s="25">
        <f t="shared" si="49"/>
        <v>3881</v>
      </c>
      <c r="Y260" s="12">
        <v>0</v>
      </c>
      <c r="Z260" s="25">
        <v>100</v>
      </c>
      <c r="AA260" s="25">
        <v>150</v>
      </c>
      <c r="AB260" s="25">
        <v>0</v>
      </c>
      <c r="AC260" s="25">
        <v>0</v>
      </c>
      <c r="AD260" s="25">
        <v>0</v>
      </c>
      <c r="AE260" s="25">
        <f t="shared" si="50"/>
        <v>422</v>
      </c>
      <c r="AF260" s="25">
        <f t="shared" si="51"/>
        <v>422</v>
      </c>
      <c r="AG260" s="25">
        <v>0</v>
      </c>
      <c r="AH260" s="25">
        <f t="shared" si="52"/>
        <v>7075</v>
      </c>
      <c r="AI260" s="25">
        <f t="shared" si="53"/>
        <v>101</v>
      </c>
      <c r="AJ260" s="25">
        <v>1</v>
      </c>
      <c r="AK260" s="25">
        <v>1000</v>
      </c>
      <c r="AL260" s="25">
        <v>100</v>
      </c>
      <c r="AM260" s="26">
        <v>10</v>
      </c>
      <c r="AN260" s="26">
        <v>10</v>
      </c>
      <c r="AO260" s="22" t="s">
        <v>2211</v>
      </c>
      <c r="AP260" s="26">
        <v>0</v>
      </c>
      <c r="AQ260" s="26">
        <f t="shared" si="54"/>
        <v>740</v>
      </c>
      <c r="AR260" s="18" t="str">
        <f ca="1">CONCATENATE(OFFSET(Sheet1!$A$2,RANDBETWEEN(2,500),0,1,1),OFFSET(Sheet1!$A$2,RANDBETWEEN(2,500),RANDBETWEEN(1,5),1,1))</f>
        <v>安德森艾西</v>
      </c>
      <c r="AS260">
        <f>SUMPRODUCT(P260:AI260,Sheet2!$B$3:$U$3)</f>
        <v>366664</v>
      </c>
    </row>
    <row r="261" spans="1:45" x14ac:dyDescent="0.15">
      <c r="A261" s="18">
        <v>260</v>
      </c>
      <c r="B261" s="18" t="s">
        <v>514</v>
      </c>
      <c r="C261" s="18">
        <f t="shared" si="44"/>
        <v>211</v>
      </c>
      <c r="D261" s="19">
        <f t="shared" si="45"/>
        <v>2</v>
      </c>
      <c r="E261" s="19">
        <f>VLOOKUP(MOD(A261,4),各职业基础配置!C$32:D$35,2,FALSE)</f>
        <v>1</v>
      </c>
      <c r="F261" s="19">
        <f>IF(A261&lt;900,INDEX(各职业基础配置!C$23:C$28,MOD(ROW(A261),4)+1),0)</f>
        <v>13</v>
      </c>
      <c r="G261" s="19">
        <f t="shared" si="46"/>
        <v>90</v>
      </c>
      <c r="H261" s="27">
        <f t="shared" si="47"/>
        <v>2</v>
      </c>
      <c r="I261" s="6" t="s">
        <v>164</v>
      </c>
      <c r="J261" s="23" t="str">
        <f>VLOOKUP(E261,各职业基础配置!$B$9:$C$12,2,FALSE)</f>
        <v>101|102|103|4201|105</v>
      </c>
      <c r="K261" s="18" t="str">
        <f>VLOOKUP(E261,各职业基础配置!$B$15:$C$18,2,FALSE)</f>
        <v>24|25|26|27</v>
      </c>
      <c r="L261" s="18" t="str">
        <f>VLOOKUP(E261,各职业基础配置!B:C,2,FALSE)</f>
        <v>[{24,1,1},{25,1,1},{26,1,1},{27,1,1},{1,1,1},{2,1,1},{3,1,1}]</v>
      </c>
      <c r="M261" s="18">
        <v>0</v>
      </c>
      <c r="N261" s="18">
        <f t="shared" si="48"/>
        <v>3</v>
      </c>
      <c r="O261" s="18">
        <f>SUMPRODUCT(P261:AI261,Sheet2!$B$3:$U$3)</f>
        <v>366639</v>
      </c>
      <c r="P261" s="18">
        <f>CEILING(INDEX([1]系统模型!$VD:$VD,MATCH(C261,[1]系统模型!$A:$A,0))*POWER(C261/220,3.8)-50+(1000-A261),1)</f>
        <v>7625</v>
      </c>
      <c r="Q261" s="18">
        <f>CEILING(INDEX([1]系统模型!$VE:$VE,MATCH(C261,[1]系统模型!$A:$A,0))*POWER(C261/220,4),1)</f>
        <v>1325</v>
      </c>
      <c r="R261" s="18">
        <f>INT(INDEX([1]系统模型!$VF:$VF,MATCH(C261,[1]系统模型!$A:$A,0))*MAX(POWER(C261/180,4),0.5))</f>
        <v>77639</v>
      </c>
      <c r="S261" s="5">
        <v>1000</v>
      </c>
      <c r="T261" s="25">
        <v>0</v>
      </c>
      <c r="U261" s="25">
        <v>0</v>
      </c>
      <c r="V261" s="25">
        <v>0</v>
      </c>
      <c r="W261" s="25">
        <v>0</v>
      </c>
      <c r="X261" s="25">
        <f t="shared" si="49"/>
        <v>3881</v>
      </c>
      <c r="Y261" s="12">
        <v>0</v>
      </c>
      <c r="Z261" s="25">
        <v>100</v>
      </c>
      <c r="AA261" s="25">
        <v>150</v>
      </c>
      <c r="AB261" s="25">
        <v>0</v>
      </c>
      <c r="AC261" s="25">
        <v>0</v>
      </c>
      <c r="AD261" s="25">
        <v>0</v>
      </c>
      <c r="AE261" s="25">
        <f t="shared" si="50"/>
        <v>422</v>
      </c>
      <c r="AF261" s="25">
        <f t="shared" si="51"/>
        <v>422</v>
      </c>
      <c r="AG261" s="25">
        <v>0</v>
      </c>
      <c r="AH261" s="25">
        <f t="shared" si="52"/>
        <v>7075</v>
      </c>
      <c r="AI261" s="25">
        <f t="shared" si="53"/>
        <v>101</v>
      </c>
      <c r="AJ261" s="25">
        <v>1</v>
      </c>
      <c r="AK261" s="25">
        <v>1000</v>
      </c>
      <c r="AL261" s="25">
        <v>100</v>
      </c>
      <c r="AM261" s="26">
        <v>10</v>
      </c>
      <c r="AN261" s="26">
        <v>10</v>
      </c>
      <c r="AO261" s="22" t="s">
        <v>2211</v>
      </c>
      <c r="AP261" s="26">
        <v>0</v>
      </c>
      <c r="AQ261" s="26">
        <f t="shared" si="54"/>
        <v>740</v>
      </c>
      <c r="AR261" s="18" t="str">
        <f ca="1">CONCATENATE(OFFSET(Sheet1!$A$2,RANDBETWEEN(2,500),0,1,1),OFFSET(Sheet1!$A$2,RANDBETWEEN(2,500),RANDBETWEEN(1,5),1,1))</f>
        <v>贝内特回忆</v>
      </c>
      <c r="AS261">
        <f>SUMPRODUCT(P261:AI261,Sheet2!$B$3:$U$3)</f>
        <v>366639</v>
      </c>
    </row>
    <row r="262" spans="1:45" x14ac:dyDescent="0.15">
      <c r="A262" s="23">
        <v>261</v>
      </c>
      <c r="B262" s="18" t="s">
        <v>545</v>
      </c>
      <c r="C262" s="18">
        <f t="shared" si="44"/>
        <v>211</v>
      </c>
      <c r="D262" s="19">
        <f t="shared" si="45"/>
        <v>3</v>
      </c>
      <c r="E262" s="19">
        <f>VLOOKUP(MOD(A262,4),各职业基础配置!C$32:D$35,2,FALSE)</f>
        <v>3</v>
      </c>
      <c r="F262" s="19">
        <f>IF(A262&lt;900,INDEX(各职业基础配置!C$23:C$28,MOD(ROW(A262),4)+1),0)</f>
        <v>14</v>
      </c>
      <c r="G262" s="19">
        <f t="shared" si="46"/>
        <v>90</v>
      </c>
      <c r="H262" s="27">
        <f t="shared" si="47"/>
        <v>2</v>
      </c>
      <c r="I262" s="6" t="s">
        <v>164</v>
      </c>
      <c r="J262" s="23" t="str">
        <f>VLOOKUP(E262,各职业基础配置!$B$9:$C$12,2,FALSE)</f>
        <v>106|107|108|4201|110</v>
      </c>
      <c r="K262" s="18" t="str">
        <f>VLOOKUP(E262,各职业基础配置!$B$15:$C$18,2,FALSE)</f>
        <v>20|21|22|23</v>
      </c>
      <c r="L262" s="18" t="str">
        <f>VLOOKUP(E262,各职业基础配置!B:C,2,FALSE)</f>
        <v>[{20,1,1},{21,1,1},{22,1,1},{23,1,1},{4,1,1},{5,1,1},{6,1,1}]</v>
      </c>
      <c r="M262" s="18">
        <v>0</v>
      </c>
      <c r="N262" s="18">
        <f t="shared" si="48"/>
        <v>7</v>
      </c>
      <c r="O262" s="18">
        <f>SUMPRODUCT(P262:AI262,Sheet2!$B$3:$U$3)</f>
        <v>366614</v>
      </c>
      <c r="P262" s="18">
        <f>CEILING(INDEX([1]系统模型!$VD:$VD,MATCH(C262,[1]系统模型!$A:$A,0))*POWER(C262/220,3.8)-50+(1000-A262),1)</f>
        <v>7624</v>
      </c>
      <c r="Q262" s="18">
        <f>CEILING(INDEX([1]系统模型!$VE:$VE,MATCH(C262,[1]系统模型!$A:$A,0))*POWER(C262/220,4),1)</f>
        <v>1325</v>
      </c>
      <c r="R262" s="18">
        <f>INT(INDEX([1]系统模型!$VF:$VF,MATCH(C262,[1]系统模型!$A:$A,0))*MAX(POWER(C262/180,4),0.5))</f>
        <v>77639</v>
      </c>
      <c r="S262" s="5">
        <v>1000</v>
      </c>
      <c r="T262" s="25">
        <v>0</v>
      </c>
      <c r="U262" s="25">
        <v>0</v>
      </c>
      <c r="V262" s="25">
        <v>0</v>
      </c>
      <c r="W262" s="25">
        <v>0</v>
      </c>
      <c r="X262" s="25">
        <f t="shared" si="49"/>
        <v>3881</v>
      </c>
      <c r="Y262" s="12">
        <v>0</v>
      </c>
      <c r="Z262" s="25">
        <v>100</v>
      </c>
      <c r="AA262" s="25">
        <v>150</v>
      </c>
      <c r="AB262" s="25">
        <v>0</v>
      </c>
      <c r="AC262" s="25">
        <v>0</v>
      </c>
      <c r="AD262" s="25">
        <v>0</v>
      </c>
      <c r="AE262" s="25">
        <f t="shared" si="50"/>
        <v>422</v>
      </c>
      <c r="AF262" s="25">
        <f t="shared" si="51"/>
        <v>422</v>
      </c>
      <c r="AG262" s="25">
        <v>0</v>
      </c>
      <c r="AH262" s="25">
        <f t="shared" si="52"/>
        <v>7075</v>
      </c>
      <c r="AI262" s="25">
        <f t="shared" si="53"/>
        <v>101</v>
      </c>
      <c r="AJ262" s="25">
        <v>1</v>
      </c>
      <c r="AK262" s="25">
        <v>1000</v>
      </c>
      <c r="AL262" s="25">
        <v>100</v>
      </c>
      <c r="AM262" s="26">
        <v>10</v>
      </c>
      <c r="AN262" s="26">
        <v>10</v>
      </c>
      <c r="AO262" s="22" t="s">
        <v>2211</v>
      </c>
      <c r="AP262" s="26">
        <v>0</v>
      </c>
      <c r="AQ262" s="26">
        <f t="shared" si="54"/>
        <v>740</v>
      </c>
      <c r="AR262" s="18" t="str">
        <f ca="1">CONCATENATE(OFFSET(Sheet1!$A$2,RANDBETWEEN(2,500),0,1,1),OFFSET(Sheet1!$A$2,RANDBETWEEN(2,500),RANDBETWEEN(1,5),1,1))</f>
        <v>巴克耳贝芙</v>
      </c>
      <c r="AS262">
        <f>SUMPRODUCT(P262:AI262,Sheet2!$B$3:$U$3)</f>
        <v>366614</v>
      </c>
    </row>
    <row r="263" spans="1:45" x14ac:dyDescent="0.15">
      <c r="A263" s="18">
        <v>262</v>
      </c>
      <c r="B263" s="18" t="s">
        <v>1937</v>
      </c>
      <c r="C263" s="18">
        <f t="shared" si="44"/>
        <v>211</v>
      </c>
      <c r="D263" s="19">
        <f t="shared" si="45"/>
        <v>2</v>
      </c>
      <c r="E263" s="19">
        <f>VLOOKUP(MOD(A263,4),各职业基础配置!C$32:D$35,2,FALSE)</f>
        <v>6</v>
      </c>
      <c r="F263" s="19">
        <f>IF(A263&lt;900,INDEX(各职业基础配置!C$23:C$28,MOD(ROW(A263),4)+1),0)</f>
        <v>16</v>
      </c>
      <c r="G263" s="19">
        <f t="shared" si="46"/>
        <v>90</v>
      </c>
      <c r="H263" s="27">
        <f t="shared" si="47"/>
        <v>2</v>
      </c>
      <c r="I263" s="6" t="s">
        <v>164</v>
      </c>
      <c r="J263" s="23" t="str">
        <f>VLOOKUP(E263,各职业基础配置!$B$9:$C$12,2,FALSE)</f>
        <v>111|112|113|4201|115</v>
      </c>
      <c r="K263" s="18" t="str">
        <f>VLOOKUP(E263,各职业基础配置!$B$15:$C$18,2,FALSE)</f>
        <v>32|33|34</v>
      </c>
      <c r="L263" s="18" t="str">
        <f>VLOOKUP(E263,各职业基础配置!B:C,2,FALSE)</f>
        <v>[{32,1,1},{33,1,1},{34,1,1},{35,1,1},{7,1,1},{8,1,1},{9,1,1}]</v>
      </c>
      <c r="M263" s="18">
        <v>0</v>
      </c>
      <c r="N263" s="18">
        <f t="shared" si="48"/>
        <v>7</v>
      </c>
      <c r="O263" s="18">
        <f>SUMPRODUCT(P263:AI263,Sheet2!$B$3:$U$3)</f>
        <v>366589</v>
      </c>
      <c r="P263" s="18">
        <f>CEILING(INDEX([1]系统模型!$VD:$VD,MATCH(C263,[1]系统模型!$A:$A,0))*POWER(C263/220,3.8)-50+(1000-A263),1)</f>
        <v>7623</v>
      </c>
      <c r="Q263" s="18">
        <f>CEILING(INDEX([1]系统模型!$VE:$VE,MATCH(C263,[1]系统模型!$A:$A,0))*POWER(C263/220,4),1)</f>
        <v>1325</v>
      </c>
      <c r="R263" s="18">
        <f>INT(INDEX([1]系统模型!$VF:$VF,MATCH(C263,[1]系统模型!$A:$A,0))*MAX(POWER(C263/180,4),0.5))</f>
        <v>77639</v>
      </c>
      <c r="S263" s="5">
        <v>1000</v>
      </c>
      <c r="T263" s="25">
        <v>0</v>
      </c>
      <c r="U263" s="25">
        <v>0</v>
      </c>
      <c r="V263" s="25">
        <v>0</v>
      </c>
      <c r="W263" s="25">
        <v>0</v>
      </c>
      <c r="X263" s="25">
        <f t="shared" si="49"/>
        <v>3881</v>
      </c>
      <c r="Y263" s="12">
        <v>0</v>
      </c>
      <c r="Z263" s="25">
        <v>100</v>
      </c>
      <c r="AA263" s="25">
        <v>150</v>
      </c>
      <c r="AB263" s="25">
        <v>0</v>
      </c>
      <c r="AC263" s="25">
        <v>0</v>
      </c>
      <c r="AD263" s="25">
        <v>0</v>
      </c>
      <c r="AE263" s="25">
        <f t="shared" si="50"/>
        <v>422</v>
      </c>
      <c r="AF263" s="25">
        <f t="shared" si="51"/>
        <v>422</v>
      </c>
      <c r="AG263" s="25">
        <v>0</v>
      </c>
      <c r="AH263" s="25">
        <f t="shared" si="52"/>
        <v>7075</v>
      </c>
      <c r="AI263" s="25">
        <f t="shared" si="53"/>
        <v>101</v>
      </c>
      <c r="AJ263" s="25">
        <v>1</v>
      </c>
      <c r="AK263" s="25">
        <v>1000</v>
      </c>
      <c r="AL263" s="25">
        <v>100</v>
      </c>
      <c r="AM263" s="26">
        <v>10</v>
      </c>
      <c r="AN263" s="26">
        <v>10</v>
      </c>
      <c r="AO263" s="22" t="s">
        <v>2211</v>
      </c>
      <c r="AP263" s="26">
        <v>0</v>
      </c>
      <c r="AQ263" s="26">
        <f t="shared" si="54"/>
        <v>740</v>
      </c>
      <c r="AR263" s="18" t="str">
        <f ca="1">CONCATENATE(OFFSET(Sheet1!$A$2,RANDBETWEEN(2,500),0,1,1),OFFSET(Sheet1!$A$2,RANDBETWEEN(2,500),RANDBETWEEN(1,5),1,1))</f>
        <v>科尔里奇珀莉</v>
      </c>
      <c r="AS263">
        <f>SUMPRODUCT(P263:AI263,Sheet2!$B$3:$U$3)</f>
        <v>366589</v>
      </c>
    </row>
    <row r="264" spans="1:45" x14ac:dyDescent="0.15">
      <c r="A264" s="18">
        <v>263</v>
      </c>
      <c r="B264" s="18" t="s">
        <v>427</v>
      </c>
      <c r="C264" s="18">
        <f t="shared" si="44"/>
        <v>211</v>
      </c>
      <c r="D264" s="19">
        <f t="shared" si="45"/>
        <v>3</v>
      </c>
      <c r="E264" s="19">
        <f>VLOOKUP(MOD(A264,4),各职业基础配置!C$32:D$35,2,FALSE)</f>
        <v>9</v>
      </c>
      <c r="F264" s="19">
        <f>IF(A264&lt;900,INDEX(各职业基础配置!C$23:C$28,MOD(ROW(A264),4)+1),0)</f>
        <v>8</v>
      </c>
      <c r="G264" s="19">
        <f t="shared" si="46"/>
        <v>90</v>
      </c>
      <c r="H264" s="27">
        <f t="shared" si="47"/>
        <v>2</v>
      </c>
      <c r="I264" s="6" t="s">
        <v>164</v>
      </c>
      <c r="J264" s="23" t="str">
        <f>VLOOKUP(E264,各职业基础配置!$B$9:$C$12,2,FALSE)</f>
        <v>116|117|118|4201|120</v>
      </c>
      <c r="K264" s="18" t="str">
        <f>VLOOKUP(E264,各职业基础配置!$B$15:$C$18,2,FALSE)</f>
        <v>28|29|30|31</v>
      </c>
      <c r="L264" s="18" t="str">
        <f>VLOOKUP(E264,各职业基础配置!B:C,2,FALSE)</f>
        <v>[{28,1,1},{29,1,1},{30,1,1},{31,1,1},{10,1,1},{11,1,1},{12,1,1}]</v>
      </c>
      <c r="M264" s="18">
        <v>0</v>
      </c>
      <c r="N264" s="18">
        <f t="shared" si="48"/>
        <v>3</v>
      </c>
      <c r="O264" s="18">
        <f>SUMPRODUCT(P264:AI264,Sheet2!$B$3:$U$3)</f>
        <v>366564</v>
      </c>
      <c r="P264" s="18">
        <f>CEILING(INDEX([1]系统模型!$VD:$VD,MATCH(C264,[1]系统模型!$A:$A,0))*POWER(C264/220,3.8)-50+(1000-A264),1)</f>
        <v>7622</v>
      </c>
      <c r="Q264" s="18">
        <f>CEILING(INDEX([1]系统模型!$VE:$VE,MATCH(C264,[1]系统模型!$A:$A,0))*POWER(C264/220,4),1)</f>
        <v>1325</v>
      </c>
      <c r="R264" s="18">
        <f>INT(INDEX([1]系统模型!$VF:$VF,MATCH(C264,[1]系统模型!$A:$A,0))*MAX(POWER(C264/180,4),0.5))</f>
        <v>77639</v>
      </c>
      <c r="S264" s="5">
        <v>1000</v>
      </c>
      <c r="T264" s="25">
        <v>0</v>
      </c>
      <c r="U264" s="25">
        <v>0</v>
      </c>
      <c r="V264" s="25">
        <v>0</v>
      </c>
      <c r="W264" s="25">
        <v>0</v>
      </c>
      <c r="X264" s="25">
        <f t="shared" si="49"/>
        <v>3881</v>
      </c>
      <c r="Y264" s="12">
        <v>0</v>
      </c>
      <c r="Z264" s="25">
        <v>100</v>
      </c>
      <c r="AA264" s="25">
        <v>150</v>
      </c>
      <c r="AB264" s="25">
        <v>0</v>
      </c>
      <c r="AC264" s="25">
        <v>0</v>
      </c>
      <c r="AD264" s="25">
        <v>0</v>
      </c>
      <c r="AE264" s="25">
        <f t="shared" si="50"/>
        <v>422</v>
      </c>
      <c r="AF264" s="25">
        <f t="shared" si="51"/>
        <v>422</v>
      </c>
      <c r="AG264" s="25">
        <v>0</v>
      </c>
      <c r="AH264" s="25">
        <f t="shared" si="52"/>
        <v>7075</v>
      </c>
      <c r="AI264" s="25">
        <f t="shared" si="53"/>
        <v>101</v>
      </c>
      <c r="AJ264" s="25">
        <v>1</v>
      </c>
      <c r="AK264" s="25">
        <v>1000</v>
      </c>
      <c r="AL264" s="25">
        <v>100</v>
      </c>
      <c r="AM264" s="26">
        <v>10</v>
      </c>
      <c r="AN264" s="26">
        <v>10</v>
      </c>
      <c r="AO264" s="22" t="s">
        <v>2211</v>
      </c>
      <c r="AP264" s="26">
        <v>0</v>
      </c>
      <c r="AQ264" s="26">
        <f t="shared" si="54"/>
        <v>740</v>
      </c>
      <c r="AR264" s="18" t="str">
        <f ca="1">CONCATENATE(OFFSET(Sheet1!$A$2,RANDBETWEEN(2,500),0,1,1),OFFSET(Sheet1!$A$2,RANDBETWEEN(2,500),RANDBETWEEN(1,5),1,1))</f>
        <v>哈林顿</v>
      </c>
      <c r="AS264">
        <f>SUMPRODUCT(P264:AI264,Sheet2!$B$3:$U$3)</f>
        <v>366564</v>
      </c>
    </row>
    <row r="265" spans="1:45" x14ac:dyDescent="0.15">
      <c r="A265" s="23">
        <v>264</v>
      </c>
      <c r="B265" s="18" t="s">
        <v>417</v>
      </c>
      <c r="C265" s="18">
        <f t="shared" si="44"/>
        <v>210</v>
      </c>
      <c r="D265" s="19">
        <f t="shared" si="45"/>
        <v>2</v>
      </c>
      <c r="E265" s="19">
        <f>VLOOKUP(MOD(A265,4),各职业基础配置!C$32:D$35,2,FALSE)</f>
        <v>1</v>
      </c>
      <c r="F265" s="19">
        <f>IF(A265&lt;900,INDEX(各职业基础配置!C$23:C$28,MOD(ROW(A265),4)+1),0)</f>
        <v>13</v>
      </c>
      <c r="G265" s="19">
        <f t="shared" si="46"/>
        <v>87</v>
      </c>
      <c r="H265" s="27">
        <f t="shared" si="47"/>
        <v>2</v>
      </c>
      <c r="I265" s="6" t="s">
        <v>164</v>
      </c>
      <c r="J265" s="23" t="str">
        <f>VLOOKUP(E265,各职业基础配置!$B$9:$C$12,2,FALSE)</f>
        <v>101|102|103|4201|105</v>
      </c>
      <c r="K265" s="18" t="str">
        <f>VLOOKUP(E265,各职业基础配置!$B$15:$C$18,2,FALSE)</f>
        <v>24|25|26|27</v>
      </c>
      <c r="L265" s="18" t="str">
        <f>VLOOKUP(E265,各职业基础配置!B:C,2,FALSE)</f>
        <v>[{24,1,1},{25,1,1},{26,1,1},{27,1,1},{1,1,1},{2,1,1},{3,1,1}]</v>
      </c>
      <c r="M265" s="18">
        <v>0</v>
      </c>
      <c r="N265" s="18">
        <f t="shared" si="48"/>
        <v>3</v>
      </c>
      <c r="O265" s="18">
        <f>SUMPRODUCT(P265:AI265,Sheet2!$B$3:$U$3)</f>
        <v>358362</v>
      </c>
      <c r="P265" s="18">
        <f>CEILING(INDEX([1]系统模型!$VD:$VD,MATCH(C265,[1]系统模型!$A:$A,0))*POWER(C265/220,3.8)-50+(1000-A265),1)</f>
        <v>7455</v>
      </c>
      <c r="Q265" s="18">
        <f>CEILING(INDEX([1]系统模型!$VE:$VE,MATCH(C265,[1]系统模型!$A:$A,0))*POWER(C265/220,4),1)</f>
        <v>1284</v>
      </c>
      <c r="R265" s="18">
        <f>INT(INDEX([1]系统模型!$VF:$VF,MATCH(C265,[1]系统模型!$A:$A,0))*MAX(POWER(C265/180,4),0.5))</f>
        <v>75162</v>
      </c>
      <c r="S265" s="5">
        <v>1000</v>
      </c>
      <c r="T265" s="25">
        <v>0</v>
      </c>
      <c r="U265" s="25">
        <v>0</v>
      </c>
      <c r="V265" s="25">
        <v>0</v>
      </c>
      <c r="W265" s="25">
        <v>0</v>
      </c>
      <c r="X265" s="25">
        <f t="shared" si="49"/>
        <v>3758</v>
      </c>
      <c r="Y265" s="12">
        <v>0</v>
      </c>
      <c r="Z265" s="25">
        <v>100</v>
      </c>
      <c r="AA265" s="25">
        <v>150</v>
      </c>
      <c r="AB265" s="25">
        <v>0</v>
      </c>
      <c r="AC265" s="25">
        <v>0</v>
      </c>
      <c r="AD265" s="25">
        <v>0</v>
      </c>
      <c r="AE265" s="25">
        <f t="shared" si="50"/>
        <v>420</v>
      </c>
      <c r="AF265" s="25">
        <f t="shared" si="51"/>
        <v>420</v>
      </c>
      <c r="AG265" s="25">
        <v>0</v>
      </c>
      <c r="AH265" s="25">
        <f t="shared" si="52"/>
        <v>7000</v>
      </c>
      <c r="AI265" s="25">
        <f t="shared" si="53"/>
        <v>99</v>
      </c>
      <c r="AJ265" s="25">
        <v>1</v>
      </c>
      <c r="AK265" s="25">
        <v>1000</v>
      </c>
      <c r="AL265" s="25">
        <v>100</v>
      </c>
      <c r="AM265" s="26">
        <v>10</v>
      </c>
      <c r="AN265" s="26">
        <v>10</v>
      </c>
      <c r="AO265" s="22" t="s">
        <v>2211</v>
      </c>
      <c r="AP265" s="26">
        <v>0</v>
      </c>
      <c r="AQ265" s="26">
        <f t="shared" si="54"/>
        <v>740</v>
      </c>
      <c r="AR265" s="18" t="str">
        <f ca="1">CONCATENATE(OFFSET(Sheet1!$A$2,RANDBETWEEN(2,500),0,1,1),OFFSET(Sheet1!$A$2,RANDBETWEEN(2,500),RANDBETWEEN(1,5),1,1))</f>
        <v>卡内基</v>
      </c>
      <c r="AS265">
        <f>SUMPRODUCT(P265:AI265,Sheet2!$B$3:$U$3)</f>
        <v>358362</v>
      </c>
    </row>
    <row r="266" spans="1:45" x14ac:dyDescent="0.15">
      <c r="A266" s="18">
        <v>265</v>
      </c>
      <c r="B266" s="18" t="s">
        <v>455</v>
      </c>
      <c r="C266" s="18">
        <f t="shared" si="44"/>
        <v>210</v>
      </c>
      <c r="D266" s="19">
        <f t="shared" si="45"/>
        <v>3</v>
      </c>
      <c r="E266" s="19">
        <f>VLOOKUP(MOD(A266,4),各职业基础配置!C$32:D$35,2,FALSE)</f>
        <v>3</v>
      </c>
      <c r="F266" s="19">
        <f>IF(A266&lt;900,INDEX(各职业基础配置!C$23:C$28,MOD(ROW(A266),4)+1),0)</f>
        <v>14</v>
      </c>
      <c r="G266" s="19">
        <f t="shared" si="46"/>
        <v>87</v>
      </c>
      <c r="H266" s="27">
        <f t="shared" si="47"/>
        <v>2</v>
      </c>
      <c r="I266" s="6" t="s">
        <v>164</v>
      </c>
      <c r="J266" s="23" t="str">
        <f>VLOOKUP(E266,各职业基础配置!$B$9:$C$12,2,FALSE)</f>
        <v>106|107|108|4201|110</v>
      </c>
      <c r="K266" s="18" t="str">
        <f>VLOOKUP(E266,各职业基础配置!$B$15:$C$18,2,FALSE)</f>
        <v>20|21|22|23</v>
      </c>
      <c r="L266" s="18" t="str">
        <f>VLOOKUP(E266,各职业基础配置!B:C,2,FALSE)</f>
        <v>[{20,1,1},{21,1,1},{22,1,1},{23,1,1},{4,1,1},{5,1,1},{6,1,1}]</v>
      </c>
      <c r="M266" s="18">
        <v>0</v>
      </c>
      <c r="N266" s="18">
        <f t="shared" si="48"/>
        <v>7</v>
      </c>
      <c r="O266" s="18">
        <f>SUMPRODUCT(P266:AI266,Sheet2!$B$3:$U$3)</f>
        <v>358337</v>
      </c>
      <c r="P266" s="18">
        <f>CEILING(INDEX([1]系统模型!$VD:$VD,MATCH(C266,[1]系统模型!$A:$A,0))*POWER(C266/220,3.8)-50+(1000-A266),1)</f>
        <v>7454</v>
      </c>
      <c r="Q266" s="18">
        <f>CEILING(INDEX([1]系统模型!$VE:$VE,MATCH(C266,[1]系统模型!$A:$A,0))*POWER(C266/220,4),1)</f>
        <v>1284</v>
      </c>
      <c r="R266" s="18">
        <f>INT(INDEX([1]系统模型!$VF:$VF,MATCH(C266,[1]系统模型!$A:$A,0))*MAX(POWER(C266/180,4),0.5))</f>
        <v>75162</v>
      </c>
      <c r="S266" s="5">
        <v>1000</v>
      </c>
      <c r="T266" s="25">
        <v>0</v>
      </c>
      <c r="U266" s="25">
        <v>0</v>
      </c>
      <c r="V266" s="25">
        <v>0</v>
      </c>
      <c r="W266" s="25">
        <v>0</v>
      </c>
      <c r="X266" s="25">
        <f t="shared" si="49"/>
        <v>3758</v>
      </c>
      <c r="Y266" s="12">
        <v>0</v>
      </c>
      <c r="Z266" s="25">
        <v>100</v>
      </c>
      <c r="AA266" s="25">
        <v>150</v>
      </c>
      <c r="AB266" s="25">
        <v>0</v>
      </c>
      <c r="AC266" s="25">
        <v>0</v>
      </c>
      <c r="AD266" s="25">
        <v>0</v>
      </c>
      <c r="AE266" s="25">
        <f t="shared" si="50"/>
        <v>420</v>
      </c>
      <c r="AF266" s="25">
        <f t="shared" si="51"/>
        <v>420</v>
      </c>
      <c r="AG266" s="25">
        <v>0</v>
      </c>
      <c r="AH266" s="25">
        <f t="shared" si="52"/>
        <v>7000</v>
      </c>
      <c r="AI266" s="25">
        <f t="shared" si="53"/>
        <v>99</v>
      </c>
      <c r="AJ266" s="25">
        <v>1</v>
      </c>
      <c r="AK266" s="25">
        <v>1000</v>
      </c>
      <c r="AL266" s="25">
        <v>100</v>
      </c>
      <c r="AM266" s="26">
        <v>10</v>
      </c>
      <c r="AN266" s="26">
        <v>10</v>
      </c>
      <c r="AO266" s="22" t="s">
        <v>2211</v>
      </c>
      <c r="AP266" s="26">
        <v>0</v>
      </c>
      <c r="AQ266" s="26">
        <f t="shared" si="54"/>
        <v>730</v>
      </c>
      <c r="AR266" s="18" t="str">
        <f ca="1">CONCATENATE(OFFSET(Sheet1!$A$2,RANDBETWEEN(2,500),0,1,1),OFFSET(Sheet1!$A$2,RANDBETWEEN(2,500),RANDBETWEEN(1,5),1,1))</f>
        <v>冈特</v>
      </c>
      <c r="AS266">
        <f>SUMPRODUCT(P266:AI266,Sheet2!$B$3:$U$3)</f>
        <v>358337</v>
      </c>
    </row>
    <row r="267" spans="1:45" x14ac:dyDescent="0.15">
      <c r="A267" s="18">
        <v>266</v>
      </c>
      <c r="B267" s="18" t="s">
        <v>1114</v>
      </c>
      <c r="C267" s="18">
        <f t="shared" si="44"/>
        <v>210</v>
      </c>
      <c r="D267" s="19">
        <f t="shared" si="45"/>
        <v>2</v>
      </c>
      <c r="E267" s="19">
        <f>VLOOKUP(MOD(A267,4),各职业基础配置!C$32:D$35,2,FALSE)</f>
        <v>6</v>
      </c>
      <c r="F267" s="19">
        <f>IF(A267&lt;900,INDEX(各职业基础配置!C$23:C$28,MOD(ROW(A267),4)+1),0)</f>
        <v>16</v>
      </c>
      <c r="G267" s="19">
        <f t="shared" si="46"/>
        <v>87</v>
      </c>
      <c r="H267" s="27">
        <f t="shared" si="47"/>
        <v>2</v>
      </c>
      <c r="I267" s="6" t="s">
        <v>164</v>
      </c>
      <c r="J267" s="23" t="str">
        <f>VLOOKUP(E267,各职业基础配置!$B$9:$C$12,2,FALSE)</f>
        <v>111|112|113|4201|115</v>
      </c>
      <c r="K267" s="18" t="str">
        <f>VLOOKUP(E267,各职业基础配置!$B$15:$C$18,2,FALSE)</f>
        <v>32|33|34</v>
      </c>
      <c r="L267" s="18" t="str">
        <f>VLOOKUP(E267,各职业基础配置!B:C,2,FALSE)</f>
        <v>[{32,1,1},{33,1,1},{34,1,1},{35,1,1},{7,1,1},{8,1,1},{9,1,1}]</v>
      </c>
      <c r="M267" s="18">
        <v>0</v>
      </c>
      <c r="N267" s="18">
        <f t="shared" si="48"/>
        <v>7</v>
      </c>
      <c r="O267" s="18">
        <f>SUMPRODUCT(P267:AI267,Sheet2!$B$3:$U$3)</f>
        <v>358312</v>
      </c>
      <c r="P267" s="18">
        <f>CEILING(INDEX([1]系统模型!$VD:$VD,MATCH(C267,[1]系统模型!$A:$A,0))*POWER(C267/220,3.8)-50+(1000-A267),1)</f>
        <v>7453</v>
      </c>
      <c r="Q267" s="18">
        <f>CEILING(INDEX([1]系统模型!$VE:$VE,MATCH(C267,[1]系统模型!$A:$A,0))*POWER(C267/220,4),1)</f>
        <v>1284</v>
      </c>
      <c r="R267" s="18">
        <f>INT(INDEX([1]系统模型!$VF:$VF,MATCH(C267,[1]系统模型!$A:$A,0))*MAX(POWER(C267/180,4),0.5))</f>
        <v>75162</v>
      </c>
      <c r="S267" s="5">
        <v>1000</v>
      </c>
      <c r="T267" s="25">
        <v>0</v>
      </c>
      <c r="U267" s="25">
        <v>0</v>
      </c>
      <c r="V267" s="25">
        <v>0</v>
      </c>
      <c r="W267" s="25">
        <v>0</v>
      </c>
      <c r="X267" s="25">
        <f t="shared" si="49"/>
        <v>3758</v>
      </c>
      <c r="Y267" s="12">
        <v>0</v>
      </c>
      <c r="Z267" s="25">
        <v>100</v>
      </c>
      <c r="AA267" s="25">
        <v>150</v>
      </c>
      <c r="AB267" s="25">
        <v>0</v>
      </c>
      <c r="AC267" s="25">
        <v>0</v>
      </c>
      <c r="AD267" s="25">
        <v>0</v>
      </c>
      <c r="AE267" s="25">
        <f t="shared" si="50"/>
        <v>420</v>
      </c>
      <c r="AF267" s="25">
        <f t="shared" si="51"/>
        <v>420</v>
      </c>
      <c r="AG267" s="25">
        <v>0</v>
      </c>
      <c r="AH267" s="25">
        <f t="shared" si="52"/>
        <v>7000</v>
      </c>
      <c r="AI267" s="25">
        <f t="shared" si="53"/>
        <v>99</v>
      </c>
      <c r="AJ267" s="25">
        <v>1</v>
      </c>
      <c r="AK267" s="25">
        <v>1000</v>
      </c>
      <c r="AL267" s="25">
        <v>100</v>
      </c>
      <c r="AM267" s="26">
        <v>10</v>
      </c>
      <c r="AN267" s="26">
        <v>10</v>
      </c>
      <c r="AO267" s="22" t="s">
        <v>2211</v>
      </c>
      <c r="AP267" s="26">
        <v>0</v>
      </c>
      <c r="AQ267" s="26">
        <f t="shared" si="54"/>
        <v>730</v>
      </c>
      <c r="AR267" s="18" t="str">
        <f ca="1">CONCATENATE(OFFSET(Sheet1!$A$2,RANDBETWEEN(2,500),0,1,1),OFFSET(Sheet1!$A$2,RANDBETWEEN(2,500),RANDBETWEEN(1,5),1,1))</f>
        <v>法兰西斯</v>
      </c>
      <c r="AS267">
        <f>SUMPRODUCT(P267:AI267,Sheet2!$B$3:$U$3)</f>
        <v>358312</v>
      </c>
    </row>
    <row r="268" spans="1:45" x14ac:dyDescent="0.15">
      <c r="A268" s="23">
        <v>267</v>
      </c>
      <c r="B268" s="18" t="s">
        <v>1261</v>
      </c>
      <c r="C268" s="18">
        <f t="shared" si="44"/>
        <v>210</v>
      </c>
      <c r="D268" s="19">
        <f t="shared" si="45"/>
        <v>3</v>
      </c>
      <c r="E268" s="19">
        <f>VLOOKUP(MOD(A268,4),各职业基础配置!C$32:D$35,2,FALSE)</f>
        <v>9</v>
      </c>
      <c r="F268" s="19">
        <f>IF(A268&lt;900,INDEX(各职业基础配置!C$23:C$28,MOD(ROW(A268),4)+1),0)</f>
        <v>8</v>
      </c>
      <c r="G268" s="19">
        <f t="shared" si="46"/>
        <v>87</v>
      </c>
      <c r="H268" s="27">
        <f t="shared" si="47"/>
        <v>2</v>
      </c>
      <c r="I268" s="6" t="s">
        <v>164</v>
      </c>
      <c r="J268" s="23" t="str">
        <f>VLOOKUP(E268,各职业基础配置!$B$9:$C$12,2,FALSE)</f>
        <v>116|117|118|4201|120</v>
      </c>
      <c r="K268" s="18" t="str">
        <f>VLOOKUP(E268,各职业基础配置!$B$15:$C$18,2,FALSE)</f>
        <v>28|29|30|31</v>
      </c>
      <c r="L268" s="18" t="str">
        <f>VLOOKUP(E268,各职业基础配置!B:C,2,FALSE)</f>
        <v>[{28,1,1},{29,1,1},{30,1,1},{31,1,1},{10,1,1},{11,1,1},{12,1,1}]</v>
      </c>
      <c r="M268" s="18">
        <v>0</v>
      </c>
      <c r="N268" s="18">
        <f t="shared" si="48"/>
        <v>3</v>
      </c>
      <c r="O268" s="18">
        <f>SUMPRODUCT(P268:AI268,Sheet2!$B$3:$U$3)</f>
        <v>358287</v>
      </c>
      <c r="P268" s="18">
        <f>CEILING(INDEX([1]系统模型!$VD:$VD,MATCH(C268,[1]系统模型!$A:$A,0))*POWER(C268/220,3.8)-50+(1000-A268),1)</f>
        <v>7452</v>
      </c>
      <c r="Q268" s="18">
        <f>CEILING(INDEX([1]系统模型!$VE:$VE,MATCH(C268,[1]系统模型!$A:$A,0))*POWER(C268/220,4),1)</f>
        <v>1284</v>
      </c>
      <c r="R268" s="18">
        <f>INT(INDEX([1]系统模型!$VF:$VF,MATCH(C268,[1]系统模型!$A:$A,0))*MAX(POWER(C268/180,4),0.5))</f>
        <v>75162</v>
      </c>
      <c r="S268" s="5">
        <v>1000</v>
      </c>
      <c r="T268" s="25">
        <v>0</v>
      </c>
      <c r="U268" s="25">
        <v>0</v>
      </c>
      <c r="V268" s="25">
        <v>0</v>
      </c>
      <c r="W268" s="25">
        <v>0</v>
      </c>
      <c r="X268" s="25">
        <f t="shared" si="49"/>
        <v>3758</v>
      </c>
      <c r="Y268" s="12">
        <v>0</v>
      </c>
      <c r="Z268" s="25">
        <v>100</v>
      </c>
      <c r="AA268" s="25">
        <v>150</v>
      </c>
      <c r="AB268" s="25">
        <v>0</v>
      </c>
      <c r="AC268" s="25">
        <v>0</v>
      </c>
      <c r="AD268" s="25">
        <v>0</v>
      </c>
      <c r="AE268" s="25">
        <f t="shared" si="50"/>
        <v>420</v>
      </c>
      <c r="AF268" s="25">
        <f t="shared" si="51"/>
        <v>420</v>
      </c>
      <c r="AG268" s="25">
        <v>0</v>
      </c>
      <c r="AH268" s="25">
        <f t="shared" si="52"/>
        <v>7000</v>
      </c>
      <c r="AI268" s="25">
        <f t="shared" si="53"/>
        <v>99</v>
      </c>
      <c r="AJ268" s="25">
        <v>1</v>
      </c>
      <c r="AK268" s="25">
        <v>1000</v>
      </c>
      <c r="AL268" s="25">
        <v>100</v>
      </c>
      <c r="AM268" s="26">
        <v>10</v>
      </c>
      <c r="AN268" s="26">
        <v>10</v>
      </c>
      <c r="AO268" s="22" t="s">
        <v>2211</v>
      </c>
      <c r="AP268" s="26">
        <v>0</v>
      </c>
      <c r="AQ268" s="26">
        <f t="shared" si="54"/>
        <v>730</v>
      </c>
      <c r="AR268" s="18" t="str">
        <f ca="1">CONCATENATE(OFFSET(Sheet1!$A$2,RANDBETWEEN(2,500),0,1,1),OFFSET(Sheet1!$A$2,RANDBETWEEN(2,500),RANDBETWEEN(1,5),1,1))</f>
        <v>伯纳尔</v>
      </c>
      <c r="AS268">
        <f>SUMPRODUCT(P268:AI268,Sheet2!$B$3:$U$3)</f>
        <v>358287</v>
      </c>
    </row>
    <row r="269" spans="1:45" x14ac:dyDescent="0.15">
      <c r="A269" s="18">
        <v>268</v>
      </c>
      <c r="B269" s="18" t="s">
        <v>557</v>
      </c>
      <c r="C269" s="18">
        <f t="shared" si="44"/>
        <v>210</v>
      </c>
      <c r="D269" s="19">
        <f t="shared" si="45"/>
        <v>2</v>
      </c>
      <c r="E269" s="19">
        <f>VLOOKUP(MOD(A269,4),各职业基础配置!C$32:D$35,2,FALSE)</f>
        <v>1</v>
      </c>
      <c r="F269" s="19">
        <f>IF(A269&lt;900,INDEX(各职业基础配置!C$23:C$28,MOD(ROW(A269),4)+1),0)</f>
        <v>13</v>
      </c>
      <c r="G269" s="19">
        <f t="shared" si="46"/>
        <v>87</v>
      </c>
      <c r="H269" s="27">
        <f t="shared" si="47"/>
        <v>2</v>
      </c>
      <c r="I269" s="6" t="s">
        <v>164</v>
      </c>
      <c r="J269" s="23" t="str">
        <f>VLOOKUP(E269,各职业基础配置!$B$9:$C$12,2,FALSE)</f>
        <v>101|102|103|4201|105</v>
      </c>
      <c r="K269" s="18" t="str">
        <f>VLOOKUP(E269,各职业基础配置!$B$15:$C$18,2,FALSE)</f>
        <v>24|25|26|27</v>
      </c>
      <c r="L269" s="18" t="str">
        <f>VLOOKUP(E269,各职业基础配置!B:C,2,FALSE)</f>
        <v>[{24,1,1},{25,1,1},{26,1,1},{27,1,1},{1,1,1},{2,1,1},{3,1,1}]</v>
      </c>
      <c r="M269" s="18">
        <v>0</v>
      </c>
      <c r="N269" s="18">
        <f t="shared" si="48"/>
        <v>3</v>
      </c>
      <c r="O269" s="18">
        <f>SUMPRODUCT(P269:AI269,Sheet2!$B$3:$U$3)</f>
        <v>358262</v>
      </c>
      <c r="P269" s="18">
        <f>CEILING(INDEX([1]系统模型!$VD:$VD,MATCH(C269,[1]系统模型!$A:$A,0))*POWER(C269/220,3.8)-50+(1000-A269),1)</f>
        <v>7451</v>
      </c>
      <c r="Q269" s="18">
        <f>CEILING(INDEX([1]系统模型!$VE:$VE,MATCH(C269,[1]系统模型!$A:$A,0))*POWER(C269/220,4),1)</f>
        <v>1284</v>
      </c>
      <c r="R269" s="18">
        <f>INT(INDEX([1]系统模型!$VF:$VF,MATCH(C269,[1]系统模型!$A:$A,0))*MAX(POWER(C269/180,4),0.5))</f>
        <v>75162</v>
      </c>
      <c r="S269" s="5">
        <v>1000</v>
      </c>
      <c r="T269" s="25">
        <v>0</v>
      </c>
      <c r="U269" s="25">
        <v>0</v>
      </c>
      <c r="V269" s="25">
        <v>0</v>
      </c>
      <c r="W269" s="25">
        <v>0</v>
      </c>
      <c r="X269" s="25">
        <f t="shared" si="49"/>
        <v>3758</v>
      </c>
      <c r="Y269" s="12">
        <v>0</v>
      </c>
      <c r="Z269" s="25">
        <v>100</v>
      </c>
      <c r="AA269" s="25">
        <v>150</v>
      </c>
      <c r="AB269" s="25">
        <v>0</v>
      </c>
      <c r="AC269" s="25">
        <v>0</v>
      </c>
      <c r="AD269" s="25">
        <v>0</v>
      </c>
      <c r="AE269" s="25">
        <f t="shared" si="50"/>
        <v>420</v>
      </c>
      <c r="AF269" s="25">
        <f t="shared" si="51"/>
        <v>420</v>
      </c>
      <c r="AG269" s="25">
        <v>0</v>
      </c>
      <c r="AH269" s="25">
        <f t="shared" si="52"/>
        <v>7000</v>
      </c>
      <c r="AI269" s="25">
        <f t="shared" si="53"/>
        <v>99</v>
      </c>
      <c r="AJ269" s="25">
        <v>1</v>
      </c>
      <c r="AK269" s="25">
        <v>1000</v>
      </c>
      <c r="AL269" s="25">
        <v>100</v>
      </c>
      <c r="AM269" s="26">
        <v>10</v>
      </c>
      <c r="AN269" s="26">
        <v>10</v>
      </c>
      <c r="AO269" s="22" t="s">
        <v>2211</v>
      </c>
      <c r="AP269" s="26">
        <v>0</v>
      </c>
      <c r="AQ269" s="26">
        <f t="shared" si="54"/>
        <v>730</v>
      </c>
      <c r="AR269" s="18" t="str">
        <f ca="1">CONCATENATE(OFFSET(Sheet1!$A$2,RANDBETWEEN(2,500),0,1,1),OFFSET(Sheet1!$A$2,RANDBETWEEN(2,500),RANDBETWEEN(1,5),1,1))</f>
        <v>杰弗里奥蒂莉亚</v>
      </c>
      <c r="AS269">
        <f>SUMPRODUCT(P269:AI269,Sheet2!$B$3:$U$3)</f>
        <v>358262</v>
      </c>
    </row>
    <row r="270" spans="1:45" x14ac:dyDescent="0.15">
      <c r="A270" s="18">
        <v>269</v>
      </c>
      <c r="B270" s="18" t="s">
        <v>1938</v>
      </c>
      <c r="C270" s="18">
        <f t="shared" si="44"/>
        <v>210</v>
      </c>
      <c r="D270" s="19">
        <f t="shared" si="45"/>
        <v>3</v>
      </c>
      <c r="E270" s="19">
        <f>VLOOKUP(MOD(A270,4),各职业基础配置!C$32:D$35,2,FALSE)</f>
        <v>3</v>
      </c>
      <c r="F270" s="19">
        <f>IF(A270&lt;900,INDEX(各职业基础配置!C$23:C$28,MOD(ROW(A270),4)+1),0)</f>
        <v>14</v>
      </c>
      <c r="G270" s="19">
        <f t="shared" si="46"/>
        <v>87</v>
      </c>
      <c r="H270" s="27">
        <f t="shared" si="47"/>
        <v>2</v>
      </c>
      <c r="I270" s="6" t="s">
        <v>164</v>
      </c>
      <c r="J270" s="23" t="str">
        <f>VLOOKUP(E270,各职业基础配置!$B$9:$C$12,2,FALSE)</f>
        <v>106|107|108|4201|110</v>
      </c>
      <c r="K270" s="18" t="str">
        <f>VLOOKUP(E270,各职业基础配置!$B$15:$C$18,2,FALSE)</f>
        <v>20|21|22|23</v>
      </c>
      <c r="L270" s="18" t="str">
        <f>VLOOKUP(E270,各职业基础配置!B:C,2,FALSE)</f>
        <v>[{20,1,1},{21,1,1},{22,1,1},{23,1,1},{4,1,1},{5,1,1},{6,1,1}]</v>
      </c>
      <c r="M270" s="18">
        <v>0</v>
      </c>
      <c r="N270" s="18">
        <f t="shared" si="48"/>
        <v>7</v>
      </c>
      <c r="O270" s="18">
        <f>SUMPRODUCT(P270:AI270,Sheet2!$B$3:$U$3)</f>
        <v>358237</v>
      </c>
      <c r="P270" s="18">
        <f>CEILING(INDEX([1]系统模型!$VD:$VD,MATCH(C270,[1]系统模型!$A:$A,0))*POWER(C270/220,3.8)-50+(1000-A270),1)</f>
        <v>7450</v>
      </c>
      <c r="Q270" s="18">
        <f>CEILING(INDEX([1]系统模型!$VE:$VE,MATCH(C270,[1]系统模型!$A:$A,0))*POWER(C270/220,4),1)</f>
        <v>1284</v>
      </c>
      <c r="R270" s="18">
        <f>INT(INDEX([1]系统模型!$VF:$VF,MATCH(C270,[1]系统模型!$A:$A,0))*MAX(POWER(C270/180,4),0.5))</f>
        <v>75162</v>
      </c>
      <c r="S270" s="5">
        <v>1000</v>
      </c>
      <c r="T270" s="25">
        <v>0</v>
      </c>
      <c r="U270" s="25">
        <v>0</v>
      </c>
      <c r="V270" s="25">
        <v>0</v>
      </c>
      <c r="W270" s="25">
        <v>0</v>
      </c>
      <c r="X270" s="25">
        <f t="shared" si="49"/>
        <v>3758</v>
      </c>
      <c r="Y270" s="12">
        <v>0</v>
      </c>
      <c r="Z270" s="25">
        <v>100</v>
      </c>
      <c r="AA270" s="25">
        <v>150</v>
      </c>
      <c r="AB270" s="25">
        <v>0</v>
      </c>
      <c r="AC270" s="25">
        <v>0</v>
      </c>
      <c r="AD270" s="25">
        <v>0</v>
      </c>
      <c r="AE270" s="25">
        <f t="shared" si="50"/>
        <v>420</v>
      </c>
      <c r="AF270" s="25">
        <f t="shared" si="51"/>
        <v>420</v>
      </c>
      <c r="AG270" s="25">
        <v>0</v>
      </c>
      <c r="AH270" s="25">
        <f t="shared" si="52"/>
        <v>7000</v>
      </c>
      <c r="AI270" s="25">
        <f t="shared" si="53"/>
        <v>99</v>
      </c>
      <c r="AJ270" s="25">
        <v>1</v>
      </c>
      <c r="AK270" s="25">
        <v>1000</v>
      </c>
      <c r="AL270" s="25">
        <v>100</v>
      </c>
      <c r="AM270" s="26">
        <v>10</v>
      </c>
      <c r="AN270" s="26">
        <v>10</v>
      </c>
      <c r="AO270" s="22" t="s">
        <v>2211</v>
      </c>
      <c r="AP270" s="26">
        <v>0</v>
      </c>
      <c r="AQ270" s="26">
        <f t="shared" si="54"/>
        <v>730</v>
      </c>
      <c r="AR270" s="18" t="str">
        <f ca="1">CONCATENATE(OFFSET(Sheet1!$A$2,RANDBETWEEN(2,500),0,1,1),OFFSET(Sheet1!$A$2,RANDBETWEEN(2,500),RANDBETWEEN(1,5),1,1))</f>
        <v>休谟</v>
      </c>
      <c r="AS270">
        <f>SUMPRODUCT(P270:AI270,Sheet2!$B$3:$U$3)</f>
        <v>358237</v>
      </c>
    </row>
    <row r="271" spans="1:45" x14ac:dyDescent="0.15">
      <c r="A271" s="23">
        <v>270</v>
      </c>
      <c r="B271" s="18" t="s">
        <v>189</v>
      </c>
      <c r="C271" s="18">
        <f t="shared" si="44"/>
        <v>210</v>
      </c>
      <c r="D271" s="19">
        <f t="shared" si="45"/>
        <v>2</v>
      </c>
      <c r="E271" s="19">
        <f>VLOOKUP(MOD(A271,4),各职业基础配置!C$32:D$35,2,FALSE)</f>
        <v>6</v>
      </c>
      <c r="F271" s="19">
        <f>IF(A271&lt;900,INDEX(各职业基础配置!C$23:C$28,MOD(ROW(A271),4)+1),0)</f>
        <v>16</v>
      </c>
      <c r="G271" s="19">
        <f t="shared" si="46"/>
        <v>87</v>
      </c>
      <c r="H271" s="27">
        <f t="shared" si="47"/>
        <v>2</v>
      </c>
      <c r="I271" s="6" t="s">
        <v>164</v>
      </c>
      <c r="J271" s="23" t="str">
        <f>VLOOKUP(E271,各职业基础配置!$B$9:$C$12,2,FALSE)</f>
        <v>111|112|113|4201|115</v>
      </c>
      <c r="K271" s="18" t="str">
        <f>VLOOKUP(E271,各职业基础配置!$B$15:$C$18,2,FALSE)</f>
        <v>32|33|34</v>
      </c>
      <c r="L271" s="18" t="str">
        <f>VLOOKUP(E271,各职业基础配置!B:C,2,FALSE)</f>
        <v>[{32,1,1},{33,1,1},{34,1,1},{35,1,1},{7,1,1},{8,1,1},{9,1,1}]</v>
      </c>
      <c r="M271" s="18">
        <v>0</v>
      </c>
      <c r="N271" s="18">
        <f t="shared" si="48"/>
        <v>7</v>
      </c>
      <c r="O271" s="18">
        <f>SUMPRODUCT(P271:AI271,Sheet2!$B$3:$U$3)</f>
        <v>358212</v>
      </c>
      <c r="P271" s="18">
        <f>CEILING(INDEX([1]系统模型!$VD:$VD,MATCH(C271,[1]系统模型!$A:$A,0))*POWER(C271/220,3.8)-50+(1000-A271),1)</f>
        <v>7449</v>
      </c>
      <c r="Q271" s="18">
        <f>CEILING(INDEX([1]系统模型!$VE:$VE,MATCH(C271,[1]系统模型!$A:$A,0))*POWER(C271/220,4),1)</f>
        <v>1284</v>
      </c>
      <c r="R271" s="18">
        <f>INT(INDEX([1]系统模型!$VF:$VF,MATCH(C271,[1]系统模型!$A:$A,0))*MAX(POWER(C271/180,4),0.5))</f>
        <v>75162</v>
      </c>
      <c r="S271" s="5">
        <v>1000</v>
      </c>
      <c r="T271" s="25">
        <v>0</v>
      </c>
      <c r="U271" s="25">
        <v>0</v>
      </c>
      <c r="V271" s="25">
        <v>0</v>
      </c>
      <c r="W271" s="25">
        <v>0</v>
      </c>
      <c r="X271" s="25">
        <f t="shared" si="49"/>
        <v>3758</v>
      </c>
      <c r="Y271" s="12">
        <v>0</v>
      </c>
      <c r="Z271" s="25">
        <v>100</v>
      </c>
      <c r="AA271" s="25">
        <v>150</v>
      </c>
      <c r="AB271" s="25">
        <v>0</v>
      </c>
      <c r="AC271" s="25">
        <v>0</v>
      </c>
      <c r="AD271" s="25">
        <v>0</v>
      </c>
      <c r="AE271" s="25">
        <f t="shared" si="50"/>
        <v>420</v>
      </c>
      <c r="AF271" s="25">
        <f t="shared" si="51"/>
        <v>420</v>
      </c>
      <c r="AG271" s="25">
        <v>0</v>
      </c>
      <c r="AH271" s="25">
        <f t="shared" si="52"/>
        <v>7000</v>
      </c>
      <c r="AI271" s="25">
        <f t="shared" si="53"/>
        <v>99</v>
      </c>
      <c r="AJ271" s="25">
        <v>1</v>
      </c>
      <c r="AK271" s="25">
        <v>1000</v>
      </c>
      <c r="AL271" s="25">
        <v>100</v>
      </c>
      <c r="AM271" s="26">
        <v>10</v>
      </c>
      <c r="AN271" s="26">
        <v>10</v>
      </c>
      <c r="AO271" s="22" t="s">
        <v>2211</v>
      </c>
      <c r="AP271" s="26">
        <v>0</v>
      </c>
      <c r="AQ271" s="26">
        <f t="shared" si="54"/>
        <v>730</v>
      </c>
      <c r="AR271" s="18" t="str">
        <f ca="1">CONCATENATE(OFFSET(Sheet1!$A$2,RANDBETWEEN(2,500),0,1,1),OFFSET(Sheet1!$A$2,RANDBETWEEN(2,500),RANDBETWEEN(1,5),1,1))</f>
        <v>乔迪</v>
      </c>
      <c r="AS271">
        <f>SUMPRODUCT(P271:AI271,Sheet2!$B$3:$U$3)</f>
        <v>358212</v>
      </c>
    </row>
    <row r="272" spans="1:45" x14ac:dyDescent="0.15">
      <c r="A272" s="18">
        <v>271</v>
      </c>
      <c r="B272" s="18" t="s">
        <v>1939</v>
      </c>
      <c r="C272" s="18">
        <f t="shared" si="44"/>
        <v>209</v>
      </c>
      <c r="D272" s="19">
        <f t="shared" si="45"/>
        <v>3</v>
      </c>
      <c r="E272" s="19">
        <f>VLOOKUP(MOD(A272,4),各职业基础配置!C$32:D$35,2,FALSE)</f>
        <v>9</v>
      </c>
      <c r="F272" s="19">
        <f>IF(A272&lt;900,INDEX(各职业基础配置!C$23:C$28,MOD(ROW(A272),4)+1),0)</f>
        <v>8</v>
      </c>
      <c r="G272" s="19">
        <f t="shared" si="46"/>
        <v>85</v>
      </c>
      <c r="H272" s="27">
        <f t="shared" si="47"/>
        <v>2</v>
      </c>
      <c r="I272" s="6" t="s">
        <v>164</v>
      </c>
      <c r="J272" s="23" t="str">
        <f>VLOOKUP(E272,各职业基础配置!$B$9:$C$12,2,FALSE)</f>
        <v>116|117|118|4201|120</v>
      </c>
      <c r="K272" s="18" t="str">
        <f>VLOOKUP(E272,各职业基础配置!$B$15:$C$18,2,FALSE)</f>
        <v>28|29|30|31</v>
      </c>
      <c r="L272" s="18" t="str">
        <f>VLOOKUP(E272,各职业基础配置!B:C,2,FALSE)</f>
        <v>[{28,1,1},{29,1,1},{30,1,1},{31,1,1},{10,1,1},{11,1,1},{12,1,1}]</v>
      </c>
      <c r="M272" s="18">
        <v>0</v>
      </c>
      <c r="N272" s="18">
        <f t="shared" si="48"/>
        <v>3</v>
      </c>
      <c r="O272" s="18">
        <f>SUMPRODUCT(P272:AI272,Sheet2!$B$3:$U$3)</f>
        <v>350590</v>
      </c>
      <c r="P272" s="18">
        <f>CEILING(INDEX([1]系统模型!$VD:$VD,MATCH(C272,[1]系统模型!$A:$A,0))*POWER(C272/220,3.8)-50+(1000-A272),1)</f>
        <v>7299</v>
      </c>
      <c r="Q272" s="18">
        <f>CEILING(INDEX([1]系统模型!$VE:$VE,MATCH(C272,[1]系统模型!$A:$A,0))*POWER(C272/220,4),1)</f>
        <v>1245</v>
      </c>
      <c r="R272" s="18">
        <f>INT(INDEX([1]系统模型!$VF:$VF,MATCH(C272,[1]系统模型!$A:$A,0))*MAX(POWER(C272/180,4),0.5))</f>
        <v>72790</v>
      </c>
      <c r="S272" s="5">
        <v>1000</v>
      </c>
      <c r="T272" s="25">
        <v>0</v>
      </c>
      <c r="U272" s="25">
        <v>0</v>
      </c>
      <c r="V272" s="25">
        <v>0</v>
      </c>
      <c r="W272" s="25">
        <v>0</v>
      </c>
      <c r="X272" s="25">
        <f t="shared" si="49"/>
        <v>3639</v>
      </c>
      <c r="Y272" s="12">
        <v>0</v>
      </c>
      <c r="Z272" s="25">
        <v>100</v>
      </c>
      <c r="AA272" s="25">
        <v>150</v>
      </c>
      <c r="AB272" s="25">
        <v>0</v>
      </c>
      <c r="AC272" s="25">
        <v>0</v>
      </c>
      <c r="AD272" s="25">
        <v>0</v>
      </c>
      <c r="AE272" s="25">
        <f t="shared" si="50"/>
        <v>418</v>
      </c>
      <c r="AF272" s="25">
        <f t="shared" si="51"/>
        <v>418</v>
      </c>
      <c r="AG272" s="25">
        <v>0</v>
      </c>
      <c r="AH272" s="25">
        <f t="shared" si="52"/>
        <v>6925</v>
      </c>
      <c r="AI272" s="25">
        <f t="shared" si="53"/>
        <v>97</v>
      </c>
      <c r="AJ272" s="25">
        <v>1</v>
      </c>
      <c r="AK272" s="25">
        <v>1000</v>
      </c>
      <c r="AL272" s="25">
        <v>100</v>
      </c>
      <c r="AM272" s="26">
        <v>10</v>
      </c>
      <c r="AN272" s="26">
        <v>10</v>
      </c>
      <c r="AO272" s="22" t="s">
        <v>2211</v>
      </c>
      <c r="AP272" s="26">
        <v>0</v>
      </c>
      <c r="AQ272" s="26">
        <f t="shared" si="54"/>
        <v>730</v>
      </c>
      <c r="AR272" s="18" t="str">
        <f ca="1">CONCATENATE(OFFSET(Sheet1!$A$2,RANDBETWEEN(2,500),0,1,1),OFFSET(Sheet1!$A$2,RANDBETWEEN(2,500),RANDBETWEEN(1,5),1,1))</f>
        <v>白朗蒂多洛雷斯</v>
      </c>
      <c r="AS272">
        <f>SUMPRODUCT(P272:AI272,Sheet2!$B$3:$U$3)</f>
        <v>350590</v>
      </c>
    </row>
    <row r="273" spans="1:45" x14ac:dyDescent="0.15">
      <c r="A273" s="18">
        <v>272</v>
      </c>
      <c r="B273" s="18" t="s">
        <v>1940</v>
      </c>
      <c r="C273" s="18">
        <f t="shared" si="44"/>
        <v>209</v>
      </c>
      <c r="D273" s="19">
        <f t="shared" si="45"/>
        <v>2</v>
      </c>
      <c r="E273" s="19">
        <f>VLOOKUP(MOD(A273,4),各职业基础配置!C$32:D$35,2,FALSE)</f>
        <v>1</v>
      </c>
      <c r="F273" s="19">
        <f>IF(A273&lt;900,INDEX(各职业基础配置!C$23:C$28,MOD(ROW(A273),4)+1),0)</f>
        <v>13</v>
      </c>
      <c r="G273" s="19">
        <f t="shared" si="46"/>
        <v>85</v>
      </c>
      <c r="H273" s="27">
        <f t="shared" si="47"/>
        <v>2</v>
      </c>
      <c r="I273" s="6" t="s">
        <v>164</v>
      </c>
      <c r="J273" s="23" t="str">
        <f>VLOOKUP(E273,各职业基础配置!$B$9:$C$12,2,FALSE)</f>
        <v>101|102|103|4201|105</v>
      </c>
      <c r="K273" s="18" t="str">
        <f>VLOOKUP(E273,各职业基础配置!$B$15:$C$18,2,FALSE)</f>
        <v>24|25|26|27</v>
      </c>
      <c r="L273" s="18" t="str">
        <f>VLOOKUP(E273,各职业基础配置!B:C,2,FALSE)</f>
        <v>[{24,1,1},{25,1,1},{26,1,1},{27,1,1},{1,1,1},{2,1,1},{3,1,1}]</v>
      </c>
      <c r="M273" s="18">
        <v>0</v>
      </c>
      <c r="N273" s="18">
        <f t="shared" si="48"/>
        <v>3</v>
      </c>
      <c r="O273" s="18">
        <f>SUMPRODUCT(P273:AI273,Sheet2!$B$3:$U$3)</f>
        <v>350565</v>
      </c>
      <c r="P273" s="18">
        <f>CEILING(INDEX([1]系统模型!$VD:$VD,MATCH(C273,[1]系统模型!$A:$A,0))*POWER(C273/220,3.8)-50+(1000-A273),1)</f>
        <v>7298</v>
      </c>
      <c r="Q273" s="18">
        <f>CEILING(INDEX([1]系统模型!$VE:$VE,MATCH(C273,[1]系统模型!$A:$A,0))*POWER(C273/220,4),1)</f>
        <v>1245</v>
      </c>
      <c r="R273" s="18">
        <f>INT(INDEX([1]系统模型!$VF:$VF,MATCH(C273,[1]系统模型!$A:$A,0))*MAX(POWER(C273/180,4),0.5))</f>
        <v>72790</v>
      </c>
      <c r="S273" s="5">
        <v>1000</v>
      </c>
      <c r="T273" s="25">
        <v>0</v>
      </c>
      <c r="U273" s="25">
        <v>0</v>
      </c>
      <c r="V273" s="25">
        <v>0</v>
      </c>
      <c r="W273" s="25">
        <v>0</v>
      </c>
      <c r="X273" s="25">
        <f t="shared" si="49"/>
        <v>3639</v>
      </c>
      <c r="Y273" s="12">
        <v>0</v>
      </c>
      <c r="Z273" s="25">
        <v>100</v>
      </c>
      <c r="AA273" s="25">
        <v>150</v>
      </c>
      <c r="AB273" s="25">
        <v>0</v>
      </c>
      <c r="AC273" s="25">
        <v>0</v>
      </c>
      <c r="AD273" s="25">
        <v>0</v>
      </c>
      <c r="AE273" s="25">
        <f t="shared" si="50"/>
        <v>418</v>
      </c>
      <c r="AF273" s="25">
        <f t="shared" si="51"/>
        <v>418</v>
      </c>
      <c r="AG273" s="25">
        <v>0</v>
      </c>
      <c r="AH273" s="25">
        <f t="shared" si="52"/>
        <v>6925</v>
      </c>
      <c r="AI273" s="25">
        <f t="shared" si="53"/>
        <v>97</v>
      </c>
      <c r="AJ273" s="25">
        <v>1</v>
      </c>
      <c r="AK273" s="25">
        <v>1000</v>
      </c>
      <c r="AL273" s="25">
        <v>100</v>
      </c>
      <c r="AM273" s="26">
        <v>10</v>
      </c>
      <c r="AN273" s="26">
        <v>10</v>
      </c>
      <c r="AO273" s="22" t="s">
        <v>2211</v>
      </c>
      <c r="AP273" s="26">
        <v>0</v>
      </c>
      <c r="AQ273" s="26">
        <f t="shared" si="54"/>
        <v>730</v>
      </c>
      <c r="AR273" s="18" t="str">
        <f ca="1">CONCATENATE(OFFSET(Sheet1!$A$2,RANDBETWEEN(2,500),0,1,1),OFFSET(Sheet1!$A$2,RANDBETWEEN(2,500),RANDBETWEEN(1,5),1,1))</f>
        <v>盖洛普</v>
      </c>
      <c r="AS273">
        <f>SUMPRODUCT(P273:AI273,Sheet2!$B$3:$U$3)</f>
        <v>350565</v>
      </c>
    </row>
    <row r="274" spans="1:45" x14ac:dyDescent="0.15">
      <c r="A274" s="23">
        <v>273</v>
      </c>
      <c r="B274" s="18" t="s">
        <v>1941</v>
      </c>
      <c r="C274" s="18">
        <f t="shared" si="44"/>
        <v>209</v>
      </c>
      <c r="D274" s="19">
        <f t="shared" si="45"/>
        <v>3</v>
      </c>
      <c r="E274" s="19">
        <f>VLOOKUP(MOD(A274,4),各职业基础配置!C$32:D$35,2,FALSE)</f>
        <v>3</v>
      </c>
      <c r="F274" s="19">
        <f>IF(A274&lt;900,INDEX(各职业基础配置!C$23:C$28,MOD(ROW(A274),4)+1),0)</f>
        <v>14</v>
      </c>
      <c r="G274" s="19">
        <f t="shared" si="46"/>
        <v>85</v>
      </c>
      <c r="H274" s="27">
        <f t="shared" si="47"/>
        <v>2</v>
      </c>
      <c r="I274" s="6" t="s">
        <v>164</v>
      </c>
      <c r="J274" s="23" t="str">
        <f>VLOOKUP(E274,各职业基础配置!$B$9:$C$12,2,FALSE)</f>
        <v>106|107|108|4201|110</v>
      </c>
      <c r="K274" s="18" t="str">
        <f>VLOOKUP(E274,各职业基础配置!$B$15:$C$18,2,FALSE)</f>
        <v>20|21|22|23</v>
      </c>
      <c r="L274" s="18" t="str">
        <f>VLOOKUP(E274,各职业基础配置!B:C,2,FALSE)</f>
        <v>[{20,1,1},{21,1,1},{22,1,1},{23,1,1},{4,1,1},{5,1,1},{6,1,1}]</v>
      </c>
      <c r="M274" s="18">
        <v>0</v>
      </c>
      <c r="N274" s="18">
        <f t="shared" si="48"/>
        <v>7</v>
      </c>
      <c r="O274" s="18">
        <f>SUMPRODUCT(P274:AI274,Sheet2!$B$3:$U$3)</f>
        <v>350540</v>
      </c>
      <c r="P274" s="18">
        <f>CEILING(INDEX([1]系统模型!$VD:$VD,MATCH(C274,[1]系统模型!$A:$A,0))*POWER(C274/220,3.8)-50+(1000-A274),1)</f>
        <v>7297</v>
      </c>
      <c r="Q274" s="18">
        <f>CEILING(INDEX([1]系统模型!$VE:$VE,MATCH(C274,[1]系统模型!$A:$A,0))*POWER(C274/220,4),1)</f>
        <v>1245</v>
      </c>
      <c r="R274" s="18">
        <f>INT(INDEX([1]系统模型!$VF:$VF,MATCH(C274,[1]系统模型!$A:$A,0))*MAX(POWER(C274/180,4),0.5))</f>
        <v>72790</v>
      </c>
      <c r="S274" s="5">
        <v>1000</v>
      </c>
      <c r="T274" s="25">
        <v>0</v>
      </c>
      <c r="U274" s="25">
        <v>0</v>
      </c>
      <c r="V274" s="25">
        <v>0</v>
      </c>
      <c r="W274" s="25">
        <v>0</v>
      </c>
      <c r="X274" s="25">
        <f t="shared" si="49"/>
        <v>3639</v>
      </c>
      <c r="Y274" s="12">
        <v>0</v>
      </c>
      <c r="Z274" s="25">
        <v>100</v>
      </c>
      <c r="AA274" s="25">
        <v>150</v>
      </c>
      <c r="AB274" s="25">
        <v>0</v>
      </c>
      <c r="AC274" s="25">
        <v>0</v>
      </c>
      <c r="AD274" s="25">
        <v>0</v>
      </c>
      <c r="AE274" s="25">
        <f t="shared" si="50"/>
        <v>418</v>
      </c>
      <c r="AF274" s="25">
        <f t="shared" si="51"/>
        <v>418</v>
      </c>
      <c r="AG274" s="25">
        <v>0</v>
      </c>
      <c r="AH274" s="25">
        <f t="shared" si="52"/>
        <v>6925</v>
      </c>
      <c r="AI274" s="25">
        <f t="shared" si="53"/>
        <v>97</v>
      </c>
      <c r="AJ274" s="25">
        <v>1</v>
      </c>
      <c r="AK274" s="25">
        <v>1000</v>
      </c>
      <c r="AL274" s="25">
        <v>100</v>
      </c>
      <c r="AM274" s="26">
        <v>10</v>
      </c>
      <c r="AN274" s="26">
        <v>10</v>
      </c>
      <c r="AO274" s="22" t="s">
        <v>2211</v>
      </c>
      <c r="AP274" s="26">
        <v>0</v>
      </c>
      <c r="AQ274" s="26">
        <f t="shared" si="54"/>
        <v>730</v>
      </c>
      <c r="AR274" s="18" t="str">
        <f ca="1">CONCATENATE(OFFSET(Sheet1!$A$2,RANDBETWEEN(2,500),0,1,1),OFFSET(Sheet1!$A$2,RANDBETWEEN(2,500),RANDBETWEEN(1,5),1,1))</f>
        <v>戈尔德</v>
      </c>
      <c r="AS274">
        <f>SUMPRODUCT(P274:AI274,Sheet2!$B$3:$U$3)</f>
        <v>350540</v>
      </c>
    </row>
    <row r="275" spans="1:45" x14ac:dyDescent="0.15">
      <c r="A275" s="18">
        <v>274</v>
      </c>
      <c r="B275" s="18" t="s">
        <v>1942</v>
      </c>
      <c r="C275" s="18">
        <f t="shared" si="44"/>
        <v>209</v>
      </c>
      <c r="D275" s="19">
        <f t="shared" si="45"/>
        <v>2</v>
      </c>
      <c r="E275" s="19">
        <f>VLOOKUP(MOD(A275,4),各职业基础配置!C$32:D$35,2,FALSE)</f>
        <v>6</v>
      </c>
      <c r="F275" s="19">
        <f>IF(A275&lt;900,INDEX(各职业基础配置!C$23:C$28,MOD(ROW(A275),4)+1),0)</f>
        <v>16</v>
      </c>
      <c r="G275" s="19">
        <f t="shared" si="46"/>
        <v>85</v>
      </c>
      <c r="H275" s="27">
        <f t="shared" si="47"/>
        <v>2</v>
      </c>
      <c r="I275" s="6" t="s">
        <v>164</v>
      </c>
      <c r="J275" s="23" t="str">
        <f>VLOOKUP(E275,各职业基础配置!$B$9:$C$12,2,FALSE)</f>
        <v>111|112|113|4201|115</v>
      </c>
      <c r="K275" s="18" t="str">
        <f>VLOOKUP(E275,各职业基础配置!$B$15:$C$18,2,FALSE)</f>
        <v>32|33|34</v>
      </c>
      <c r="L275" s="18" t="str">
        <f>VLOOKUP(E275,各职业基础配置!B:C,2,FALSE)</f>
        <v>[{32,1,1},{33,1,1},{34,1,1},{35,1,1},{7,1,1},{8,1,1},{9,1,1}]</v>
      </c>
      <c r="M275" s="18">
        <v>0</v>
      </c>
      <c r="N275" s="18">
        <f t="shared" si="48"/>
        <v>7</v>
      </c>
      <c r="O275" s="18">
        <f>SUMPRODUCT(P275:AI275,Sheet2!$B$3:$U$3)</f>
        <v>350515</v>
      </c>
      <c r="P275" s="18">
        <f>CEILING(INDEX([1]系统模型!$VD:$VD,MATCH(C275,[1]系统模型!$A:$A,0))*POWER(C275/220,3.8)-50+(1000-A275),1)</f>
        <v>7296</v>
      </c>
      <c r="Q275" s="18">
        <f>CEILING(INDEX([1]系统模型!$VE:$VE,MATCH(C275,[1]系统模型!$A:$A,0))*POWER(C275/220,4),1)</f>
        <v>1245</v>
      </c>
      <c r="R275" s="18">
        <f>INT(INDEX([1]系统模型!$VF:$VF,MATCH(C275,[1]系统模型!$A:$A,0))*MAX(POWER(C275/180,4),0.5))</f>
        <v>72790</v>
      </c>
      <c r="S275" s="5">
        <v>1000</v>
      </c>
      <c r="T275" s="25">
        <v>0</v>
      </c>
      <c r="U275" s="25">
        <v>0</v>
      </c>
      <c r="V275" s="25">
        <v>0</v>
      </c>
      <c r="W275" s="25">
        <v>0</v>
      </c>
      <c r="X275" s="25">
        <f t="shared" si="49"/>
        <v>3639</v>
      </c>
      <c r="Y275" s="12">
        <v>0</v>
      </c>
      <c r="Z275" s="25">
        <v>100</v>
      </c>
      <c r="AA275" s="25">
        <v>150</v>
      </c>
      <c r="AB275" s="25">
        <v>0</v>
      </c>
      <c r="AC275" s="25">
        <v>0</v>
      </c>
      <c r="AD275" s="25">
        <v>0</v>
      </c>
      <c r="AE275" s="25">
        <f t="shared" si="50"/>
        <v>418</v>
      </c>
      <c r="AF275" s="25">
        <f t="shared" si="51"/>
        <v>418</v>
      </c>
      <c r="AG275" s="25">
        <v>0</v>
      </c>
      <c r="AH275" s="25">
        <f t="shared" si="52"/>
        <v>6925</v>
      </c>
      <c r="AI275" s="25">
        <f t="shared" si="53"/>
        <v>97</v>
      </c>
      <c r="AJ275" s="25">
        <v>1</v>
      </c>
      <c r="AK275" s="25">
        <v>1000</v>
      </c>
      <c r="AL275" s="25">
        <v>100</v>
      </c>
      <c r="AM275" s="26">
        <v>10</v>
      </c>
      <c r="AN275" s="26">
        <v>10</v>
      </c>
      <c r="AO275" s="22" t="s">
        <v>2211</v>
      </c>
      <c r="AP275" s="26">
        <v>0</v>
      </c>
      <c r="AQ275" s="26">
        <f t="shared" si="54"/>
        <v>730</v>
      </c>
      <c r="AR275" s="18" t="str">
        <f ca="1">CONCATENATE(OFFSET(Sheet1!$A$2,RANDBETWEEN(2,500),0,1,1),OFFSET(Sheet1!$A$2,RANDBETWEEN(2,500),RANDBETWEEN(1,5),1,1))</f>
        <v>霍奇森</v>
      </c>
      <c r="AS275">
        <f>SUMPRODUCT(P275:AI275,Sheet2!$B$3:$U$3)</f>
        <v>350515</v>
      </c>
    </row>
    <row r="276" spans="1:45" x14ac:dyDescent="0.15">
      <c r="A276" s="18">
        <v>275</v>
      </c>
      <c r="B276" s="18" t="s">
        <v>1943</v>
      </c>
      <c r="C276" s="18">
        <f t="shared" si="44"/>
        <v>209</v>
      </c>
      <c r="D276" s="19">
        <f t="shared" si="45"/>
        <v>3</v>
      </c>
      <c r="E276" s="19">
        <f>VLOOKUP(MOD(A276,4),各职业基础配置!C$32:D$35,2,FALSE)</f>
        <v>9</v>
      </c>
      <c r="F276" s="19">
        <f>IF(A276&lt;900,INDEX(各职业基础配置!C$23:C$28,MOD(ROW(A276),4)+1),0)</f>
        <v>8</v>
      </c>
      <c r="G276" s="19">
        <f t="shared" si="46"/>
        <v>85</v>
      </c>
      <c r="H276" s="27">
        <f t="shared" si="47"/>
        <v>2</v>
      </c>
      <c r="I276" s="6" t="s">
        <v>164</v>
      </c>
      <c r="J276" s="23" t="str">
        <f>VLOOKUP(E276,各职业基础配置!$B$9:$C$12,2,FALSE)</f>
        <v>116|117|118|4201|120</v>
      </c>
      <c r="K276" s="18" t="str">
        <f>VLOOKUP(E276,各职业基础配置!$B$15:$C$18,2,FALSE)</f>
        <v>28|29|30|31</v>
      </c>
      <c r="L276" s="18" t="str">
        <f>VLOOKUP(E276,各职业基础配置!B:C,2,FALSE)</f>
        <v>[{28,1,1},{29,1,1},{30,1,1},{31,1,1},{10,1,1},{11,1,1},{12,1,1}]</v>
      </c>
      <c r="M276" s="18">
        <v>0</v>
      </c>
      <c r="N276" s="18">
        <f t="shared" si="48"/>
        <v>3</v>
      </c>
      <c r="O276" s="18">
        <f>SUMPRODUCT(P276:AI276,Sheet2!$B$3:$U$3)</f>
        <v>350490</v>
      </c>
      <c r="P276" s="18">
        <f>CEILING(INDEX([1]系统模型!$VD:$VD,MATCH(C276,[1]系统模型!$A:$A,0))*POWER(C276/220,3.8)-50+(1000-A276),1)</f>
        <v>7295</v>
      </c>
      <c r="Q276" s="18">
        <f>CEILING(INDEX([1]系统模型!$VE:$VE,MATCH(C276,[1]系统模型!$A:$A,0))*POWER(C276/220,4),1)</f>
        <v>1245</v>
      </c>
      <c r="R276" s="18">
        <f>INT(INDEX([1]系统模型!$VF:$VF,MATCH(C276,[1]系统模型!$A:$A,0))*MAX(POWER(C276/180,4),0.5))</f>
        <v>72790</v>
      </c>
      <c r="S276" s="5">
        <v>1000</v>
      </c>
      <c r="T276" s="25">
        <v>0</v>
      </c>
      <c r="U276" s="25">
        <v>0</v>
      </c>
      <c r="V276" s="25">
        <v>0</v>
      </c>
      <c r="W276" s="25">
        <v>0</v>
      </c>
      <c r="X276" s="25">
        <f t="shared" si="49"/>
        <v>3639</v>
      </c>
      <c r="Y276" s="12">
        <v>0</v>
      </c>
      <c r="Z276" s="25">
        <v>100</v>
      </c>
      <c r="AA276" s="25">
        <v>150</v>
      </c>
      <c r="AB276" s="25">
        <v>0</v>
      </c>
      <c r="AC276" s="25">
        <v>0</v>
      </c>
      <c r="AD276" s="25">
        <v>0</v>
      </c>
      <c r="AE276" s="25">
        <f t="shared" si="50"/>
        <v>418</v>
      </c>
      <c r="AF276" s="25">
        <f t="shared" si="51"/>
        <v>418</v>
      </c>
      <c r="AG276" s="25">
        <v>0</v>
      </c>
      <c r="AH276" s="25">
        <f t="shared" si="52"/>
        <v>6925</v>
      </c>
      <c r="AI276" s="25">
        <f t="shared" si="53"/>
        <v>97</v>
      </c>
      <c r="AJ276" s="25">
        <v>1</v>
      </c>
      <c r="AK276" s="25">
        <v>1000</v>
      </c>
      <c r="AL276" s="25">
        <v>100</v>
      </c>
      <c r="AM276" s="26">
        <v>10</v>
      </c>
      <c r="AN276" s="26">
        <v>10</v>
      </c>
      <c r="AO276" s="22" t="s">
        <v>2211</v>
      </c>
      <c r="AP276" s="26">
        <v>0</v>
      </c>
      <c r="AQ276" s="26">
        <f t="shared" si="54"/>
        <v>720</v>
      </c>
      <c r="AR276" s="18" t="str">
        <f ca="1">CONCATENATE(OFFSET(Sheet1!$A$2,RANDBETWEEN(2,500),0,1,1),OFFSET(Sheet1!$A$2,RANDBETWEEN(2,500),RANDBETWEEN(1,5),1,1))</f>
        <v>芬克卡玛</v>
      </c>
      <c r="AS276">
        <f>SUMPRODUCT(P276:AI276,Sheet2!$B$3:$U$3)</f>
        <v>350490</v>
      </c>
    </row>
    <row r="277" spans="1:45" x14ac:dyDescent="0.15">
      <c r="A277" s="23">
        <v>276</v>
      </c>
      <c r="B277" s="18" t="s">
        <v>1054</v>
      </c>
      <c r="C277" s="18">
        <f t="shared" si="44"/>
        <v>209</v>
      </c>
      <c r="D277" s="19">
        <f t="shared" si="45"/>
        <v>2</v>
      </c>
      <c r="E277" s="19">
        <f>VLOOKUP(MOD(A277,4),各职业基础配置!C$32:D$35,2,FALSE)</f>
        <v>1</v>
      </c>
      <c r="F277" s="19">
        <f>IF(A277&lt;900,INDEX(各职业基础配置!C$23:C$28,MOD(ROW(A277),4)+1),0)</f>
        <v>13</v>
      </c>
      <c r="G277" s="19">
        <f t="shared" si="46"/>
        <v>85</v>
      </c>
      <c r="H277" s="27">
        <f t="shared" si="47"/>
        <v>2</v>
      </c>
      <c r="I277" s="6" t="s">
        <v>164</v>
      </c>
      <c r="J277" s="23" t="str">
        <f>VLOOKUP(E277,各职业基础配置!$B$9:$C$12,2,FALSE)</f>
        <v>101|102|103|4201|105</v>
      </c>
      <c r="K277" s="18" t="str">
        <f>VLOOKUP(E277,各职业基础配置!$B$15:$C$18,2,FALSE)</f>
        <v>24|25|26|27</v>
      </c>
      <c r="L277" s="18" t="str">
        <f>VLOOKUP(E277,各职业基础配置!B:C,2,FALSE)</f>
        <v>[{24,1,1},{25,1,1},{26,1,1},{27,1,1},{1,1,1},{2,1,1},{3,1,1}]</v>
      </c>
      <c r="M277" s="18">
        <v>0</v>
      </c>
      <c r="N277" s="18">
        <f t="shared" si="48"/>
        <v>3</v>
      </c>
      <c r="O277" s="18">
        <f>SUMPRODUCT(P277:AI277,Sheet2!$B$3:$U$3)</f>
        <v>350465</v>
      </c>
      <c r="P277" s="18">
        <f>CEILING(INDEX([1]系统模型!$VD:$VD,MATCH(C277,[1]系统模型!$A:$A,0))*POWER(C277/220,3.8)-50+(1000-A277),1)</f>
        <v>7294</v>
      </c>
      <c r="Q277" s="18">
        <f>CEILING(INDEX([1]系统模型!$VE:$VE,MATCH(C277,[1]系统模型!$A:$A,0))*POWER(C277/220,4),1)</f>
        <v>1245</v>
      </c>
      <c r="R277" s="18">
        <f>INT(INDEX([1]系统模型!$VF:$VF,MATCH(C277,[1]系统模型!$A:$A,0))*MAX(POWER(C277/180,4),0.5))</f>
        <v>72790</v>
      </c>
      <c r="S277" s="5">
        <v>1000</v>
      </c>
      <c r="T277" s="25">
        <v>0</v>
      </c>
      <c r="U277" s="25">
        <v>0</v>
      </c>
      <c r="V277" s="25">
        <v>0</v>
      </c>
      <c r="W277" s="25">
        <v>0</v>
      </c>
      <c r="X277" s="25">
        <f t="shared" si="49"/>
        <v>3639</v>
      </c>
      <c r="Y277" s="12">
        <v>0</v>
      </c>
      <c r="Z277" s="25">
        <v>100</v>
      </c>
      <c r="AA277" s="25">
        <v>150</v>
      </c>
      <c r="AB277" s="25">
        <v>0</v>
      </c>
      <c r="AC277" s="25">
        <v>0</v>
      </c>
      <c r="AD277" s="25">
        <v>0</v>
      </c>
      <c r="AE277" s="25">
        <f t="shared" si="50"/>
        <v>418</v>
      </c>
      <c r="AF277" s="25">
        <f t="shared" si="51"/>
        <v>418</v>
      </c>
      <c r="AG277" s="25">
        <v>0</v>
      </c>
      <c r="AH277" s="25">
        <f t="shared" si="52"/>
        <v>6925</v>
      </c>
      <c r="AI277" s="25">
        <f t="shared" si="53"/>
        <v>97</v>
      </c>
      <c r="AJ277" s="25">
        <v>1</v>
      </c>
      <c r="AK277" s="25">
        <v>1000</v>
      </c>
      <c r="AL277" s="25">
        <v>100</v>
      </c>
      <c r="AM277" s="26">
        <v>10</v>
      </c>
      <c r="AN277" s="26">
        <v>10</v>
      </c>
      <c r="AO277" s="22" t="s">
        <v>2211</v>
      </c>
      <c r="AP277" s="26">
        <v>0</v>
      </c>
      <c r="AQ277" s="26">
        <f t="shared" si="54"/>
        <v>720</v>
      </c>
      <c r="AR277" s="18" t="str">
        <f ca="1">CONCATENATE(OFFSET(Sheet1!$A$2,RANDBETWEEN(2,500),0,1,1),OFFSET(Sheet1!$A$2,RANDBETWEEN(2,500),RANDBETWEEN(1,5),1,1))</f>
        <v>乔尔</v>
      </c>
      <c r="AS277">
        <f>SUMPRODUCT(P277:AI277,Sheet2!$B$3:$U$3)</f>
        <v>350465</v>
      </c>
    </row>
    <row r="278" spans="1:45" x14ac:dyDescent="0.15">
      <c r="A278" s="18">
        <v>277</v>
      </c>
      <c r="B278" s="18" t="s">
        <v>1944</v>
      </c>
      <c r="C278" s="18">
        <f t="shared" si="44"/>
        <v>209</v>
      </c>
      <c r="D278" s="19">
        <f t="shared" si="45"/>
        <v>3</v>
      </c>
      <c r="E278" s="19">
        <f>VLOOKUP(MOD(A278,4),各职业基础配置!C$32:D$35,2,FALSE)</f>
        <v>3</v>
      </c>
      <c r="F278" s="19">
        <f>IF(A278&lt;900,INDEX(各职业基础配置!C$23:C$28,MOD(ROW(A278),4)+1),0)</f>
        <v>14</v>
      </c>
      <c r="G278" s="19">
        <f t="shared" si="46"/>
        <v>85</v>
      </c>
      <c r="H278" s="27">
        <f t="shared" si="47"/>
        <v>2</v>
      </c>
      <c r="I278" s="6" t="s">
        <v>164</v>
      </c>
      <c r="J278" s="23" t="str">
        <f>VLOOKUP(E278,各职业基础配置!$B$9:$C$12,2,FALSE)</f>
        <v>106|107|108|4201|110</v>
      </c>
      <c r="K278" s="18" t="str">
        <f>VLOOKUP(E278,各职业基础配置!$B$15:$C$18,2,FALSE)</f>
        <v>20|21|22|23</v>
      </c>
      <c r="L278" s="18" t="str">
        <f>VLOOKUP(E278,各职业基础配置!B:C,2,FALSE)</f>
        <v>[{20,1,1},{21,1,1},{22,1,1},{23,1,1},{4,1,1},{5,1,1},{6,1,1}]</v>
      </c>
      <c r="M278" s="18">
        <v>0</v>
      </c>
      <c r="N278" s="18">
        <f t="shared" si="48"/>
        <v>7</v>
      </c>
      <c r="O278" s="18">
        <f>SUMPRODUCT(P278:AI278,Sheet2!$B$3:$U$3)</f>
        <v>350440</v>
      </c>
      <c r="P278" s="18">
        <f>CEILING(INDEX([1]系统模型!$VD:$VD,MATCH(C278,[1]系统模型!$A:$A,0))*POWER(C278/220,3.8)-50+(1000-A278),1)</f>
        <v>7293</v>
      </c>
      <c r="Q278" s="18">
        <f>CEILING(INDEX([1]系统模型!$VE:$VE,MATCH(C278,[1]系统模型!$A:$A,0))*POWER(C278/220,4),1)</f>
        <v>1245</v>
      </c>
      <c r="R278" s="18">
        <f>INT(INDEX([1]系统模型!$VF:$VF,MATCH(C278,[1]系统模型!$A:$A,0))*MAX(POWER(C278/180,4),0.5))</f>
        <v>72790</v>
      </c>
      <c r="S278" s="5">
        <v>1000</v>
      </c>
      <c r="T278" s="25">
        <v>0</v>
      </c>
      <c r="U278" s="25">
        <v>0</v>
      </c>
      <c r="V278" s="25">
        <v>0</v>
      </c>
      <c r="W278" s="25">
        <v>0</v>
      </c>
      <c r="X278" s="25">
        <f t="shared" si="49"/>
        <v>3639</v>
      </c>
      <c r="Y278" s="12">
        <v>0</v>
      </c>
      <c r="Z278" s="25">
        <v>100</v>
      </c>
      <c r="AA278" s="25">
        <v>150</v>
      </c>
      <c r="AB278" s="25">
        <v>0</v>
      </c>
      <c r="AC278" s="25">
        <v>0</v>
      </c>
      <c r="AD278" s="25">
        <v>0</v>
      </c>
      <c r="AE278" s="25">
        <f t="shared" si="50"/>
        <v>418</v>
      </c>
      <c r="AF278" s="25">
        <f t="shared" si="51"/>
        <v>418</v>
      </c>
      <c r="AG278" s="25">
        <v>0</v>
      </c>
      <c r="AH278" s="25">
        <f t="shared" si="52"/>
        <v>6925</v>
      </c>
      <c r="AI278" s="25">
        <f t="shared" si="53"/>
        <v>97</v>
      </c>
      <c r="AJ278" s="25">
        <v>1</v>
      </c>
      <c r="AK278" s="25">
        <v>1000</v>
      </c>
      <c r="AL278" s="25">
        <v>100</v>
      </c>
      <c r="AM278" s="26">
        <v>10</v>
      </c>
      <c r="AN278" s="26">
        <v>10</v>
      </c>
      <c r="AO278" s="22" t="s">
        <v>2211</v>
      </c>
      <c r="AP278" s="26">
        <v>0</v>
      </c>
      <c r="AQ278" s="26">
        <f t="shared" si="54"/>
        <v>720</v>
      </c>
      <c r="AR278" s="18" t="str">
        <f ca="1">CONCATENATE(OFFSET(Sheet1!$A$2,RANDBETWEEN(2,500),0,1,1),OFFSET(Sheet1!$A$2,RANDBETWEEN(2,500),RANDBETWEEN(1,5),1,1))</f>
        <v>杰里迈亚</v>
      </c>
      <c r="AS278">
        <f>SUMPRODUCT(P278:AI278,Sheet2!$B$3:$U$3)</f>
        <v>350440</v>
      </c>
    </row>
    <row r="279" spans="1:45" x14ac:dyDescent="0.15">
      <c r="A279" s="18">
        <v>278</v>
      </c>
      <c r="B279" s="18" t="s">
        <v>447</v>
      </c>
      <c r="C279" s="18">
        <f t="shared" si="44"/>
        <v>208</v>
      </c>
      <c r="D279" s="19">
        <f t="shared" si="45"/>
        <v>2</v>
      </c>
      <c r="E279" s="19">
        <f>VLOOKUP(MOD(A279,4),各职业基础配置!C$32:D$35,2,FALSE)</f>
        <v>6</v>
      </c>
      <c r="F279" s="19">
        <f>IF(A279&lt;900,INDEX(各职业基础配置!C$23:C$28,MOD(ROW(A279),4)+1),0)</f>
        <v>16</v>
      </c>
      <c r="G279" s="19">
        <f t="shared" si="46"/>
        <v>82</v>
      </c>
      <c r="H279" s="27">
        <f t="shared" si="47"/>
        <v>2</v>
      </c>
      <c r="I279" s="6" t="s">
        <v>164</v>
      </c>
      <c r="J279" s="23" t="str">
        <f>VLOOKUP(E279,各职业基础配置!$B$9:$C$12,2,FALSE)</f>
        <v>111|112|113|4201|115</v>
      </c>
      <c r="K279" s="18" t="str">
        <f>VLOOKUP(E279,各职业基础配置!$B$15:$C$18,2,FALSE)</f>
        <v>32|33|34</v>
      </c>
      <c r="L279" s="18" t="str">
        <f>VLOOKUP(E279,各职业基础配置!B:C,2,FALSE)</f>
        <v>[{32,1,1},{33,1,1},{34,1,1},{35,1,1},{7,1,1},{8,1,1},{9,1,1}]</v>
      </c>
      <c r="M279" s="18">
        <v>0</v>
      </c>
      <c r="N279" s="18">
        <f t="shared" si="48"/>
        <v>7</v>
      </c>
      <c r="O279" s="18">
        <f>SUMPRODUCT(P279:AI279,Sheet2!$B$3:$U$3)</f>
        <v>343379</v>
      </c>
      <c r="P279" s="18">
        <f>CEILING(INDEX([1]系统模型!$VD:$VD,MATCH(C279,[1]系统模型!$A:$A,0))*POWER(C279/220,3.8)-50+(1000-A279),1)</f>
        <v>7136</v>
      </c>
      <c r="Q279" s="18">
        <f>CEILING(INDEX([1]系统模型!$VE:$VE,MATCH(C279,[1]系统模型!$A:$A,0))*POWER(C279/220,4),1)</f>
        <v>1212</v>
      </c>
      <c r="R279" s="18">
        <f>INT(INDEX([1]系统模型!$VF:$VF,MATCH(C279,[1]系统模型!$A:$A,0))*MAX(POWER(C279/180,4),0.5))</f>
        <v>71004</v>
      </c>
      <c r="S279" s="5">
        <v>1000</v>
      </c>
      <c r="T279" s="25">
        <v>0</v>
      </c>
      <c r="U279" s="25">
        <v>0</v>
      </c>
      <c r="V279" s="25">
        <v>0</v>
      </c>
      <c r="W279" s="25">
        <v>0</v>
      </c>
      <c r="X279" s="25">
        <f t="shared" si="49"/>
        <v>3550</v>
      </c>
      <c r="Y279" s="12">
        <v>0</v>
      </c>
      <c r="Z279" s="25">
        <v>100</v>
      </c>
      <c r="AA279" s="25">
        <v>150</v>
      </c>
      <c r="AB279" s="25">
        <v>0</v>
      </c>
      <c r="AC279" s="25">
        <v>0</v>
      </c>
      <c r="AD279" s="25">
        <v>0</v>
      </c>
      <c r="AE279" s="25">
        <f t="shared" si="50"/>
        <v>416</v>
      </c>
      <c r="AF279" s="25">
        <f t="shared" si="51"/>
        <v>416</v>
      </c>
      <c r="AG279" s="25">
        <v>0</v>
      </c>
      <c r="AH279" s="25">
        <f t="shared" si="52"/>
        <v>6850</v>
      </c>
      <c r="AI279" s="25">
        <f t="shared" si="53"/>
        <v>95</v>
      </c>
      <c r="AJ279" s="25">
        <v>1</v>
      </c>
      <c r="AK279" s="25">
        <v>1000</v>
      </c>
      <c r="AL279" s="25">
        <v>100</v>
      </c>
      <c r="AM279" s="26">
        <v>10</v>
      </c>
      <c r="AN279" s="26">
        <v>10</v>
      </c>
      <c r="AO279" s="22" t="s">
        <v>2211</v>
      </c>
      <c r="AP279" s="26">
        <v>0</v>
      </c>
      <c r="AQ279" s="26">
        <f t="shared" si="54"/>
        <v>720</v>
      </c>
      <c r="AR279" s="18" t="str">
        <f ca="1">CONCATENATE(OFFSET(Sheet1!$A$2,RANDBETWEEN(2,500),0,1,1),OFFSET(Sheet1!$A$2,RANDBETWEEN(2,500),RANDBETWEEN(1,5),1,1))</f>
        <v>凯里</v>
      </c>
      <c r="AS279">
        <f>SUMPRODUCT(P279:AI279,Sheet2!$B$3:$U$3)</f>
        <v>343379</v>
      </c>
    </row>
    <row r="280" spans="1:45" x14ac:dyDescent="0.15">
      <c r="A280" s="23">
        <v>279</v>
      </c>
      <c r="B280" s="18" t="s">
        <v>918</v>
      </c>
      <c r="C280" s="18">
        <f t="shared" si="44"/>
        <v>208</v>
      </c>
      <c r="D280" s="19">
        <f t="shared" si="45"/>
        <v>3</v>
      </c>
      <c r="E280" s="19">
        <f>VLOOKUP(MOD(A280,4),各职业基础配置!C$32:D$35,2,FALSE)</f>
        <v>9</v>
      </c>
      <c r="F280" s="19">
        <f>IF(A280&lt;900,INDEX(各职业基础配置!C$23:C$28,MOD(ROW(A280),4)+1),0)</f>
        <v>8</v>
      </c>
      <c r="G280" s="19">
        <f t="shared" si="46"/>
        <v>82</v>
      </c>
      <c r="H280" s="27">
        <f t="shared" si="47"/>
        <v>2</v>
      </c>
      <c r="I280" s="6" t="s">
        <v>164</v>
      </c>
      <c r="J280" s="23" t="str">
        <f>VLOOKUP(E280,各职业基础配置!$B$9:$C$12,2,FALSE)</f>
        <v>116|117|118|4201|120</v>
      </c>
      <c r="K280" s="18" t="str">
        <f>VLOOKUP(E280,各职业基础配置!$B$15:$C$18,2,FALSE)</f>
        <v>28|29|30|31</v>
      </c>
      <c r="L280" s="18" t="str">
        <f>VLOOKUP(E280,各职业基础配置!B:C,2,FALSE)</f>
        <v>[{28,1,1},{29,1,1},{30,1,1},{31,1,1},{10,1,1},{11,1,1},{12,1,1}]</v>
      </c>
      <c r="M280" s="18">
        <v>0</v>
      </c>
      <c r="N280" s="18">
        <f t="shared" si="48"/>
        <v>3</v>
      </c>
      <c r="O280" s="18">
        <f>SUMPRODUCT(P280:AI280,Sheet2!$B$3:$U$3)</f>
        <v>343354</v>
      </c>
      <c r="P280" s="18">
        <f>CEILING(INDEX([1]系统模型!$VD:$VD,MATCH(C280,[1]系统模型!$A:$A,0))*POWER(C280/220,3.8)-50+(1000-A280),1)</f>
        <v>7135</v>
      </c>
      <c r="Q280" s="18">
        <f>CEILING(INDEX([1]系统模型!$VE:$VE,MATCH(C280,[1]系统模型!$A:$A,0))*POWER(C280/220,4),1)</f>
        <v>1212</v>
      </c>
      <c r="R280" s="18">
        <f>INT(INDEX([1]系统模型!$VF:$VF,MATCH(C280,[1]系统模型!$A:$A,0))*MAX(POWER(C280/180,4),0.5))</f>
        <v>71004</v>
      </c>
      <c r="S280" s="5">
        <v>1000</v>
      </c>
      <c r="T280" s="25">
        <v>0</v>
      </c>
      <c r="U280" s="25">
        <v>0</v>
      </c>
      <c r="V280" s="25">
        <v>0</v>
      </c>
      <c r="W280" s="25">
        <v>0</v>
      </c>
      <c r="X280" s="25">
        <f t="shared" si="49"/>
        <v>3550</v>
      </c>
      <c r="Y280" s="12">
        <v>0</v>
      </c>
      <c r="Z280" s="25">
        <v>100</v>
      </c>
      <c r="AA280" s="25">
        <v>150</v>
      </c>
      <c r="AB280" s="25">
        <v>0</v>
      </c>
      <c r="AC280" s="25">
        <v>0</v>
      </c>
      <c r="AD280" s="25">
        <v>0</v>
      </c>
      <c r="AE280" s="25">
        <f t="shared" si="50"/>
        <v>416</v>
      </c>
      <c r="AF280" s="25">
        <f t="shared" si="51"/>
        <v>416</v>
      </c>
      <c r="AG280" s="25">
        <v>0</v>
      </c>
      <c r="AH280" s="25">
        <f t="shared" si="52"/>
        <v>6850</v>
      </c>
      <c r="AI280" s="25">
        <f t="shared" si="53"/>
        <v>95</v>
      </c>
      <c r="AJ280" s="25">
        <v>1</v>
      </c>
      <c r="AK280" s="25">
        <v>1000</v>
      </c>
      <c r="AL280" s="25">
        <v>100</v>
      </c>
      <c r="AM280" s="26">
        <v>10</v>
      </c>
      <c r="AN280" s="26">
        <v>10</v>
      </c>
      <c r="AO280" s="22" t="s">
        <v>2211</v>
      </c>
      <c r="AP280" s="26">
        <v>0</v>
      </c>
      <c r="AQ280" s="26">
        <f t="shared" si="54"/>
        <v>720</v>
      </c>
      <c r="AR280" s="18" t="str">
        <f ca="1">CONCATENATE(OFFSET(Sheet1!$A$2,RANDBETWEEN(2,500),0,1,1),OFFSET(Sheet1!$A$2,RANDBETWEEN(2,500),RANDBETWEEN(1,5),1,1))</f>
        <v>哈珀</v>
      </c>
      <c r="AS280">
        <f>SUMPRODUCT(P280:AI280,Sheet2!$B$3:$U$3)</f>
        <v>343354</v>
      </c>
    </row>
    <row r="281" spans="1:45" x14ac:dyDescent="0.15">
      <c r="A281" s="18">
        <v>280</v>
      </c>
      <c r="B281" s="18" t="s">
        <v>1081</v>
      </c>
      <c r="C281" s="18">
        <f t="shared" si="44"/>
        <v>208</v>
      </c>
      <c r="D281" s="19">
        <f t="shared" si="45"/>
        <v>2</v>
      </c>
      <c r="E281" s="19">
        <f>VLOOKUP(MOD(A281,4),各职业基础配置!C$32:D$35,2,FALSE)</f>
        <v>1</v>
      </c>
      <c r="F281" s="19">
        <f>IF(A281&lt;900,INDEX(各职业基础配置!C$23:C$28,MOD(ROW(A281),4)+1),0)</f>
        <v>13</v>
      </c>
      <c r="G281" s="19">
        <f t="shared" si="46"/>
        <v>82</v>
      </c>
      <c r="H281" s="27">
        <f t="shared" si="47"/>
        <v>2</v>
      </c>
      <c r="I281" s="6" t="s">
        <v>164</v>
      </c>
      <c r="J281" s="23" t="str">
        <f>VLOOKUP(E281,各职业基础配置!$B$9:$C$12,2,FALSE)</f>
        <v>101|102|103|4201|105</v>
      </c>
      <c r="K281" s="18" t="str">
        <f>VLOOKUP(E281,各职业基础配置!$B$15:$C$18,2,FALSE)</f>
        <v>24|25|26|27</v>
      </c>
      <c r="L281" s="18" t="str">
        <f>VLOOKUP(E281,各职业基础配置!B:C,2,FALSE)</f>
        <v>[{24,1,1},{25,1,1},{26,1,1},{27,1,1},{1,1,1},{2,1,1},{3,1,1}]</v>
      </c>
      <c r="M281" s="18">
        <v>0</v>
      </c>
      <c r="N281" s="18">
        <f t="shared" si="48"/>
        <v>3</v>
      </c>
      <c r="O281" s="18">
        <f>SUMPRODUCT(P281:AI281,Sheet2!$B$3:$U$3)</f>
        <v>343329</v>
      </c>
      <c r="P281" s="18">
        <f>CEILING(INDEX([1]系统模型!$VD:$VD,MATCH(C281,[1]系统模型!$A:$A,0))*POWER(C281/220,3.8)-50+(1000-A281),1)</f>
        <v>7134</v>
      </c>
      <c r="Q281" s="18">
        <f>CEILING(INDEX([1]系统模型!$VE:$VE,MATCH(C281,[1]系统模型!$A:$A,0))*POWER(C281/220,4),1)</f>
        <v>1212</v>
      </c>
      <c r="R281" s="18">
        <f>INT(INDEX([1]系统模型!$VF:$VF,MATCH(C281,[1]系统模型!$A:$A,0))*MAX(POWER(C281/180,4),0.5))</f>
        <v>71004</v>
      </c>
      <c r="S281" s="5">
        <v>1000</v>
      </c>
      <c r="T281" s="25">
        <v>0</v>
      </c>
      <c r="U281" s="25">
        <v>0</v>
      </c>
      <c r="V281" s="25">
        <v>0</v>
      </c>
      <c r="W281" s="25">
        <v>0</v>
      </c>
      <c r="X281" s="25">
        <f t="shared" si="49"/>
        <v>3550</v>
      </c>
      <c r="Y281" s="12">
        <v>0</v>
      </c>
      <c r="Z281" s="25">
        <v>100</v>
      </c>
      <c r="AA281" s="25">
        <v>150</v>
      </c>
      <c r="AB281" s="25">
        <v>0</v>
      </c>
      <c r="AC281" s="25">
        <v>0</v>
      </c>
      <c r="AD281" s="25">
        <v>0</v>
      </c>
      <c r="AE281" s="25">
        <f t="shared" si="50"/>
        <v>416</v>
      </c>
      <c r="AF281" s="25">
        <f t="shared" si="51"/>
        <v>416</v>
      </c>
      <c r="AG281" s="25">
        <v>0</v>
      </c>
      <c r="AH281" s="25">
        <f t="shared" si="52"/>
        <v>6850</v>
      </c>
      <c r="AI281" s="25">
        <f t="shared" si="53"/>
        <v>95</v>
      </c>
      <c r="AJ281" s="25">
        <v>1</v>
      </c>
      <c r="AK281" s="25">
        <v>1000</v>
      </c>
      <c r="AL281" s="25">
        <v>100</v>
      </c>
      <c r="AM281" s="26">
        <v>10</v>
      </c>
      <c r="AN281" s="26">
        <v>10</v>
      </c>
      <c r="AO281" s="22" t="s">
        <v>2211</v>
      </c>
      <c r="AP281" s="26">
        <v>0</v>
      </c>
      <c r="AQ281" s="26">
        <f t="shared" si="54"/>
        <v>720</v>
      </c>
      <c r="AR281" s="18" t="str">
        <f ca="1">CONCATENATE(OFFSET(Sheet1!$A$2,RANDBETWEEN(2,500),0,1,1),OFFSET(Sheet1!$A$2,RANDBETWEEN(2,500),RANDBETWEEN(1,5),1,1))</f>
        <v>阿利克</v>
      </c>
      <c r="AS281">
        <f>SUMPRODUCT(P281:AI281,Sheet2!$B$3:$U$3)</f>
        <v>343329</v>
      </c>
    </row>
    <row r="282" spans="1:45" x14ac:dyDescent="0.15">
      <c r="A282" s="18">
        <v>281</v>
      </c>
      <c r="B282" s="18" t="s">
        <v>1365</v>
      </c>
      <c r="C282" s="18">
        <f t="shared" si="44"/>
        <v>208</v>
      </c>
      <c r="D282" s="19">
        <f t="shared" si="45"/>
        <v>3</v>
      </c>
      <c r="E282" s="19">
        <f>VLOOKUP(MOD(A282,4),各职业基础配置!C$32:D$35,2,FALSE)</f>
        <v>3</v>
      </c>
      <c r="F282" s="19">
        <f>IF(A282&lt;900,INDEX(各职业基础配置!C$23:C$28,MOD(ROW(A282),4)+1),0)</f>
        <v>14</v>
      </c>
      <c r="G282" s="19">
        <f t="shared" si="46"/>
        <v>82</v>
      </c>
      <c r="H282" s="27">
        <f t="shared" si="47"/>
        <v>2</v>
      </c>
      <c r="I282" s="6" t="s">
        <v>164</v>
      </c>
      <c r="J282" s="23" t="str">
        <f>VLOOKUP(E282,各职业基础配置!$B$9:$C$12,2,FALSE)</f>
        <v>106|107|108|4201|110</v>
      </c>
      <c r="K282" s="18" t="str">
        <f>VLOOKUP(E282,各职业基础配置!$B$15:$C$18,2,FALSE)</f>
        <v>20|21|22|23</v>
      </c>
      <c r="L282" s="18" t="str">
        <f>VLOOKUP(E282,各职业基础配置!B:C,2,FALSE)</f>
        <v>[{20,1,1},{21,1,1},{22,1,1},{23,1,1},{4,1,1},{5,1,1},{6,1,1}]</v>
      </c>
      <c r="M282" s="18">
        <v>0</v>
      </c>
      <c r="N282" s="18">
        <f t="shared" si="48"/>
        <v>7</v>
      </c>
      <c r="O282" s="18">
        <f>SUMPRODUCT(P282:AI282,Sheet2!$B$3:$U$3)</f>
        <v>343304</v>
      </c>
      <c r="P282" s="18">
        <f>CEILING(INDEX([1]系统模型!$VD:$VD,MATCH(C282,[1]系统模型!$A:$A,0))*POWER(C282/220,3.8)-50+(1000-A282),1)</f>
        <v>7133</v>
      </c>
      <c r="Q282" s="18">
        <f>CEILING(INDEX([1]系统模型!$VE:$VE,MATCH(C282,[1]系统模型!$A:$A,0))*POWER(C282/220,4),1)</f>
        <v>1212</v>
      </c>
      <c r="R282" s="18">
        <f>INT(INDEX([1]系统模型!$VF:$VF,MATCH(C282,[1]系统模型!$A:$A,0))*MAX(POWER(C282/180,4),0.5))</f>
        <v>71004</v>
      </c>
      <c r="S282" s="5">
        <v>1000</v>
      </c>
      <c r="T282" s="25">
        <v>0</v>
      </c>
      <c r="U282" s="25">
        <v>0</v>
      </c>
      <c r="V282" s="25">
        <v>0</v>
      </c>
      <c r="W282" s="25">
        <v>0</v>
      </c>
      <c r="X282" s="25">
        <f t="shared" si="49"/>
        <v>3550</v>
      </c>
      <c r="Y282" s="12">
        <v>0</v>
      </c>
      <c r="Z282" s="25">
        <v>100</v>
      </c>
      <c r="AA282" s="25">
        <v>150</v>
      </c>
      <c r="AB282" s="25">
        <v>0</v>
      </c>
      <c r="AC282" s="25">
        <v>0</v>
      </c>
      <c r="AD282" s="25">
        <v>0</v>
      </c>
      <c r="AE282" s="25">
        <f t="shared" si="50"/>
        <v>416</v>
      </c>
      <c r="AF282" s="25">
        <f t="shared" si="51"/>
        <v>416</v>
      </c>
      <c r="AG282" s="25">
        <v>0</v>
      </c>
      <c r="AH282" s="25">
        <f t="shared" si="52"/>
        <v>6850</v>
      </c>
      <c r="AI282" s="25">
        <f t="shared" si="53"/>
        <v>95</v>
      </c>
      <c r="AJ282" s="25">
        <v>1</v>
      </c>
      <c r="AK282" s="25">
        <v>1000</v>
      </c>
      <c r="AL282" s="25">
        <v>100</v>
      </c>
      <c r="AM282" s="26">
        <v>10</v>
      </c>
      <c r="AN282" s="26">
        <v>10</v>
      </c>
      <c r="AO282" s="22" t="s">
        <v>2211</v>
      </c>
      <c r="AP282" s="26">
        <v>0</v>
      </c>
      <c r="AQ282" s="26">
        <f t="shared" si="54"/>
        <v>720</v>
      </c>
      <c r="AR282" s="18" t="str">
        <f ca="1">CONCATENATE(OFFSET(Sheet1!$A$2,RANDBETWEEN(2,500),0,1,1),OFFSET(Sheet1!$A$2,RANDBETWEEN(2,500),RANDBETWEEN(1,5),1,1))</f>
        <v>哈里森艾德文娜</v>
      </c>
      <c r="AS282">
        <f>SUMPRODUCT(P282:AI282,Sheet2!$B$3:$U$3)</f>
        <v>343304</v>
      </c>
    </row>
    <row r="283" spans="1:45" x14ac:dyDescent="0.15">
      <c r="A283" s="23">
        <v>282</v>
      </c>
      <c r="B283" s="18" t="s">
        <v>1945</v>
      </c>
      <c r="C283" s="18">
        <f t="shared" si="44"/>
        <v>208</v>
      </c>
      <c r="D283" s="19">
        <f t="shared" si="45"/>
        <v>2</v>
      </c>
      <c r="E283" s="19">
        <f>VLOOKUP(MOD(A283,4),各职业基础配置!C$32:D$35,2,FALSE)</f>
        <v>6</v>
      </c>
      <c r="F283" s="19">
        <f>IF(A283&lt;900,INDEX(各职业基础配置!C$23:C$28,MOD(ROW(A283),4)+1),0)</f>
        <v>16</v>
      </c>
      <c r="G283" s="19">
        <f t="shared" si="46"/>
        <v>82</v>
      </c>
      <c r="H283" s="27">
        <f t="shared" si="47"/>
        <v>2</v>
      </c>
      <c r="I283" s="6" t="s">
        <v>164</v>
      </c>
      <c r="J283" s="23" t="str">
        <f>VLOOKUP(E283,各职业基础配置!$B$9:$C$12,2,FALSE)</f>
        <v>111|112|113|4201|115</v>
      </c>
      <c r="K283" s="18" t="str">
        <f>VLOOKUP(E283,各职业基础配置!$B$15:$C$18,2,FALSE)</f>
        <v>32|33|34</v>
      </c>
      <c r="L283" s="18" t="str">
        <f>VLOOKUP(E283,各职业基础配置!B:C,2,FALSE)</f>
        <v>[{32,1,1},{33,1,1},{34,1,1},{35,1,1},{7,1,1},{8,1,1},{9,1,1}]</v>
      </c>
      <c r="M283" s="18">
        <v>0</v>
      </c>
      <c r="N283" s="18">
        <f t="shared" si="48"/>
        <v>7</v>
      </c>
      <c r="O283" s="18">
        <f>SUMPRODUCT(P283:AI283,Sheet2!$B$3:$U$3)</f>
        <v>343279</v>
      </c>
      <c r="P283" s="18">
        <f>CEILING(INDEX([1]系统模型!$VD:$VD,MATCH(C283,[1]系统模型!$A:$A,0))*POWER(C283/220,3.8)-50+(1000-A283),1)</f>
        <v>7132</v>
      </c>
      <c r="Q283" s="18">
        <f>CEILING(INDEX([1]系统模型!$VE:$VE,MATCH(C283,[1]系统模型!$A:$A,0))*POWER(C283/220,4),1)</f>
        <v>1212</v>
      </c>
      <c r="R283" s="18">
        <f>INT(INDEX([1]系统模型!$VF:$VF,MATCH(C283,[1]系统模型!$A:$A,0))*MAX(POWER(C283/180,4),0.5))</f>
        <v>71004</v>
      </c>
      <c r="S283" s="5">
        <v>1000</v>
      </c>
      <c r="T283" s="25">
        <v>0</v>
      </c>
      <c r="U283" s="25">
        <v>0</v>
      </c>
      <c r="V283" s="25">
        <v>0</v>
      </c>
      <c r="W283" s="25">
        <v>0</v>
      </c>
      <c r="X283" s="25">
        <f t="shared" si="49"/>
        <v>3550</v>
      </c>
      <c r="Y283" s="12">
        <v>0</v>
      </c>
      <c r="Z283" s="25">
        <v>100</v>
      </c>
      <c r="AA283" s="25">
        <v>150</v>
      </c>
      <c r="AB283" s="25">
        <v>0</v>
      </c>
      <c r="AC283" s="25">
        <v>0</v>
      </c>
      <c r="AD283" s="25">
        <v>0</v>
      </c>
      <c r="AE283" s="25">
        <f t="shared" si="50"/>
        <v>416</v>
      </c>
      <c r="AF283" s="25">
        <f t="shared" si="51"/>
        <v>416</v>
      </c>
      <c r="AG283" s="25">
        <v>0</v>
      </c>
      <c r="AH283" s="25">
        <f t="shared" si="52"/>
        <v>6850</v>
      </c>
      <c r="AI283" s="25">
        <f t="shared" si="53"/>
        <v>95</v>
      </c>
      <c r="AJ283" s="25">
        <v>1</v>
      </c>
      <c r="AK283" s="25">
        <v>1000</v>
      </c>
      <c r="AL283" s="25">
        <v>100</v>
      </c>
      <c r="AM283" s="26">
        <v>10</v>
      </c>
      <c r="AN283" s="26">
        <v>10</v>
      </c>
      <c r="AO283" s="22" t="s">
        <v>2211</v>
      </c>
      <c r="AP283" s="26">
        <v>0</v>
      </c>
      <c r="AQ283" s="26">
        <f t="shared" si="54"/>
        <v>720</v>
      </c>
      <c r="AR283" s="18" t="str">
        <f ca="1">CONCATENATE(OFFSET(Sheet1!$A$2,RANDBETWEEN(2,500),0,1,1),OFFSET(Sheet1!$A$2,RANDBETWEEN(2,500),RANDBETWEEN(1,5),1,1))</f>
        <v>阿狄森玛格丽特</v>
      </c>
      <c r="AS283">
        <f>SUMPRODUCT(P283:AI283,Sheet2!$B$3:$U$3)</f>
        <v>343279</v>
      </c>
    </row>
    <row r="284" spans="1:45" x14ac:dyDescent="0.15">
      <c r="A284" s="18">
        <v>283</v>
      </c>
      <c r="B284" s="18" t="s">
        <v>1946</v>
      </c>
      <c r="C284" s="18">
        <f t="shared" si="44"/>
        <v>208</v>
      </c>
      <c r="D284" s="19">
        <f t="shared" si="45"/>
        <v>3</v>
      </c>
      <c r="E284" s="19">
        <f>VLOOKUP(MOD(A284,4),各职业基础配置!C$32:D$35,2,FALSE)</f>
        <v>9</v>
      </c>
      <c r="F284" s="19">
        <f>IF(A284&lt;900,INDEX(各职业基础配置!C$23:C$28,MOD(ROW(A284),4)+1),0)</f>
        <v>8</v>
      </c>
      <c r="G284" s="19">
        <f t="shared" si="46"/>
        <v>82</v>
      </c>
      <c r="H284" s="27">
        <f t="shared" si="47"/>
        <v>2</v>
      </c>
      <c r="I284" s="6" t="s">
        <v>164</v>
      </c>
      <c r="J284" s="23" t="str">
        <f>VLOOKUP(E284,各职业基础配置!$B$9:$C$12,2,FALSE)</f>
        <v>116|117|118|4201|120</v>
      </c>
      <c r="K284" s="18" t="str">
        <f>VLOOKUP(E284,各职业基础配置!$B$15:$C$18,2,FALSE)</f>
        <v>28|29|30|31</v>
      </c>
      <c r="L284" s="18" t="str">
        <f>VLOOKUP(E284,各职业基础配置!B:C,2,FALSE)</f>
        <v>[{28,1,1},{29,1,1},{30,1,1},{31,1,1},{10,1,1},{11,1,1},{12,1,1}]</v>
      </c>
      <c r="M284" s="18">
        <v>0</v>
      </c>
      <c r="N284" s="18">
        <f t="shared" si="48"/>
        <v>3</v>
      </c>
      <c r="O284" s="18">
        <f>SUMPRODUCT(P284:AI284,Sheet2!$B$3:$U$3)</f>
        <v>343254</v>
      </c>
      <c r="P284" s="18">
        <f>CEILING(INDEX([1]系统模型!$VD:$VD,MATCH(C284,[1]系统模型!$A:$A,0))*POWER(C284/220,3.8)-50+(1000-A284),1)</f>
        <v>7131</v>
      </c>
      <c r="Q284" s="18">
        <f>CEILING(INDEX([1]系统模型!$VE:$VE,MATCH(C284,[1]系统模型!$A:$A,0))*POWER(C284/220,4),1)</f>
        <v>1212</v>
      </c>
      <c r="R284" s="18">
        <f>INT(INDEX([1]系统模型!$VF:$VF,MATCH(C284,[1]系统模型!$A:$A,0))*MAX(POWER(C284/180,4),0.5))</f>
        <v>71004</v>
      </c>
      <c r="S284" s="5">
        <v>1000</v>
      </c>
      <c r="T284" s="25">
        <v>0</v>
      </c>
      <c r="U284" s="25">
        <v>0</v>
      </c>
      <c r="V284" s="25">
        <v>0</v>
      </c>
      <c r="W284" s="25">
        <v>0</v>
      </c>
      <c r="X284" s="25">
        <f t="shared" si="49"/>
        <v>3550</v>
      </c>
      <c r="Y284" s="12">
        <v>0</v>
      </c>
      <c r="Z284" s="25">
        <v>100</v>
      </c>
      <c r="AA284" s="25">
        <v>150</v>
      </c>
      <c r="AB284" s="25">
        <v>0</v>
      </c>
      <c r="AC284" s="25">
        <v>0</v>
      </c>
      <c r="AD284" s="25">
        <v>0</v>
      </c>
      <c r="AE284" s="25">
        <f t="shared" si="50"/>
        <v>416</v>
      </c>
      <c r="AF284" s="25">
        <f t="shared" si="51"/>
        <v>416</v>
      </c>
      <c r="AG284" s="25">
        <v>0</v>
      </c>
      <c r="AH284" s="25">
        <f t="shared" si="52"/>
        <v>6850</v>
      </c>
      <c r="AI284" s="25">
        <f t="shared" si="53"/>
        <v>95</v>
      </c>
      <c r="AJ284" s="25">
        <v>1</v>
      </c>
      <c r="AK284" s="25">
        <v>1000</v>
      </c>
      <c r="AL284" s="25">
        <v>100</v>
      </c>
      <c r="AM284" s="26">
        <v>10</v>
      </c>
      <c r="AN284" s="26">
        <v>10</v>
      </c>
      <c r="AO284" s="22" t="s">
        <v>2211</v>
      </c>
      <c r="AP284" s="26">
        <v>0</v>
      </c>
      <c r="AQ284" s="26">
        <f t="shared" si="54"/>
        <v>720</v>
      </c>
      <c r="AR284" s="18" t="str">
        <f ca="1">CONCATENATE(OFFSET(Sheet1!$A$2,RANDBETWEEN(2,500),0,1,1),OFFSET(Sheet1!$A$2,RANDBETWEEN(2,500),RANDBETWEEN(1,5),1,1))</f>
        <v>埃丝特</v>
      </c>
      <c r="AS284">
        <f>SUMPRODUCT(P284:AI284,Sheet2!$B$3:$U$3)</f>
        <v>343254</v>
      </c>
    </row>
    <row r="285" spans="1:45" x14ac:dyDescent="0.15">
      <c r="A285" s="18">
        <v>284</v>
      </c>
      <c r="B285" s="18" t="s">
        <v>244</v>
      </c>
      <c r="C285" s="18">
        <f t="shared" si="44"/>
        <v>207</v>
      </c>
      <c r="D285" s="19">
        <f t="shared" si="45"/>
        <v>2</v>
      </c>
      <c r="E285" s="19">
        <f>VLOOKUP(MOD(A285,4),各职业基础配置!C$32:D$35,2,FALSE)</f>
        <v>1</v>
      </c>
      <c r="F285" s="19">
        <f>IF(A285&lt;900,INDEX(各职业基础配置!C$23:C$28,MOD(ROW(A285),4)+1),0)</f>
        <v>13</v>
      </c>
      <c r="G285" s="19">
        <f t="shared" si="46"/>
        <v>80</v>
      </c>
      <c r="H285" s="27">
        <f t="shared" si="47"/>
        <v>2</v>
      </c>
      <c r="I285" s="6" t="s">
        <v>164</v>
      </c>
      <c r="J285" s="23" t="str">
        <f>VLOOKUP(E285,各职业基础配置!$B$9:$C$12,2,FALSE)</f>
        <v>101|102|103|4201|105</v>
      </c>
      <c r="K285" s="18" t="str">
        <f>VLOOKUP(E285,各职业基础配置!$B$15:$C$18,2,FALSE)</f>
        <v>24|25|26|27</v>
      </c>
      <c r="L285" s="18" t="str">
        <f>VLOOKUP(E285,各职业基础配置!B:C,2,FALSE)</f>
        <v>[{24,1,1},{25,1,1},{26,1,1},{27,1,1},{1,1,1},{2,1,1},{3,1,1}]</v>
      </c>
      <c r="M285" s="18">
        <v>0</v>
      </c>
      <c r="N285" s="18">
        <f t="shared" si="48"/>
        <v>3</v>
      </c>
      <c r="O285" s="18">
        <f>SUMPRODUCT(P285:AI285,Sheet2!$B$3:$U$3)</f>
        <v>335437</v>
      </c>
      <c r="P285" s="18">
        <f>CEILING(INDEX([1]系统模型!$VD:$VD,MATCH(C285,[1]系统模型!$A:$A,0))*POWER(C285/220,3.8)-50+(1000-A285),1)</f>
        <v>6948</v>
      </c>
      <c r="Q285" s="18">
        <f>CEILING(INDEX([1]系统模型!$VE:$VE,MATCH(C285,[1]系统模型!$A:$A,0))*POWER(C285/220,4),1)</f>
        <v>1177</v>
      </c>
      <c r="R285" s="18">
        <f>INT(INDEX([1]系统模型!$VF:$VF,MATCH(C285,[1]系统模型!$A:$A,0))*MAX(POWER(C285/180,4),0.5))</f>
        <v>69187</v>
      </c>
      <c r="S285" s="5">
        <v>1000</v>
      </c>
      <c r="T285" s="25">
        <v>0</v>
      </c>
      <c r="U285" s="25">
        <v>0</v>
      </c>
      <c r="V285" s="25">
        <v>0</v>
      </c>
      <c r="W285" s="25">
        <v>0</v>
      </c>
      <c r="X285" s="25">
        <f t="shared" si="49"/>
        <v>3459</v>
      </c>
      <c r="Y285" s="12">
        <v>0</v>
      </c>
      <c r="Z285" s="25">
        <v>100</v>
      </c>
      <c r="AA285" s="25">
        <v>150</v>
      </c>
      <c r="AB285" s="25">
        <v>0</v>
      </c>
      <c r="AC285" s="25">
        <v>0</v>
      </c>
      <c r="AD285" s="25">
        <v>0</v>
      </c>
      <c r="AE285" s="25">
        <f t="shared" si="50"/>
        <v>414</v>
      </c>
      <c r="AF285" s="25">
        <f t="shared" si="51"/>
        <v>414</v>
      </c>
      <c r="AG285" s="25">
        <v>0</v>
      </c>
      <c r="AH285" s="25">
        <f t="shared" si="52"/>
        <v>6775</v>
      </c>
      <c r="AI285" s="25">
        <f t="shared" si="53"/>
        <v>92</v>
      </c>
      <c r="AJ285" s="25">
        <v>1</v>
      </c>
      <c r="AK285" s="25">
        <v>1000</v>
      </c>
      <c r="AL285" s="25">
        <v>100</v>
      </c>
      <c r="AM285" s="26">
        <v>10</v>
      </c>
      <c r="AN285" s="26">
        <v>10</v>
      </c>
      <c r="AO285" s="22" t="s">
        <v>2211</v>
      </c>
      <c r="AP285" s="26">
        <v>0</v>
      </c>
      <c r="AQ285" s="26">
        <f t="shared" si="54"/>
        <v>720</v>
      </c>
      <c r="AR285" s="18" t="str">
        <f ca="1">CONCATENATE(OFFSET(Sheet1!$A$2,RANDBETWEEN(2,500),0,1,1),OFFSET(Sheet1!$A$2,RANDBETWEEN(2,500),RANDBETWEEN(1,5),1,1))</f>
        <v>布鲁斯</v>
      </c>
      <c r="AS285">
        <f>SUMPRODUCT(P285:AI285,Sheet2!$B$3:$U$3)</f>
        <v>335437</v>
      </c>
    </row>
    <row r="286" spans="1:45" x14ac:dyDescent="0.15">
      <c r="A286" s="23">
        <v>285</v>
      </c>
      <c r="B286" s="18" t="s">
        <v>1204</v>
      </c>
      <c r="C286" s="18">
        <f t="shared" si="44"/>
        <v>207</v>
      </c>
      <c r="D286" s="19">
        <f t="shared" si="45"/>
        <v>3</v>
      </c>
      <c r="E286" s="19">
        <f>VLOOKUP(MOD(A286,4),各职业基础配置!C$32:D$35,2,FALSE)</f>
        <v>3</v>
      </c>
      <c r="F286" s="19">
        <f>IF(A286&lt;900,INDEX(各职业基础配置!C$23:C$28,MOD(ROW(A286),4)+1),0)</f>
        <v>14</v>
      </c>
      <c r="G286" s="19">
        <f t="shared" si="46"/>
        <v>80</v>
      </c>
      <c r="H286" s="27">
        <f t="shared" si="47"/>
        <v>2</v>
      </c>
      <c r="I286" s="6" t="s">
        <v>164</v>
      </c>
      <c r="J286" s="23" t="str">
        <f>VLOOKUP(E286,各职业基础配置!$B$9:$C$12,2,FALSE)</f>
        <v>106|107|108|4201|110</v>
      </c>
      <c r="K286" s="18" t="str">
        <f>VLOOKUP(E286,各职业基础配置!$B$15:$C$18,2,FALSE)</f>
        <v>20|21|22|23</v>
      </c>
      <c r="L286" s="18" t="str">
        <f>VLOOKUP(E286,各职业基础配置!B:C,2,FALSE)</f>
        <v>[{20,1,1},{21,1,1},{22,1,1},{23,1,1},{4,1,1},{5,1,1},{6,1,1}]</v>
      </c>
      <c r="M286" s="18">
        <v>0</v>
      </c>
      <c r="N286" s="18">
        <f t="shared" si="48"/>
        <v>7</v>
      </c>
      <c r="O286" s="18">
        <f>SUMPRODUCT(P286:AI286,Sheet2!$B$3:$U$3)</f>
        <v>335412</v>
      </c>
      <c r="P286" s="18">
        <f>CEILING(INDEX([1]系统模型!$VD:$VD,MATCH(C286,[1]系统模型!$A:$A,0))*POWER(C286/220,3.8)-50+(1000-A286),1)</f>
        <v>6947</v>
      </c>
      <c r="Q286" s="18">
        <f>CEILING(INDEX([1]系统模型!$VE:$VE,MATCH(C286,[1]系统模型!$A:$A,0))*POWER(C286/220,4),1)</f>
        <v>1177</v>
      </c>
      <c r="R286" s="18">
        <f>INT(INDEX([1]系统模型!$VF:$VF,MATCH(C286,[1]系统模型!$A:$A,0))*MAX(POWER(C286/180,4),0.5))</f>
        <v>69187</v>
      </c>
      <c r="S286" s="5">
        <v>1000</v>
      </c>
      <c r="T286" s="25">
        <v>0</v>
      </c>
      <c r="U286" s="25">
        <v>0</v>
      </c>
      <c r="V286" s="25">
        <v>0</v>
      </c>
      <c r="W286" s="25">
        <v>0</v>
      </c>
      <c r="X286" s="25">
        <f t="shared" si="49"/>
        <v>3459</v>
      </c>
      <c r="Y286" s="12">
        <v>0</v>
      </c>
      <c r="Z286" s="25">
        <v>100</v>
      </c>
      <c r="AA286" s="25">
        <v>150</v>
      </c>
      <c r="AB286" s="25">
        <v>0</v>
      </c>
      <c r="AC286" s="25">
        <v>0</v>
      </c>
      <c r="AD286" s="25">
        <v>0</v>
      </c>
      <c r="AE286" s="25">
        <f t="shared" si="50"/>
        <v>414</v>
      </c>
      <c r="AF286" s="25">
        <f t="shared" si="51"/>
        <v>414</v>
      </c>
      <c r="AG286" s="25">
        <v>0</v>
      </c>
      <c r="AH286" s="25">
        <f t="shared" si="52"/>
        <v>6775</v>
      </c>
      <c r="AI286" s="25">
        <f t="shared" si="53"/>
        <v>92</v>
      </c>
      <c r="AJ286" s="25">
        <v>1</v>
      </c>
      <c r="AK286" s="25">
        <v>1000</v>
      </c>
      <c r="AL286" s="25">
        <v>100</v>
      </c>
      <c r="AM286" s="26">
        <v>10</v>
      </c>
      <c r="AN286" s="26">
        <v>10</v>
      </c>
      <c r="AO286" s="22" t="s">
        <v>2211</v>
      </c>
      <c r="AP286" s="26">
        <v>0</v>
      </c>
      <c r="AQ286" s="26">
        <f t="shared" si="54"/>
        <v>710</v>
      </c>
      <c r="AR286" s="18" t="str">
        <f ca="1">CONCATENATE(OFFSET(Sheet1!$A$2,RANDBETWEEN(2,500),0,1,1),OFFSET(Sheet1!$A$2,RANDBETWEEN(2,500),RANDBETWEEN(1,5),1,1))</f>
        <v>昆西</v>
      </c>
      <c r="AS286">
        <f>SUMPRODUCT(P286:AI286,Sheet2!$B$3:$U$3)</f>
        <v>335412</v>
      </c>
    </row>
    <row r="287" spans="1:45" x14ac:dyDescent="0.15">
      <c r="A287" s="18">
        <v>286</v>
      </c>
      <c r="B287" s="18" t="s">
        <v>1947</v>
      </c>
      <c r="C287" s="18">
        <f t="shared" si="44"/>
        <v>207</v>
      </c>
      <c r="D287" s="19">
        <f t="shared" si="45"/>
        <v>2</v>
      </c>
      <c r="E287" s="19">
        <f>VLOOKUP(MOD(A287,4),各职业基础配置!C$32:D$35,2,FALSE)</f>
        <v>6</v>
      </c>
      <c r="F287" s="19">
        <f>IF(A287&lt;900,INDEX(各职业基础配置!C$23:C$28,MOD(ROW(A287),4)+1),0)</f>
        <v>16</v>
      </c>
      <c r="G287" s="19">
        <f t="shared" si="46"/>
        <v>80</v>
      </c>
      <c r="H287" s="27">
        <f t="shared" si="47"/>
        <v>2</v>
      </c>
      <c r="I287" s="6" t="s">
        <v>164</v>
      </c>
      <c r="J287" s="23" t="str">
        <f>VLOOKUP(E287,各职业基础配置!$B$9:$C$12,2,FALSE)</f>
        <v>111|112|113|4201|115</v>
      </c>
      <c r="K287" s="18" t="str">
        <f>VLOOKUP(E287,各职业基础配置!$B$15:$C$18,2,FALSE)</f>
        <v>32|33|34</v>
      </c>
      <c r="L287" s="18" t="str">
        <f>VLOOKUP(E287,各职业基础配置!B:C,2,FALSE)</f>
        <v>[{32,1,1},{33,1,1},{34,1,1},{35,1,1},{7,1,1},{8,1,1},{9,1,1}]</v>
      </c>
      <c r="M287" s="18">
        <v>0</v>
      </c>
      <c r="N287" s="18">
        <f t="shared" si="48"/>
        <v>7</v>
      </c>
      <c r="O287" s="18">
        <f>SUMPRODUCT(P287:AI287,Sheet2!$B$3:$U$3)</f>
        <v>335387</v>
      </c>
      <c r="P287" s="18">
        <f>CEILING(INDEX([1]系统模型!$VD:$VD,MATCH(C287,[1]系统模型!$A:$A,0))*POWER(C287/220,3.8)-50+(1000-A287),1)</f>
        <v>6946</v>
      </c>
      <c r="Q287" s="18">
        <f>CEILING(INDEX([1]系统模型!$VE:$VE,MATCH(C287,[1]系统模型!$A:$A,0))*POWER(C287/220,4),1)</f>
        <v>1177</v>
      </c>
      <c r="R287" s="18">
        <f>INT(INDEX([1]系统模型!$VF:$VF,MATCH(C287,[1]系统模型!$A:$A,0))*MAX(POWER(C287/180,4),0.5))</f>
        <v>69187</v>
      </c>
      <c r="S287" s="5">
        <v>1000</v>
      </c>
      <c r="T287" s="25">
        <v>0</v>
      </c>
      <c r="U287" s="25">
        <v>0</v>
      </c>
      <c r="V287" s="25">
        <v>0</v>
      </c>
      <c r="W287" s="25">
        <v>0</v>
      </c>
      <c r="X287" s="25">
        <f t="shared" si="49"/>
        <v>3459</v>
      </c>
      <c r="Y287" s="12">
        <v>0</v>
      </c>
      <c r="Z287" s="25">
        <v>100</v>
      </c>
      <c r="AA287" s="25">
        <v>150</v>
      </c>
      <c r="AB287" s="25">
        <v>0</v>
      </c>
      <c r="AC287" s="25">
        <v>0</v>
      </c>
      <c r="AD287" s="25">
        <v>0</v>
      </c>
      <c r="AE287" s="25">
        <f t="shared" si="50"/>
        <v>414</v>
      </c>
      <c r="AF287" s="25">
        <f t="shared" si="51"/>
        <v>414</v>
      </c>
      <c r="AG287" s="25">
        <v>0</v>
      </c>
      <c r="AH287" s="25">
        <f t="shared" si="52"/>
        <v>6775</v>
      </c>
      <c r="AI287" s="25">
        <f t="shared" si="53"/>
        <v>92</v>
      </c>
      <c r="AJ287" s="25">
        <v>1</v>
      </c>
      <c r="AK287" s="25">
        <v>1000</v>
      </c>
      <c r="AL287" s="25">
        <v>100</v>
      </c>
      <c r="AM287" s="26">
        <v>10</v>
      </c>
      <c r="AN287" s="26">
        <v>10</v>
      </c>
      <c r="AO287" s="22" t="s">
        <v>2211</v>
      </c>
      <c r="AP287" s="26">
        <v>0</v>
      </c>
      <c r="AQ287" s="26">
        <f t="shared" si="54"/>
        <v>710</v>
      </c>
      <c r="AR287" s="18" t="str">
        <f ca="1">CONCATENATE(OFFSET(Sheet1!$A$2,RANDBETWEEN(2,500),0,1,1),OFFSET(Sheet1!$A$2,RANDBETWEEN(2,500),RANDBETWEEN(1,5),1,1))</f>
        <v>贝基迪得莉</v>
      </c>
      <c r="AS287">
        <f>SUMPRODUCT(P287:AI287,Sheet2!$B$3:$U$3)</f>
        <v>335387</v>
      </c>
    </row>
    <row r="288" spans="1:45" x14ac:dyDescent="0.15">
      <c r="A288" s="18">
        <v>287</v>
      </c>
      <c r="B288" s="18" t="s">
        <v>1948</v>
      </c>
      <c r="C288" s="18">
        <f t="shared" si="44"/>
        <v>207</v>
      </c>
      <c r="D288" s="19">
        <f t="shared" si="45"/>
        <v>3</v>
      </c>
      <c r="E288" s="19">
        <f>VLOOKUP(MOD(A288,4),各职业基础配置!C$32:D$35,2,FALSE)</f>
        <v>9</v>
      </c>
      <c r="F288" s="19">
        <f>IF(A288&lt;900,INDEX(各职业基础配置!C$23:C$28,MOD(ROW(A288),4)+1),0)</f>
        <v>8</v>
      </c>
      <c r="G288" s="19">
        <f t="shared" si="46"/>
        <v>80</v>
      </c>
      <c r="H288" s="27">
        <f t="shared" si="47"/>
        <v>2</v>
      </c>
      <c r="I288" s="6" t="s">
        <v>164</v>
      </c>
      <c r="J288" s="23" t="str">
        <f>VLOOKUP(E288,各职业基础配置!$B$9:$C$12,2,FALSE)</f>
        <v>116|117|118|4201|120</v>
      </c>
      <c r="K288" s="18" t="str">
        <f>VLOOKUP(E288,各职业基础配置!$B$15:$C$18,2,FALSE)</f>
        <v>28|29|30|31</v>
      </c>
      <c r="L288" s="18" t="str">
        <f>VLOOKUP(E288,各职业基础配置!B:C,2,FALSE)</f>
        <v>[{28,1,1},{29,1,1},{30,1,1},{31,1,1},{10,1,1},{11,1,1},{12,1,1}]</v>
      </c>
      <c r="M288" s="18">
        <v>0</v>
      </c>
      <c r="N288" s="18">
        <f t="shared" si="48"/>
        <v>3</v>
      </c>
      <c r="O288" s="18">
        <f>SUMPRODUCT(P288:AI288,Sheet2!$B$3:$U$3)</f>
        <v>335362</v>
      </c>
      <c r="P288" s="18">
        <f>CEILING(INDEX([1]系统模型!$VD:$VD,MATCH(C288,[1]系统模型!$A:$A,0))*POWER(C288/220,3.8)-50+(1000-A288),1)</f>
        <v>6945</v>
      </c>
      <c r="Q288" s="18">
        <f>CEILING(INDEX([1]系统模型!$VE:$VE,MATCH(C288,[1]系统模型!$A:$A,0))*POWER(C288/220,4),1)</f>
        <v>1177</v>
      </c>
      <c r="R288" s="18">
        <f>INT(INDEX([1]系统模型!$VF:$VF,MATCH(C288,[1]系统模型!$A:$A,0))*MAX(POWER(C288/180,4),0.5))</f>
        <v>69187</v>
      </c>
      <c r="S288" s="5">
        <v>1000</v>
      </c>
      <c r="T288" s="25">
        <v>0</v>
      </c>
      <c r="U288" s="25">
        <v>0</v>
      </c>
      <c r="V288" s="25">
        <v>0</v>
      </c>
      <c r="W288" s="25">
        <v>0</v>
      </c>
      <c r="X288" s="25">
        <f t="shared" si="49"/>
        <v>3459</v>
      </c>
      <c r="Y288" s="12">
        <v>0</v>
      </c>
      <c r="Z288" s="25">
        <v>100</v>
      </c>
      <c r="AA288" s="25">
        <v>150</v>
      </c>
      <c r="AB288" s="25">
        <v>0</v>
      </c>
      <c r="AC288" s="25">
        <v>0</v>
      </c>
      <c r="AD288" s="25">
        <v>0</v>
      </c>
      <c r="AE288" s="25">
        <f t="shared" si="50"/>
        <v>414</v>
      </c>
      <c r="AF288" s="25">
        <f t="shared" si="51"/>
        <v>414</v>
      </c>
      <c r="AG288" s="25">
        <v>0</v>
      </c>
      <c r="AH288" s="25">
        <f t="shared" si="52"/>
        <v>6775</v>
      </c>
      <c r="AI288" s="25">
        <f t="shared" si="53"/>
        <v>92</v>
      </c>
      <c r="AJ288" s="25">
        <v>1</v>
      </c>
      <c r="AK288" s="25">
        <v>1000</v>
      </c>
      <c r="AL288" s="25">
        <v>100</v>
      </c>
      <c r="AM288" s="26">
        <v>10</v>
      </c>
      <c r="AN288" s="26">
        <v>10</v>
      </c>
      <c r="AO288" s="22" t="s">
        <v>2211</v>
      </c>
      <c r="AP288" s="26">
        <v>0</v>
      </c>
      <c r="AQ288" s="26">
        <f t="shared" si="54"/>
        <v>710</v>
      </c>
      <c r="AR288" s="18" t="str">
        <f ca="1">CONCATENATE(OFFSET(Sheet1!$A$2,RANDBETWEEN(2,500),0,1,1),OFFSET(Sheet1!$A$2,RANDBETWEEN(2,500),RANDBETWEEN(1,5),1,1))</f>
        <v>巴特利特羊羊</v>
      </c>
      <c r="AS288">
        <f>SUMPRODUCT(P288:AI288,Sheet2!$B$3:$U$3)</f>
        <v>335362</v>
      </c>
    </row>
    <row r="289" spans="1:45" x14ac:dyDescent="0.15">
      <c r="A289" s="23">
        <v>288</v>
      </c>
      <c r="B289" s="18" t="s">
        <v>459</v>
      </c>
      <c r="C289" s="18">
        <f t="shared" si="44"/>
        <v>207</v>
      </c>
      <c r="D289" s="19">
        <f t="shared" si="45"/>
        <v>2</v>
      </c>
      <c r="E289" s="19">
        <f>VLOOKUP(MOD(A289,4),各职业基础配置!C$32:D$35,2,FALSE)</f>
        <v>1</v>
      </c>
      <c r="F289" s="19">
        <f>IF(A289&lt;900,INDEX(各职业基础配置!C$23:C$28,MOD(ROW(A289),4)+1),0)</f>
        <v>13</v>
      </c>
      <c r="G289" s="19">
        <f t="shared" si="46"/>
        <v>80</v>
      </c>
      <c r="H289" s="27">
        <f t="shared" si="47"/>
        <v>2</v>
      </c>
      <c r="I289" s="6" t="s">
        <v>164</v>
      </c>
      <c r="J289" s="23" t="str">
        <f>VLOOKUP(E289,各职业基础配置!$B$9:$C$12,2,FALSE)</f>
        <v>101|102|103|4201|105</v>
      </c>
      <c r="K289" s="18" t="str">
        <f>VLOOKUP(E289,各职业基础配置!$B$15:$C$18,2,FALSE)</f>
        <v>24|25|26|27</v>
      </c>
      <c r="L289" s="18" t="str">
        <f>VLOOKUP(E289,各职业基础配置!B:C,2,FALSE)</f>
        <v>[{24,1,1},{25,1,1},{26,1,1},{27,1,1},{1,1,1},{2,1,1},{3,1,1}]</v>
      </c>
      <c r="M289" s="18">
        <v>0</v>
      </c>
      <c r="N289" s="18">
        <f t="shared" si="48"/>
        <v>3</v>
      </c>
      <c r="O289" s="18">
        <f>SUMPRODUCT(P289:AI289,Sheet2!$B$3:$U$3)</f>
        <v>335337</v>
      </c>
      <c r="P289" s="18">
        <f>CEILING(INDEX([1]系统模型!$VD:$VD,MATCH(C289,[1]系统模型!$A:$A,0))*POWER(C289/220,3.8)-50+(1000-A289),1)</f>
        <v>6944</v>
      </c>
      <c r="Q289" s="18">
        <f>CEILING(INDEX([1]系统模型!$VE:$VE,MATCH(C289,[1]系统模型!$A:$A,0))*POWER(C289/220,4),1)</f>
        <v>1177</v>
      </c>
      <c r="R289" s="18">
        <f>INT(INDEX([1]系统模型!$VF:$VF,MATCH(C289,[1]系统模型!$A:$A,0))*MAX(POWER(C289/180,4),0.5))</f>
        <v>69187</v>
      </c>
      <c r="S289" s="5">
        <v>1000</v>
      </c>
      <c r="T289" s="25">
        <v>0</v>
      </c>
      <c r="U289" s="25">
        <v>0</v>
      </c>
      <c r="V289" s="25">
        <v>0</v>
      </c>
      <c r="W289" s="25">
        <v>0</v>
      </c>
      <c r="X289" s="25">
        <f t="shared" si="49"/>
        <v>3459</v>
      </c>
      <c r="Y289" s="12">
        <v>0</v>
      </c>
      <c r="Z289" s="25">
        <v>100</v>
      </c>
      <c r="AA289" s="25">
        <v>150</v>
      </c>
      <c r="AB289" s="25">
        <v>0</v>
      </c>
      <c r="AC289" s="25">
        <v>0</v>
      </c>
      <c r="AD289" s="25">
        <v>0</v>
      </c>
      <c r="AE289" s="25">
        <f t="shared" si="50"/>
        <v>414</v>
      </c>
      <c r="AF289" s="25">
        <f t="shared" si="51"/>
        <v>414</v>
      </c>
      <c r="AG289" s="25">
        <v>0</v>
      </c>
      <c r="AH289" s="25">
        <f t="shared" si="52"/>
        <v>6775</v>
      </c>
      <c r="AI289" s="25">
        <f t="shared" si="53"/>
        <v>92</v>
      </c>
      <c r="AJ289" s="25">
        <v>1</v>
      </c>
      <c r="AK289" s="25">
        <v>1000</v>
      </c>
      <c r="AL289" s="25">
        <v>100</v>
      </c>
      <c r="AM289" s="26">
        <v>10</v>
      </c>
      <c r="AN289" s="26">
        <v>10</v>
      </c>
      <c r="AO289" s="22" t="s">
        <v>2211</v>
      </c>
      <c r="AP289" s="26">
        <v>0</v>
      </c>
      <c r="AQ289" s="26">
        <f t="shared" si="54"/>
        <v>710</v>
      </c>
      <c r="AR289" s="18" t="str">
        <f ca="1">CONCATENATE(OFFSET(Sheet1!$A$2,RANDBETWEEN(2,500),0,1,1),OFFSET(Sheet1!$A$2,RANDBETWEEN(2,500),RANDBETWEEN(1,5),1,1))</f>
        <v>阿德莱德贝拉</v>
      </c>
      <c r="AS289">
        <f>SUMPRODUCT(P289:AI289,Sheet2!$B$3:$U$3)</f>
        <v>335337</v>
      </c>
    </row>
    <row r="290" spans="1:45" x14ac:dyDescent="0.15">
      <c r="A290" s="18">
        <v>289</v>
      </c>
      <c r="B290" s="18" t="s">
        <v>1949</v>
      </c>
      <c r="C290" s="18">
        <f t="shared" si="44"/>
        <v>207</v>
      </c>
      <c r="D290" s="19">
        <f t="shared" si="45"/>
        <v>3</v>
      </c>
      <c r="E290" s="19">
        <f>VLOOKUP(MOD(A290,4),各职业基础配置!C$32:D$35,2,FALSE)</f>
        <v>3</v>
      </c>
      <c r="F290" s="19">
        <f>IF(A290&lt;900,INDEX(各职业基础配置!C$23:C$28,MOD(ROW(A290),4)+1),0)</f>
        <v>14</v>
      </c>
      <c r="G290" s="19">
        <f t="shared" si="46"/>
        <v>80</v>
      </c>
      <c r="H290" s="27">
        <f t="shared" si="47"/>
        <v>2</v>
      </c>
      <c r="I290" s="6" t="s">
        <v>164</v>
      </c>
      <c r="J290" s="23" t="str">
        <f>VLOOKUP(E290,各职业基础配置!$B$9:$C$12,2,FALSE)</f>
        <v>106|107|108|4201|110</v>
      </c>
      <c r="K290" s="18" t="str">
        <f>VLOOKUP(E290,各职业基础配置!$B$15:$C$18,2,FALSE)</f>
        <v>20|21|22|23</v>
      </c>
      <c r="L290" s="18" t="str">
        <f>VLOOKUP(E290,各职业基础配置!B:C,2,FALSE)</f>
        <v>[{20,1,1},{21,1,1},{22,1,1},{23,1,1},{4,1,1},{5,1,1},{6,1,1}]</v>
      </c>
      <c r="M290" s="18">
        <v>0</v>
      </c>
      <c r="N290" s="18">
        <f t="shared" si="48"/>
        <v>7</v>
      </c>
      <c r="O290" s="18">
        <f>SUMPRODUCT(P290:AI290,Sheet2!$B$3:$U$3)</f>
        <v>335312</v>
      </c>
      <c r="P290" s="18">
        <f>CEILING(INDEX([1]系统模型!$VD:$VD,MATCH(C290,[1]系统模型!$A:$A,0))*POWER(C290/220,3.8)-50+(1000-A290),1)</f>
        <v>6943</v>
      </c>
      <c r="Q290" s="18">
        <f>CEILING(INDEX([1]系统模型!$VE:$VE,MATCH(C290,[1]系统模型!$A:$A,0))*POWER(C290/220,4),1)</f>
        <v>1177</v>
      </c>
      <c r="R290" s="18">
        <f>INT(INDEX([1]系统模型!$VF:$VF,MATCH(C290,[1]系统模型!$A:$A,0))*MAX(POWER(C290/180,4),0.5))</f>
        <v>69187</v>
      </c>
      <c r="S290" s="5">
        <v>1000</v>
      </c>
      <c r="T290" s="25">
        <v>0</v>
      </c>
      <c r="U290" s="25">
        <v>0</v>
      </c>
      <c r="V290" s="25">
        <v>0</v>
      </c>
      <c r="W290" s="25">
        <v>0</v>
      </c>
      <c r="X290" s="25">
        <f t="shared" si="49"/>
        <v>3459</v>
      </c>
      <c r="Y290" s="12">
        <v>0</v>
      </c>
      <c r="Z290" s="25">
        <v>100</v>
      </c>
      <c r="AA290" s="25">
        <v>150</v>
      </c>
      <c r="AB290" s="25">
        <v>0</v>
      </c>
      <c r="AC290" s="25">
        <v>0</v>
      </c>
      <c r="AD290" s="25">
        <v>0</v>
      </c>
      <c r="AE290" s="25">
        <f t="shared" si="50"/>
        <v>414</v>
      </c>
      <c r="AF290" s="25">
        <f t="shared" si="51"/>
        <v>414</v>
      </c>
      <c r="AG290" s="25">
        <v>0</v>
      </c>
      <c r="AH290" s="25">
        <f t="shared" si="52"/>
        <v>6775</v>
      </c>
      <c r="AI290" s="25">
        <f t="shared" si="53"/>
        <v>92</v>
      </c>
      <c r="AJ290" s="25">
        <v>1</v>
      </c>
      <c r="AK290" s="25">
        <v>1000</v>
      </c>
      <c r="AL290" s="25">
        <v>100</v>
      </c>
      <c r="AM290" s="26">
        <v>10</v>
      </c>
      <c r="AN290" s="26">
        <v>10</v>
      </c>
      <c r="AO290" s="22" t="s">
        <v>2211</v>
      </c>
      <c r="AP290" s="26">
        <v>0</v>
      </c>
      <c r="AQ290" s="26">
        <f t="shared" si="54"/>
        <v>710</v>
      </c>
      <c r="AR290" s="18" t="str">
        <f ca="1">CONCATENATE(OFFSET(Sheet1!$A$2,RANDBETWEEN(2,500),0,1,1),OFFSET(Sheet1!$A$2,RANDBETWEEN(2,500),RANDBETWEEN(1,5),1,1))</f>
        <v>杰里米汉妮</v>
      </c>
      <c r="AS290">
        <f>SUMPRODUCT(P290:AI290,Sheet2!$B$3:$U$3)</f>
        <v>335312</v>
      </c>
    </row>
    <row r="291" spans="1:45" x14ac:dyDescent="0.15">
      <c r="A291" s="18">
        <v>290</v>
      </c>
      <c r="B291" s="18" t="s">
        <v>1950</v>
      </c>
      <c r="C291" s="18">
        <f t="shared" si="44"/>
        <v>207</v>
      </c>
      <c r="D291" s="19">
        <f t="shared" si="45"/>
        <v>2</v>
      </c>
      <c r="E291" s="19">
        <f>VLOOKUP(MOD(A291,4),各职业基础配置!C$32:D$35,2,FALSE)</f>
        <v>6</v>
      </c>
      <c r="F291" s="19">
        <f>IF(A291&lt;900,INDEX(各职业基础配置!C$23:C$28,MOD(ROW(A291),4)+1),0)</f>
        <v>16</v>
      </c>
      <c r="G291" s="19">
        <f t="shared" si="46"/>
        <v>80</v>
      </c>
      <c r="H291" s="27">
        <f t="shared" si="47"/>
        <v>2</v>
      </c>
      <c r="I291" s="6" t="s">
        <v>164</v>
      </c>
      <c r="J291" s="23" t="str">
        <f>VLOOKUP(E291,各职业基础配置!$B$9:$C$12,2,FALSE)</f>
        <v>111|112|113|4201|115</v>
      </c>
      <c r="K291" s="18" t="str">
        <f>VLOOKUP(E291,各职业基础配置!$B$15:$C$18,2,FALSE)</f>
        <v>32|33|34</v>
      </c>
      <c r="L291" s="18" t="str">
        <f>VLOOKUP(E291,各职业基础配置!B:C,2,FALSE)</f>
        <v>[{32,1,1},{33,1,1},{34,1,1},{35,1,1},{7,1,1},{8,1,1},{9,1,1}]</v>
      </c>
      <c r="M291" s="18">
        <v>0</v>
      </c>
      <c r="N291" s="18">
        <f t="shared" si="48"/>
        <v>7</v>
      </c>
      <c r="O291" s="18">
        <f>SUMPRODUCT(P291:AI291,Sheet2!$B$3:$U$3)</f>
        <v>335287</v>
      </c>
      <c r="P291" s="18">
        <f>CEILING(INDEX([1]系统模型!$VD:$VD,MATCH(C291,[1]系统模型!$A:$A,0))*POWER(C291/220,3.8)-50+(1000-A291),1)</f>
        <v>6942</v>
      </c>
      <c r="Q291" s="18">
        <f>CEILING(INDEX([1]系统模型!$VE:$VE,MATCH(C291,[1]系统模型!$A:$A,0))*POWER(C291/220,4),1)</f>
        <v>1177</v>
      </c>
      <c r="R291" s="18">
        <f>INT(INDEX([1]系统模型!$VF:$VF,MATCH(C291,[1]系统模型!$A:$A,0))*MAX(POWER(C291/180,4),0.5))</f>
        <v>69187</v>
      </c>
      <c r="S291" s="5">
        <v>1000</v>
      </c>
      <c r="T291" s="25">
        <v>0</v>
      </c>
      <c r="U291" s="25">
        <v>0</v>
      </c>
      <c r="V291" s="25">
        <v>0</v>
      </c>
      <c r="W291" s="25">
        <v>0</v>
      </c>
      <c r="X291" s="25">
        <f t="shared" si="49"/>
        <v>3459</v>
      </c>
      <c r="Y291" s="12">
        <v>0</v>
      </c>
      <c r="Z291" s="25">
        <v>100</v>
      </c>
      <c r="AA291" s="25">
        <v>150</v>
      </c>
      <c r="AB291" s="25">
        <v>0</v>
      </c>
      <c r="AC291" s="25">
        <v>0</v>
      </c>
      <c r="AD291" s="25">
        <v>0</v>
      </c>
      <c r="AE291" s="25">
        <f t="shared" si="50"/>
        <v>414</v>
      </c>
      <c r="AF291" s="25">
        <f t="shared" si="51"/>
        <v>414</v>
      </c>
      <c r="AG291" s="25">
        <v>0</v>
      </c>
      <c r="AH291" s="25">
        <f t="shared" si="52"/>
        <v>6775</v>
      </c>
      <c r="AI291" s="25">
        <f t="shared" si="53"/>
        <v>92</v>
      </c>
      <c r="AJ291" s="25">
        <v>1</v>
      </c>
      <c r="AK291" s="25">
        <v>1000</v>
      </c>
      <c r="AL291" s="25">
        <v>100</v>
      </c>
      <c r="AM291" s="26">
        <v>10</v>
      </c>
      <c r="AN291" s="26">
        <v>10</v>
      </c>
      <c r="AO291" s="22" t="s">
        <v>2211</v>
      </c>
      <c r="AP291" s="26">
        <v>0</v>
      </c>
      <c r="AQ291" s="26">
        <f t="shared" si="54"/>
        <v>710</v>
      </c>
      <c r="AR291" s="18" t="str">
        <f ca="1">CONCATENATE(OFFSET(Sheet1!$A$2,RANDBETWEEN(2,500),0,1,1),OFFSET(Sheet1!$A$2,RANDBETWEEN(2,500),RANDBETWEEN(1,5),1,1))</f>
        <v>哈维</v>
      </c>
      <c r="AS291">
        <f>SUMPRODUCT(P291:AI291,Sheet2!$B$3:$U$3)</f>
        <v>335287</v>
      </c>
    </row>
    <row r="292" spans="1:45" x14ac:dyDescent="0.15">
      <c r="A292" s="23">
        <v>291</v>
      </c>
      <c r="B292" s="18" t="s">
        <v>443</v>
      </c>
      <c r="C292" s="18">
        <f t="shared" si="44"/>
        <v>206</v>
      </c>
      <c r="D292" s="19">
        <f t="shared" si="45"/>
        <v>3</v>
      </c>
      <c r="E292" s="19">
        <f>VLOOKUP(MOD(A292,4),各职业基础配置!C$32:D$35,2,FALSE)</f>
        <v>9</v>
      </c>
      <c r="F292" s="19">
        <f>IF(A292&lt;900,INDEX(各职业基础配置!C$23:C$28,MOD(ROW(A292),4)+1),0)</f>
        <v>8</v>
      </c>
      <c r="G292" s="19">
        <f t="shared" si="46"/>
        <v>78</v>
      </c>
      <c r="H292" s="27">
        <f t="shared" si="47"/>
        <v>2</v>
      </c>
      <c r="I292" s="6" t="s">
        <v>164</v>
      </c>
      <c r="J292" s="23" t="str">
        <f>VLOOKUP(E292,各职业基础配置!$B$9:$C$12,2,FALSE)</f>
        <v>116|117|118|4201|120</v>
      </c>
      <c r="K292" s="18" t="str">
        <f>VLOOKUP(E292,各职业基础配置!$B$15:$C$18,2,FALSE)</f>
        <v>28|29|30|31</v>
      </c>
      <c r="L292" s="18" t="str">
        <f>VLOOKUP(E292,各职业基础配置!B:C,2,FALSE)</f>
        <v>[{28,1,1},{29,1,1},{30,1,1},{31,1,1},{10,1,1},{11,1,1},{12,1,1}]</v>
      </c>
      <c r="M292" s="18">
        <v>0</v>
      </c>
      <c r="N292" s="18">
        <f t="shared" si="48"/>
        <v>3</v>
      </c>
      <c r="O292" s="18">
        <f>SUMPRODUCT(P292:AI292,Sheet2!$B$3:$U$3)</f>
        <v>328074</v>
      </c>
      <c r="P292" s="18">
        <f>CEILING(INDEX([1]系统模型!$VD:$VD,MATCH(C292,[1]系统模型!$A:$A,0))*POWER(C292/220,3.8)-50+(1000-A292),1)</f>
        <v>6783</v>
      </c>
      <c r="Q292" s="18">
        <f>CEILING(INDEX([1]系统模型!$VE:$VE,MATCH(C292,[1]系统模型!$A:$A,0))*POWER(C292/220,4),1)</f>
        <v>1145</v>
      </c>
      <c r="R292" s="18">
        <f>INT(INDEX([1]系统模型!$VF:$VF,MATCH(C292,[1]系统模型!$A:$A,0))*MAX(POWER(C292/180,4),0.5))</f>
        <v>67274</v>
      </c>
      <c r="S292" s="5">
        <v>1000</v>
      </c>
      <c r="T292" s="25">
        <v>0</v>
      </c>
      <c r="U292" s="25">
        <v>0</v>
      </c>
      <c r="V292" s="25">
        <v>0</v>
      </c>
      <c r="W292" s="25">
        <v>0</v>
      </c>
      <c r="X292" s="25">
        <f t="shared" si="49"/>
        <v>3363</v>
      </c>
      <c r="Y292" s="12">
        <v>0</v>
      </c>
      <c r="Z292" s="25">
        <v>100</v>
      </c>
      <c r="AA292" s="25">
        <v>150</v>
      </c>
      <c r="AB292" s="25">
        <v>0</v>
      </c>
      <c r="AC292" s="25">
        <v>0</v>
      </c>
      <c r="AD292" s="25">
        <v>0</v>
      </c>
      <c r="AE292" s="25">
        <f t="shared" si="50"/>
        <v>412</v>
      </c>
      <c r="AF292" s="25">
        <f t="shared" si="51"/>
        <v>412</v>
      </c>
      <c r="AG292" s="25">
        <v>0</v>
      </c>
      <c r="AH292" s="25">
        <f t="shared" si="52"/>
        <v>6700</v>
      </c>
      <c r="AI292" s="25">
        <f t="shared" si="53"/>
        <v>90</v>
      </c>
      <c r="AJ292" s="25">
        <v>1</v>
      </c>
      <c r="AK292" s="25">
        <v>1000</v>
      </c>
      <c r="AL292" s="25">
        <v>100</v>
      </c>
      <c r="AM292" s="26">
        <v>10</v>
      </c>
      <c r="AN292" s="26">
        <v>10</v>
      </c>
      <c r="AO292" s="22" t="s">
        <v>2211</v>
      </c>
      <c r="AP292" s="26">
        <v>0</v>
      </c>
      <c r="AQ292" s="26">
        <f t="shared" si="54"/>
        <v>710</v>
      </c>
      <c r="AR292" s="18" t="str">
        <f ca="1">CONCATENATE(OFFSET(Sheet1!$A$2,RANDBETWEEN(2,500),0,1,1),OFFSET(Sheet1!$A$2,RANDBETWEEN(2,500),RANDBETWEEN(1,5),1,1))</f>
        <v>弗雷德里克艾丝翠得</v>
      </c>
      <c r="AS292">
        <f>SUMPRODUCT(P292:AI292,Sheet2!$B$3:$U$3)</f>
        <v>328074</v>
      </c>
    </row>
    <row r="293" spans="1:45" x14ac:dyDescent="0.15">
      <c r="A293" s="18">
        <v>292</v>
      </c>
      <c r="B293" s="18" t="s">
        <v>1022</v>
      </c>
      <c r="C293" s="18">
        <f t="shared" si="44"/>
        <v>206</v>
      </c>
      <c r="D293" s="19">
        <f t="shared" si="45"/>
        <v>2</v>
      </c>
      <c r="E293" s="19">
        <f>VLOOKUP(MOD(A293,4),各职业基础配置!C$32:D$35,2,FALSE)</f>
        <v>1</v>
      </c>
      <c r="F293" s="19">
        <f>IF(A293&lt;900,INDEX(各职业基础配置!C$23:C$28,MOD(ROW(A293),4)+1),0)</f>
        <v>13</v>
      </c>
      <c r="G293" s="19">
        <f t="shared" si="46"/>
        <v>78</v>
      </c>
      <c r="H293" s="27">
        <f t="shared" si="47"/>
        <v>2</v>
      </c>
      <c r="I293" s="6" t="s">
        <v>164</v>
      </c>
      <c r="J293" s="23" t="str">
        <f>VLOOKUP(E293,各职业基础配置!$B$9:$C$12,2,FALSE)</f>
        <v>101|102|103|4201|105</v>
      </c>
      <c r="K293" s="18" t="str">
        <f>VLOOKUP(E293,各职业基础配置!$B$15:$C$18,2,FALSE)</f>
        <v>24|25|26|27</v>
      </c>
      <c r="L293" s="18" t="str">
        <f>VLOOKUP(E293,各职业基础配置!B:C,2,FALSE)</f>
        <v>[{24,1,1},{25,1,1},{26,1,1},{27,1,1},{1,1,1},{2,1,1},{3,1,1}]</v>
      </c>
      <c r="M293" s="18">
        <v>0</v>
      </c>
      <c r="N293" s="18">
        <f t="shared" si="48"/>
        <v>3</v>
      </c>
      <c r="O293" s="18">
        <f>SUMPRODUCT(P293:AI293,Sheet2!$B$3:$U$3)</f>
        <v>328049</v>
      </c>
      <c r="P293" s="18">
        <f>CEILING(INDEX([1]系统模型!$VD:$VD,MATCH(C293,[1]系统模型!$A:$A,0))*POWER(C293/220,3.8)-50+(1000-A293),1)</f>
        <v>6782</v>
      </c>
      <c r="Q293" s="18">
        <f>CEILING(INDEX([1]系统模型!$VE:$VE,MATCH(C293,[1]系统模型!$A:$A,0))*POWER(C293/220,4),1)</f>
        <v>1145</v>
      </c>
      <c r="R293" s="18">
        <f>INT(INDEX([1]系统模型!$VF:$VF,MATCH(C293,[1]系统模型!$A:$A,0))*MAX(POWER(C293/180,4),0.5))</f>
        <v>67274</v>
      </c>
      <c r="S293" s="5">
        <v>1000</v>
      </c>
      <c r="T293" s="25">
        <v>0</v>
      </c>
      <c r="U293" s="25">
        <v>0</v>
      </c>
      <c r="V293" s="25">
        <v>0</v>
      </c>
      <c r="W293" s="25">
        <v>0</v>
      </c>
      <c r="X293" s="25">
        <f t="shared" si="49"/>
        <v>3363</v>
      </c>
      <c r="Y293" s="12">
        <v>0</v>
      </c>
      <c r="Z293" s="25">
        <v>100</v>
      </c>
      <c r="AA293" s="25">
        <v>150</v>
      </c>
      <c r="AB293" s="25">
        <v>0</v>
      </c>
      <c r="AC293" s="25">
        <v>0</v>
      </c>
      <c r="AD293" s="25">
        <v>0</v>
      </c>
      <c r="AE293" s="25">
        <f t="shared" si="50"/>
        <v>412</v>
      </c>
      <c r="AF293" s="25">
        <f t="shared" si="51"/>
        <v>412</v>
      </c>
      <c r="AG293" s="25">
        <v>0</v>
      </c>
      <c r="AH293" s="25">
        <f t="shared" si="52"/>
        <v>6700</v>
      </c>
      <c r="AI293" s="25">
        <f t="shared" si="53"/>
        <v>90</v>
      </c>
      <c r="AJ293" s="25">
        <v>1</v>
      </c>
      <c r="AK293" s="25">
        <v>1000</v>
      </c>
      <c r="AL293" s="25">
        <v>100</v>
      </c>
      <c r="AM293" s="26">
        <v>10</v>
      </c>
      <c r="AN293" s="26">
        <v>10</v>
      </c>
      <c r="AO293" s="22" t="s">
        <v>2211</v>
      </c>
      <c r="AP293" s="26">
        <v>0</v>
      </c>
      <c r="AQ293" s="26">
        <f t="shared" si="54"/>
        <v>710</v>
      </c>
      <c r="AR293" s="18" t="str">
        <f ca="1">CONCATENATE(OFFSET(Sheet1!$A$2,RANDBETWEEN(2,500),0,1,1),OFFSET(Sheet1!$A$2,RANDBETWEEN(2,500),RANDBETWEEN(1,5),1,1))</f>
        <v>赫士列特</v>
      </c>
      <c r="AS293">
        <f>SUMPRODUCT(P293:AI293,Sheet2!$B$3:$U$3)</f>
        <v>328049</v>
      </c>
    </row>
    <row r="294" spans="1:45" x14ac:dyDescent="0.15">
      <c r="A294" s="18">
        <v>293</v>
      </c>
      <c r="B294" s="18" t="s">
        <v>1951</v>
      </c>
      <c r="C294" s="18">
        <f t="shared" si="44"/>
        <v>206</v>
      </c>
      <c r="D294" s="19">
        <f t="shared" si="45"/>
        <v>3</v>
      </c>
      <c r="E294" s="19">
        <f>VLOOKUP(MOD(A294,4),各职业基础配置!C$32:D$35,2,FALSE)</f>
        <v>3</v>
      </c>
      <c r="F294" s="19">
        <f>IF(A294&lt;900,INDEX(各职业基础配置!C$23:C$28,MOD(ROW(A294),4)+1),0)</f>
        <v>14</v>
      </c>
      <c r="G294" s="19">
        <f t="shared" si="46"/>
        <v>78</v>
      </c>
      <c r="H294" s="27">
        <f t="shared" si="47"/>
        <v>2</v>
      </c>
      <c r="I294" s="6" t="s">
        <v>164</v>
      </c>
      <c r="J294" s="23" t="str">
        <f>VLOOKUP(E294,各职业基础配置!$B$9:$C$12,2,FALSE)</f>
        <v>106|107|108|4201|110</v>
      </c>
      <c r="K294" s="18" t="str">
        <f>VLOOKUP(E294,各职业基础配置!$B$15:$C$18,2,FALSE)</f>
        <v>20|21|22|23</v>
      </c>
      <c r="L294" s="18" t="str">
        <f>VLOOKUP(E294,各职业基础配置!B:C,2,FALSE)</f>
        <v>[{20,1,1},{21,1,1},{22,1,1},{23,1,1},{4,1,1},{5,1,1},{6,1,1}]</v>
      </c>
      <c r="M294" s="18">
        <v>0</v>
      </c>
      <c r="N294" s="18">
        <f t="shared" si="48"/>
        <v>7</v>
      </c>
      <c r="O294" s="18">
        <f>SUMPRODUCT(P294:AI294,Sheet2!$B$3:$U$3)</f>
        <v>328024</v>
      </c>
      <c r="P294" s="18">
        <f>CEILING(INDEX([1]系统模型!$VD:$VD,MATCH(C294,[1]系统模型!$A:$A,0))*POWER(C294/220,3.8)-50+(1000-A294),1)</f>
        <v>6781</v>
      </c>
      <c r="Q294" s="18">
        <f>CEILING(INDEX([1]系统模型!$VE:$VE,MATCH(C294,[1]系统模型!$A:$A,0))*POWER(C294/220,4),1)</f>
        <v>1145</v>
      </c>
      <c r="R294" s="18">
        <f>INT(INDEX([1]系统模型!$VF:$VF,MATCH(C294,[1]系统模型!$A:$A,0))*MAX(POWER(C294/180,4),0.5))</f>
        <v>67274</v>
      </c>
      <c r="S294" s="5">
        <v>1000</v>
      </c>
      <c r="T294" s="25">
        <v>0</v>
      </c>
      <c r="U294" s="25">
        <v>0</v>
      </c>
      <c r="V294" s="25">
        <v>0</v>
      </c>
      <c r="W294" s="25">
        <v>0</v>
      </c>
      <c r="X294" s="25">
        <f t="shared" si="49"/>
        <v>3363</v>
      </c>
      <c r="Y294" s="12">
        <v>0</v>
      </c>
      <c r="Z294" s="25">
        <v>100</v>
      </c>
      <c r="AA294" s="25">
        <v>150</v>
      </c>
      <c r="AB294" s="25">
        <v>0</v>
      </c>
      <c r="AC294" s="25">
        <v>0</v>
      </c>
      <c r="AD294" s="25">
        <v>0</v>
      </c>
      <c r="AE294" s="25">
        <f t="shared" si="50"/>
        <v>412</v>
      </c>
      <c r="AF294" s="25">
        <f t="shared" si="51"/>
        <v>412</v>
      </c>
      <c r="AG294" s="25">
        <v>0</v>
      </c>
      <c r="AH294" s="25">
        <f t="shared" si="52"/>
        <v>6700</v>
      </c>
      <c r="AI294" s="25">
        <f t="shared" si="53"/>
        <v>90</v>
      </c>
      <c r="AJ294" s="25">
        <v>1</v>
      </c>
      <c r="AK294" s="25">
        <v>1000</v>
      </c>
      <c r="AL294" s="25">
        <v>100</v>
      </c>
      <c r="AM294" s="26">
        <v>10</v>
      </c>
      <c r="AN294" s="26">
        <v>10</v>
      </c>
      <c r="AO294" s="22" t="s">
        <v>2211</v>
      </c>
      <c r="AP294" s="26">
        <v>0</v>
      </c>
      <c r="AQ294" s="26">
        <f t="shared" si="54"/>
        <v>710</v>
      </c>
      <c r="AR294" s="18" t="str">
        <f ca="1">CONCATENATE(OFFSET(Sheet1!$A$2,RANDBETWEEN(2,500),0,1,1),OFFSET(Sheet1!$A$2,RANDBETWEEN(2,500),RANDBETWEEN(1,5),1,1))</f>
        <v>埃奇沃思</v>
      </c>
      <c r="AS294">
        <f>SUMPRODUCT(P294:AI294,Sheet2!$B$3:$U$3)</f>
        <v>328024</v>
      </c>
    </row>
    <row r="295" spans="1:45" x14ac:dyDescent="0.15">
      <c r="A295" s="23">
        <v>294</v>
      </c>
      <c r="B295" s="18" t="s">
        <v>888</v>
      </c>
      <c r="C295" s="18">
        <f t="shared" si="44"/>
        <v>206</v>
      </c>
      <c r="D295" s="19">
        <f t="shared" si="45"/>
        <v>2</v>
      </c>
      <c r="E295" s="19">
        <f>VLOOKUP(MOD(A295,4),各职业基础配置!C$32:D$35,2,FALSE)</f>
        <v>6</v>
      </c>
      <c r="F295" s="19">
        <f>IF(A295&lt;900,INDEX(各职业基础配置!C$23:C$28,MOD(ROW(A295),4)+1),0)</f>
        <v>16</v>
      </c>
      <c r="G295" s="19">
        <f t="shared" si="46"/>
        <v>78</v>
      </c>
      <c r="H295" s="27">
        <f t="shared" si="47"/>
        <v>2</v>
      </c>
      <c r="I295" s="6" t="s">
        <v>164</v>
      </c>
      <c r="J295" s="23" t="str">
        <f>VLOOKUP(E295,各职业基础配置!$B$9:$C$12,2,FALSE)</f>
        <v>111|112|113|4201|115</v>
      </c>
      <c r="K295" s="18" t="str">
        <f>VLOOKUP(E295,各职业基础配置!$B$15:$C$18,2,FALSE)</f>
        <v>32|33|34</v>
      </c>
      <c r="L295" s="18" t="str">
        <f>VLOOKUP(E295,各职业基础配置!B:C,2,FALSE)</f>
        <v>[{32,1,1},{33,1,1},{34,1,1},{35,1,1},{7,1,1},{8,1,1},{9,1,1}]</v>
      </c>
      <c r="M295" s="18">
        <v>0</v>
      </c>
      <c r="N295" s="18">
        <f t="shared" si="48"/>
        <v>7</v>
      </c>
      <c r="O295" s="18">
        <f>SUMPRODUCT(P295:AI295,Sheet2!$B$3:$U$3)</f>
        <v>327999</v>
      </c>
      <c r="P295" s="18">
        <f>CEILING(INDEX([1]系统模型!$VD:$VD,MATCH(C295,[1]系统模型!$A:$A,0))*POWER(C295/220,3.8)-50+(1000-A295),1)</f>
        <v>6780</v>
      </c>
      <c r="Q295" s="18">
        <f>CEILING(INDEX([1]系统模型!$VE:$VE,MATCH(C295,[1]系统模型!$A:$A,0))*POWER(C295/220,4),1)</f>
        <v>1145</v>
      </c>
      <c r="R295" s="18">
        <f>INT(INDEX([1]系统模型!$VF:$VF,MATCH(C295,[1]系统模型!$A:$A,0))*MAX(POWER(C295/180,4),0.5))</f>
        <v>67274</v>
      </c>
      <c r="S295" s="5">
        <v>1000</v>
      </c>
      <c r="T295" s="25">
        <v>0</v>
      </c>
      <c r="U295" s="25">
        <v>0</v>
      </c>
      <c r="V295" s="25">
        <v>0</v>
      </c>
      <c r="W295" s="25">
        <v>0</v>
      </c>
      <c r="X295" s="25">
        <f t="shared" si="49"/>
        <v>3363</v>
      </c>
      <c r="Y295" s="12">
        <v>0</v>
      </c>
      <c r="Z295" s="25">
        <v>100</v>
      </c>
      <c r="AA295" s="25">
        <v>150</v>
      </c>
      <c r="AB295" s="25">
        <v>0</v>
      </c>
      <c r="AC295" s="25">
        <v>0</v>
      </c>
      <c r="AD295" s="25">
        <v>0</v>
      </c>
      <c r="AE295" s="25">
        <f t="shared" si="50"/>
        <v>412</v>
      </c>
      <c r="AF295" s="25">
        <f t="shared" si="51"/>
        <v>412</v>
      </c>
      <c r="AG295" s="25">
        <v>0</v>
      </c>
      <c r="AH295" s="25">
        <f t="shared" si="52"/>
        <v>6700</v>
      </c>
      <c r="AI295" s="25">
        <f t="shared" si="53"/>
        <v>90</v>
      </c>
      <c r="AJ295" s="25">
        <v>1</v>
      </c>
      <c r="AK295" s="25">
        <v>1000</v>
      </c>
      <c r="AL295" s="25">
        <v>100</v>
      </c>
      <c r="AM295" s="26">
        <v>10</v>
      </c>
      <c r="AN295" s="26">
        <v>10</v>
      </c>
      <c r="AO295" s="22" t="s">
        <v>2211</v>
      </c>
      <c r="AP295" s="26">
        <v>0</v>
      </c>
      <c r="AQ295" s="26">
        <f t="shared" si="54"/>
        <v>710</v>
      </c>
      <c r="AR295" s="18" t="str">
        <f ca="1">CONCATENATE(OFFSET(Sheet1!$A$2,RANDBETWEEN(2,500),0,1,1),OFFSET(Sheet1!$A$2,RANDBETWEEN(2,500),RANDBETWEEN(1,5),1,1))</f>
        <v>亨里埃塔</v>
      </c>
      <c r="AS295">
        <f>SUMPRODUCT(P295:AI295,Sheet2!$B$3:$U$3)</f>
        <v>327999</v>
      </c>
    </row>
    <row r="296" spans="1:45" x14ac:dyDescent="0.15">
      <c r="A296" s="18">
        <v>295</v>
      </c>
      <c r="B296" s="18" t="s">
        <v>450</v>
      </c>
      <c r="C296" s="18">
        <f t="shared" si="44"/>
        <v>206</v>
      </c>
      <c r="D296" s="19">
        <f t="shared" si="45"/>
        <v>3</v>
      </c>
      <c r="E296" s="19">
        <f>VLOOKUP(MOD(A296,4),各职业基础配置!C$32:D$35,2,FALSE)</f>
        <v>9</v>
      </c>
      <c r="F296" s="19">
        <f>IF(A296&lt;900,INDEX(各职业基础配置!C$23:C$28,MOD(ROW(A296),4)+1),0)</f>
        <v>8</v>
      </c>
      <c r="G296" s="19">
        <f t="shared" si="46"/>
        <v>78</v>
      </c>
      <c r="H296" s="27">
        <f t="shared" si="47"/>
        <v>2</v>
      </c>
      <c r="I296" s="6" t="s">
        <v>164</v>
      </c>
      <c r="J296" s="23" t="str">
        <f>VLOOKUP(E296,各职业基础配置!$B$9:$C$12,2,FALSE)</f>
        <v>116|117|118|4201|120</v>
      </c>
      <c r="K296" s="18" t="str">
        <f>VLOOKUP(E296,各职业基础配置!$B$15:$C$18,2,FALSE)</f>
        <v>28|29|30|31</v>
      </c>
      <c r="L296" s="18" t="str">
        <f>VLOOKUP(E296,各职业基础配置!B:C,2,FALSE)</f>
        <v>[{28,1,1},{29,1,1},{30,1,1},{31,1,1},{10,1,1},{11,1,1},{12,1,1}]</v>
      </c>
      <c r="M296" s="18">
        <v>0</v>
      </c>
      <c r="N296" s="18">
        <f t="shared" si="48"/>
        <v>3</v>
      </c>
      <c r="O296" s="18">
        <f>SUMPRODUCT(P296:AI296,Sheet2!$B$3:$U$3)</f>
        <v>327974</v>
      </c>
      <c r="P296" s="18">
        <f>CEILING(INDEX([1]系统模型!$VD:$VD,MATCH(C296,[1]系统模型!$A:$A,0))*POWER(C296/220,3.8)-50+(1000-A296),1)</f>
        <v>6779</v>
      </c>
      <c r="Q296" s="18">
        <f>CEILING(INDEX([1]系统模型!$VE:$VE,MATCH(C296,[1]系统模型!$A:$A,0))*POWER(C296/220,4),1)</f>
        <v>1145</v>
      </c>
      <c r="R296" s="18">
        <f>INT(INDEX([1]系统模型!$VF:$VF,MATCH(C296,[1]系统模型!$A:$A,0))*MAX(POWER(C296/180,4),0.5))</f>
        <v>67274</v>
      </c>
      <c r="S296" s="5">
        <v>1000</v>
      </c>
      <c r="T296" s="25">
        <v>0</v>
      </c>
      <c r="U296" s="25">
        <v>0</v>
      </c>
      <c r="V296" s="25">
        <v>0</v>
      </c>
      <c r="W296" s="25">
        <v>0</v>
      </c>
      <c r="X296" s="25">
        <f t="shared" si="49"/>
        <v>3363</v>
      </c>
      <c r="Y296" s="12">
        <v>0</v>
      </c>
      <c r="Z296" s="25">
        <v>100</v>
      </c>
      <c r="AA296" s="25">
        <v>150</v>
      </c>
      <c r="AB296" s="25">
        <v>0</v>
      </c>
      <c r="AC296" s="25">
        <v>0</v>
      </c>
      <c r="AD296" s="25">
        <v>0</v>
      </c>
      <c r="AE296" s="25">
        <f t="shared" si="50"/>
        <v>412</v>
      </c>
      <c r="AF296" s="25">
        <f t="shared" si="51"/>
        <v>412</v>
      </c>
      <c r="AG296" s="25">
        <v>0</v>
      </c>
      <c r="AH296" s="25">
        <f t="shared" si="52"/>
        <v>6700</v>
      </c>
      <c r="AI296" s="25">
        <f t="shared" si="53"/>
        <v>90</v>
      </c>
      <c r="AJ296" s="25">
        <v>1</v>
      </c>
      <c r="AK296" s="25">
        <v>1000</v>
      </c>
      <c r="AL296" s="25">
        <v>100</v>
      </c>
      <c r="AM296" s="26">
        <v>10</v>
      </c>
      <c r="AN296" s="26">
        <v>10</v>
      </c>
      <c r="AO296" s="22" t="s">
        <v>2211</v>
      </c>
      <c r="AP296" s="26">
        <v>0</v>
      </c>
      <c r="AQ296" s="26">
        <f t="shared" si="54"/>
        <v>700</v>
      </c>
      <c r="AR296" s="18" t="str">
        <f ca="1">CONCATENATE(OFFSET(Sheet1!$A$2,RANDBETWEEN(2,500),0,1,1),OFFSET(Sheet1!$A$2,RANDBETWEEN(2,500),RANDBETWEEN(1,5),1,1))</f>
        <v>奥尔丁顿</v>
      </c>
      <c r="AS296">
        <f>SUMPRODUCT(P296:AI296,Sheet2!$B$3:$U$3)</f>
        <v>327974</v>
      </c>
    </row>
    <row r="297" spans="1:45" x14ac:dyDescent="0.15">
      <c r="A297" s="18">
        <v>296</v>
      </c>
      <c r="B297" s="18" t="s">
        <v>1101</v>
      </c>
      <c r="C297" s="18">
        <f t="shared" si="44"/>
        <v>206</v>
      </c>
      <c r="D297" s="19">
        <f t="shared" si="45"/>
        <v>2</v>
      </c>
      <c r="E297" s="19">
        <f>VLOOKUP(MOD(A297,4),各职业基础配置!C$32:D$35,2,FALSE)</f>
        <v>1</v>
      </c>
      <c r="F297" s="19">
        <f>IF(A297&lt;900,INDEX(各职业基础配置!C$23:C$28,MOD(ROW(A297),4)+1),0)</f>
        <v>13</v>
      </c>
      <c r="G297" s="19">
        <f t="shared" si="46"/>
        <v>78</v>
      </c>
      <c r="H297" s="27">
        <f t="shared" si="47"/>
        <v>2</v>
      </c>
      <c r="I297" s="6" t="s">
        <v>164</v>
      </c>
      <c r="J297" s="23" t="str">
        <f>VLOOKUP(E297,各职业基础配置!$B$9:$C$12,2,FALSE)</f>
        <v>101|102|103|4201|105</v>
      </c>
      <c r="K297" s="18" t="str">
        <f>VLOOKUP(E297,各职业基础配置!$B$15:$C$18,2,FALSE)</f>
        <v>24|25|26|27</v>
      </c>
      <c r="L297" s="18" t="str">
        <f>VLOOKUP(E297,各职业基础配置!B:C,2,FALSE)</f>
        <v>[{24,1,1},{25,1,1},{26,1,1},{27,1,1},{1,1,1},{2,1,1},{3,1,1}]</v>
      </c>
      <c r="M297" s="18">
        <v>0</v>
      </c>
      <c r="N297" s="18">
        <f t="shared" si="48"/>
        <v>3</v>
      </c>
      <c r="O297" s="18">
        <f>SUMPRODUCT(P297:AI297,Sheet2!$B$3:$U$3)</f>
        <v>327949</v>
      </c>
      <c r="P297" s="18">
        <f>CEILING(INDEX([1]系统模型!$VD:$VD,MATCH(C297,[1]系统模型!$A:$A,0))*POWER(C297/220,3.8)-50+(1000-A297),1)</f>
        <v>6778</v>
      </c>
      <c r="Q297" s="18">
        <f>CEILING(INDEX([1]系统模型!$VE:$VE,MATCH(C297,[1]系统模型!$A:$A,0))*POWER(C297/220,4),1)</f>
        <v>1145</v>
      </c>
      <c r="R297" s="18">
        <f>INT(INDEX([1]系统模型!$VF:$VF,MATCH(C297,[1]系统模型!$A:$A,0))*MAX(POWER(C297/180,4),0.5))</f>
        <v>67274</v>
      </c>
      <c r="S297" s="5">
        <v>1000</v>
      </c>
      <c r="T297" s="25">
        <v>0</v>
      </c>
      <c r="U297" s="25">
        <v>0</v>
      </c>
      <c r="V297" s="25">
        <v>0</v>
      </c>
      <c r="W297" s="25">
        <v>0</v>
      </c>
      <c r="X297" s="25">
        <f t="shared" si="49"/>
        <v>3363</v>
      </c>
      <c r="Y297" s="12">
        <v>0</v>
      </c>
      <c r="Z297" s="25">
        <v>100</v>
      </c>
      <c r="AA297" s="25">
        <v>150</v>
      </c>
      <c r="AB297" s="25">
        <v>0</v>
      </c>
      <c r="AC297" s="25">
        <v>0</v>
      </c>
      <c r="AD297" s="25">
        <v>0</v>
      </c>
      <c r="AE297" s="25">
        <f t="shared" si="50"/>
        <v>412</v>
      </c>
      <c r="AF297" s="25">
        <f t="shared" si="51"/>
        <v>412</v>
      </c>
      <c r="AG297" s="25">
        <v>0</v>
      </c>
      <c r="AH297" s="25">
        <f t="shared" si="52"/>
        <v>6700</v>
      </c>
      <c r="AI297" s="25">
        <f t="shared" si="53"/>
        <v>90</v>
      </c>
      <c r="AJ297" s="25">
        <v>1</v>
      </c>
      <c r="AK297" s="25">
        <v>1000</v>
      </c>
      <c r="AL297" s="25">
        <v>100</v>
      </c>
      <c r="AM297" s="26">
        <v>10</v>
      </c>
      <c r="AN297" s="26">
        <v>10</v>
      </c>
      <c r="AO297" s="22" t="s">
        <v>2211</v>
      </c>
      <c r="AP297" s="26">
        <v>0</v>
      </c>
      <c r="AQ297" s="26">
        <f t="shared" si="54"/>
        <v>700</v>
      </c>
      <c r="AR297" s="18" t="str">
        <f ca="1">CONCATENATE(OFFSET(Sheet1!$A$2,RANDBETWEEN(2,500),0,1,1),OFFSET(Sheet1!$A$2,RANDBETWEEN(2,500),RANDBETWEEN(1,5),1,1))</f>
        <v>凯瑟琳</v>
      </c>
      <c r="AS297">
        <f>SUMPRODUCT(P297:AI297,Sheet2!$B$3:$U$3)</f>
        <v>327949</v>
      </c>
    </row>
    <row r="298" spans="1:45" x14ac:dyDescent="0.15">
      <c r="A298" s="23">
        <v>297</v>
      </c>
      <c r="B298" s="18" t="s">
        <v>380</v>
      </c>
      <c r="C298" s="18">
        <f t="shared" si="44"/>
        <v>206</v>
      </c>
      <c r="D298" s="19">
        <f t="shared" si="45"/>
        <v>3</v>
      </c>
      <c r="E298" s="19">
        <f>VLOOKUP(MOD(A298,4),各职业基础配置!C$32:D$35,2,FALSE)</f>
        <v>3</v>
      </c>
      <c r="F298" s="19">
        <f>IF(A298&lt;900,INDEX(各职业基础配置!C$23:C$28,MOD(ROW(A298),4)+1),0)</f>
        <v>14</v>
      </c>
      <c r="G298" s="19">
        <f t="shared" si="46"/>
        <v>78</v>
      </c>
      <c r="H298" s="27">
        <f t="shared" si="47"/>
        <v>2</v>
      </c>
      <c r="I298" s="6" t="s">
        <v>164</v>
      </c>
      <c r="J298" s="23" t="str">
        <f>VLOOKUP(E298,各职业基础配置!$B$9:$C$12,2,FALSE)</f>
        <v>106|107|108|4201|110</v>
      </c>
      <c r="K298" s="18" t="str">
        <f>VLOOKUP(E298,各职业基础配置!$B$15:$C$18,2,FALSE)</f>
        <v>20|21|22|23</v>
      </c>
      <c r="L298" s="18" t="str">
        <f>VLOOKUP(E298,各职业基础配置!B:C,2,FALSE)</f>
        <v>[{20,1,1},{21,1,1},{22,1,1},{23,1,1},{4,1,1},{5,1,1},{6,1,1}]</v>
      </c>
      <c r="M298" s="18">
        <v>0</v>
      </c>
      <c r="N298" s="18">
        <f t="shared" si="48"/>
        <v>7</v>
      </c>
      <c r="O298" s="18">
        <f>SUMPRODUCT(P298:AI298,Sheet2!$B$3:$U$3)</f>
        <v>327924</v>
      </c>
      <c r="P298" s="18">
        <f>CEILING(INDEX([1]系统模型!$VD:$VD,MATCH(C298,[1]系统模型!$A:$A,0))*POWER(C298/220,3.8)-50+(1000-A298),1)</f>
        <v>6777</v>
      </c>
      <c r="Q298" s="18">
        <f>CEILING(INDEX([1]系统模型!$VE:$VE,MATCH(C298,[1]系统模型!$A:$A,0))*POWER(C298/220,4),1)</f>
        <v>1145</v>
      </c>
      <c r="R298" s="18">
        <f>INT(INDEX([1]系统模型!$VF:$VF,MATCH(C298,[1]系统模型!$A:$A,0))*MAX(POWER(C298/180,4),0.5))</f>
        <v>67274</v>
      </c>
      <c r="S298" s="5">
        <v>1000</v>
      </c>
      <c r="T298" s="25">
        <v>0</v>
      </c>
      <c r="U298" s="25">
        <v>0</v>
      </c>
      <c r="V298" s="25">
        <v>0</v>
      </c>
      <c r="W298" s="25">
        <v>0</v>
      </c>
      <c r="X298" s="25">
        <f t="shared" si="49"/>
        <v>3363</v>
      </c>
      <c r="Y298" s="12">
        <v>0</v>
      </c>
      <c r="Z298" s="25">
        <v>100</v>
      </c>
      <c r="AA298" s="25">
        <v>150</v>
      </c>
      <c r="AB298" s="25">
        <v>0</v>
      </c>
      <c r="AC298" s="25">
        <v>0</v>
      </c>
      <c r="AD298" s="25">
        <v>0</v>
      </c>
      <c r="AE298" s="25">
        <f t="shared" si="50"/>
        <v>412</v>
      </c>
      <c r="AF298" s="25">
        <f t="shared" si="51"/>
        <v>412</v>
      </c>
      <c r="AG298" s="25">
        <v>0</v>
      </c>
      <c r="AH298" s="25">
        <f t="shared" si="52"/>
        <v>6700</v>
      </c>
      <c r="AI298" s="25">
        <f t="shared" si="53"/>
        <v>90</v>
      </c>
      <c r="AJ298" s="25">
        <v>1</v>
      </c>
      <c r="AK298" s="25">
        <v>1000</v>
      </c>
      <c r="AL298" s="25">
        <v>100</v>
      </c>
      <c r="AM298" s="26">
        <v>10</v>
      </c>
      <c r="AN298" s="26">
        <v>10</v>
      </c>
      <c r="AO298" s="22" t="s">
        <v>2211</v>
      </c>
      <c r="AP298" s="26">
        <v>0</v>
      </c>
      <c r="AQ298" s="26">
        <f t="shared" si="54"/>
        <v>700</v>
      </c>
      <c r="AR298" s="18" t="str">
        <f ca="1">CONCATENATE(OFFSET(Sheet1!$A$2,RANDBETWEEN(2,500),0,1,1),OFFSET(Sheet1!$A$2,RANDBETWEEN(2,500),RANDBETWEEN(1,5),1,1))</f>
        <v>库克梅</v>
      </c>
      <c r="AS298">
        <f>SUMPRODUCT(P298:AI298,Sheet2!$B$3:$U$3)</f>
        <v>327924</v>
      </c>
    </row>
    <row r="299" spans="1:45" x14ac:dyDescent="0.15">
      <c r="A299" s="18">
        <v>298</v>
      </c>
      <c r="B299" s="18" t="s">
        <v>1952</v>
      </c>
      <c r="C299" s="18">
        <f t="shared" si="44"/>
        <v>205</v>
      </c>
      <c r="D299" s="19">
        <f t="shared" si="45"/>
        <v>2</v>
      </c>
      <c r="E299" s="19">
        <f>VLOOKUP(MOD(A299,4),各职业基础配置!C$32:D$35,2,FALSE)</f>
        <v>6</v>
      </c>
      <c r="F299" s="19">
        <f>IF(A299&lt;900,INDEX(各职业基础配置!C$23:C$28,MOD(ROW(A299),4)+1),0)</f>
        <v>16</v>
      </c>
      <c r="G299" s="19">
        <f t="shared" si="46"/>
        <v>76</v>
      </c>
      <c r="H299" s="27">
        <f t="shared" si="47"/>
        <v>2</v>
      </c>
      <c r="I299" s="6" t="s">
        <v>164</v>
      </c>
      <c r="J299" s="23" t="str">
        <f>VLOOKUP(E299,各职业基础配置!$B$9:$C$12,2,FALSE)</f>
        <v>111|112|113|4201|115</v>
      </c>
      <c r="K299" s="18" t="str">
        <f>VLOOKUP(E299,各职业基础配置!$B$15:$C$18,2,FALSE)</f>
        <v>32|33|34</v>
      </c>
      <c r="L299" s="18" t="str">
        <f>VLOOKUP(E299,各职业基础配置!B:C,2,FALSE)</f>
        <v>[{32,1,1},{33,1,1},{34,1,1},{35,1,1},{7,1,1},{8,1,1},{9,1,1}]</v>
      </c>
      <c r="M299" s="18">
        <v>0</v>
      </c>
      <c r="N299" s="18">
        <f t="shared" si="48"/>
        <v>7</v>
      </c>
      <c r="O299" s="18">
        <f>SUMPRODUCT(P299:AI299,Sheet2!$B$3:$U$3)</f>
        <v>320248</v>
      </c>
      <c r="P299" s="18">
        <f>CEILING(INDEX([1]系统模型!$VD:$VD,MATCH(C299,[1]系统模型!$A:$A,0))*POWER(C299/220,3.8)-50+(1000-A299),1)</f>
        <v>6597</v>
      </c>
      <c r="Q299" s="18">
        <f>CEILING(INDEX([1]系统模型!$VE:$VE,MATCH(C299,[1]系统模型!$A:$A,0))*POWER(C299/220,4),1)</f>
        <v>1113</v>
      </c>
      <c r="R299" s="18">
        <f>INT(INDEX([1]系统模型!$VF:$VF,MATCH(C299,[1]系统模型!$A:$A,0))*MAX(POWER(C299/180,4),0.5))</f>
        <v>65448</v>
      </c>
      <c r="S299" s="5">
        <v>1000</v>
      </c>
      <c r="T299" s="25">
        <v>0</v>
      </c>
      <c r="U299" s="25">
        <v>0</v>
      </c>
      <c r="V299" s="25">
        <v>0</v>
      </c>
      <c r="W299" s="25">
        <v>0</v>
      </c>
      <c r="X299" s="25">
        <f t="shared" si="49"/>
        <v>3272</v>
      </c>
      <c r="Y299" s="12">
        <v>0</v>
      </c>
      <c r="Z299" s="25">
        <v>100</v>
      </c>
      <c r="AA299" s="25">
        <v>150</v>
      </c>
      <c r="AB299" s="25">
        <v>0</v>
      </c>
      <c r="AC299" s="25">
        <v>0</v>
      </c>
      <c r="AD299" s="25">
        <v>0</v>
      </c>
      <c r="AE299" s="25">
        <f t="shared" si="50"/>
        <v>410</v>
      </c>
      <c r="AF299" s="25">
        <f t="shared" si="51"/>
        <v>410</v>
      </c>
      <c r="AG299" s="25">
        <v>0</v>
      </c>
      <c r="AH299" s="25">
        <f t="shared" si="52"/>
        <v>6625</v>
      </c>
      <c r="AI299" s="25">
        <f t="shared" si="53"/>
        <v>87</v>
      </c>
      <c r="AJ299" s="25">
        <v>1</v>
      </c>
      <c r="AK299" s="25">
        <v>1000</v>
      </c>
      <c r="AL299" s="25">
        <v>100</v>
      </c>
      <c r="AM299" s="26">
        <v>10</v>
      </c>
      <c r="AN299" s="26">
        <v>10</v>
      </c>
      <c r="AO299" s="22" t="s">
        <v>2211</v>
      </c>
      <c r="AP299" s="26">
        <v>0</v>
      </c>
      <c r="AQ299" s="26">
        <f t="shared" si="54"/>
        <v>700</v>
      </c>
      <c r="AR299" s="18" t="str">
        <f ca="1">CONCATENATE(OFFSET(Sheet1!$A$2,RANDBETWEEN(2,500),0,1,1),OFFSET(Sheet1!$A$2,RANDBETWEEN(2,500),RANDBETWEEN(1,5),1,1))</f>
        <v>欧内斯特</v>
      </c>
      <c r="AS299">
        <f>SUMPRODUCT(P299:AI299,Sheet2!$B$3:$U$3)</f>
        <v>320248</v>
      </c>
    </row>
    <row r="300" spans="1:45" x14ac:dyDescent="0.15">
      <c r="A300" s="18">
        <v>299</v>
      </c>
      <c r="B300" s="18" t="s">
        <v>1076</v>
      </c>
      <c r="C300" s="18">
        <f t="shared" si="44"/>
        <v>205</v>
      </c>
      <c r="D300" s="19">
        <f t="shared" si="45"/>
        <v>3</v>
      </c>
      <c r="E300" s="19">
        <f>VLOOKUP(MOD(A300,4),各职业基础配置!C$32:D$35,2,FALSE)</f>
        <v>9</v>
      </c>
      <c r="F300" s="19">
        <f>IF(A300&lt;900,INDEX(各职业基础配置!C$23:C$28,MOD(ROW(A300),4)+1),0)</f>
        <v>8</v>
      </c>
      <c r="G300" s="19">
        <f t="shared" si="46"/>
        <v>76</v>
      </c>
      <c r="H300" s="27">
        <f t="shared" si="47"/>
        <v>2</v>
      </c>
      <c r="I300" s="6" t="s">
        <v>164</v>
      </c>
      <c r="J300" s="23" t="str">
        <f>VLOOKUP(E300,各职业基础配置!$B$9:$C$12,2,FALSE)</f>
        <v>116|117|118|4201|120</v>
      </c>
      <c r="K300" s="18" t="str">
        <f>VLOOKUP(E300,各职业基础配置!$B$15:$C$18,2,FALSE)</f>
        <v>28|29|30|31</v>
      </c>
      <c r="L300" s="18" t="str">
        <f>VLOOKUP(E300,各职业基础配置!B:C,2,FALSE)</f>
        <v>[{28,1,1},{29,1,1},{30,1,1},{31,1,1},{10,1,1},{11,1,1},{12,1,1}]</v>
      </c>
      <c r="M300" s="18">
        <v>0</v>
      </c>
      <c r="N300" s="18">
        <f t="shared" si="48"/>
        <v>3</v>
      </c>
      <c r="O300" s="18">
        <f>SUMPRODUCT(P300:AI300,Sheet2!$B$3:$U$3)</f>
        <v>320223</v>
      </c>
      <c r="P300" s="18">
        <f>CEILING(INDEX([1]系统模型!$VD:$VD,MATCH(C300,[1]系统模型!$A:$A,0))*POWER(C300/220,3.8)-50+(1000-A300),1)</f>
        <v>6596</v>
      </c>
      <c r="Q300" s="18">
        <f>CEILING(INDEX([1]系统模型!$VE:$VE,MATCH(C300,[1]系统模型!$A:$A,0))*POWER(C300/220,4),1)</f>
        <v>1113</v>
      </c>
      <c r="R300" s="18">
        <f>INT(INDEX([1]系统模型!$VF:$VF,MATCH(C300,[1]系统模型!$A:$A,0))*MAX(POWER(C300/180,4),0.5))</f>
        <v>65448</v>
      </c>
      <c r="S300" s="5">
        <v>1000</v>
      </c>
      <c r="T300" s="25">
        <v>0</v>
      </c>
      <c r="U300" s="25">
        <v>0</v>
      </c>
      <c r="V300" s="25">
        <v>0</v>
      </c>
      <c r="W300" s="25">
        <v>0</v>
      </c>
      <c r="X300" s="25">
        <f t="shared" si="49"/>
        <v>3272</v>
      </c>
      <c r="Y300" s="12">
        <v>0</v>
      </c>
      <c r="Z300" s="25">
        <v>100</v>
      </c>
      <c r="AA300" s="25">
        <v>150</v>
      </c>
      <c r="AB300" s="25">
        <v>0</v>
      </c>
      <c r="AC300" s="25">
        <v>0</v>
      </c>
      <c r="AD300" s="25">
        <v>0</v>
      </c>
      <c r="AE300" s="25">
        <f t="shared" si="50"/>
        <v>410</v>
      </c>
      <c r="AF300" s="25">
        <f t="shared" si="51"/>
        <v>410</v>
      </c>
      <c r="AG300" s="25">
        <v>0</v>
      </c>
      <c r="AH300" s="25">
        <f t="shared" si="52"/>
        <v>6625</v>
      </c>
      <c r="AI300" s="25">
        <f t="shared" si="53"/>
        <v>87</v>
      </c>
      <c r="AJ300" s="25">
        <v>1</v>
      </c>
      <c r="AK300" s="25">
        <v>1000</v>
      </c>
      <c r="AL300" s="25">
        <v>100</v>
      </c>
      <c r="AM300" s="26">
        <v>10</v>
      </c>
      <c r="AN300" s="26">
        <v>10</v>
      </c>
      <c r="AO300" s="22" t="s">
        <v>2211</v>
      </c>
      <c r="AP300" s="26">
        <v>0</v>
      </c>
      <c r="AQ300" s="26">
        <f t="shared" si="54"/>
        <v>700</v>
      </c>
      <c r="AR300" s="18" t="str">
        <f ca="1">CONCATENATE(OFFSET(Sheet1!$A$2,RANDBETWEEN(2,500),0,1,1),OFFSET(Sheet1!$A$2,RANDBETWEEN(2,500),RANDBETWEEN(1,5),1,1))</f>
        <v>汉森</v>
      </c>
      <c r="AS300">
        <f>SUMPRODUCT(P300:AI300,Sheet2!$B$3:$U$3)</f>
        <v>320223</v>
      </c>
    </row>
    <row r="301" spans="1:45" x14ac:dyDescent="0.15">
      <c r="A301" s="23">
        <v>300</v>
      </c>
      <c r="B301" s="18" t="s">
        <v>985</v>
      </c>
      <c r="C301" s="18">
        <f t="shared" si="44"/>
        <v>205</v>
      </c>
      <c r="D301" s="19">
        <f t="shared" si="45"/>
        <v>2</v>
      </c>
      <c r="E301" s="19">
        <f>VLOOKUP(MOD(A301,4),各职业基础配置!C$32:D$35,2,FALSE)</f>
        <v>1</v>
      </c>
      <c r="F301" s="19">
        <f>IF(A301&lt;900,INDEX(各职业基础配置!C$23:C$28,MOD(ROW(A301),4)+1),0)</f>
        <v>13</v>
      </c>
      <c r="G301" s="19">
        <f t="shared" si="46"/>
        <v>76</v>
      </c>
      <c r="H301" s="27">
        <f t="shared" si="47"/>
        <v>2</v>
      </c>
      <c r="I301" s="6" t="s">
        <v>164</v>
      </c>
      <c r="J301" s="23" t="str">
        <f>VLOOKUP(E301,各职业基础配置!$B$9:$C$12,2,FALSE)</f>
        <v>101|102|103|4201|105</v>
      </c>
      <c r="K301" s="18" t="str">
        <f>VLOOKUP(E301,各职业基础配置!$B$15:$C$18,2,FALSE)</f>
        <v>24|25|26|27</v>
      </c>
      <c r="L301" s="18" t="str">
        <f>VLOOKUP(E301,各职业基础配置!B:C,2,FALSE)</f>
        <v>[{24,1,1},{25,1,1},{26,1,1},{27,1,1},{1,1,1},{2,1,1},{3,1,1}]</v>
      </c>
      <c r="M301" s="18">
        <v>0</v>
      </c>
      <c r="N301" s="18">
        <f t="shared" si="48"/>
        <v>3</v>
      </c>
      <c r="O301" s="18">
        <f>SUMPRODUCT(P301:AI301,Sheet2!$B$3:$U$3)</f>
        <v>320198</v>
      </c>
      <c r="P301" s="18">
        <f>CEILING(INDEX([1]系统模型!$VD:$VD,MATCH(C301,[1]系统模型!$A:$A,0))*POWER(C301/220,3.8)-50+(1000-A301),1)</f>
        <v>6595</v>
      </c>
      <c r="Q301" s="18">
        <f>CEILING(INDEX([1]系统模型!$VE:$VE,MATCH(C301,[1]系统模型!$A:$A,0))*POWER(C301/220,4),1)</f>
        <v>1113</v>
      </c>
      <c r="R301" s="18">
        <f>INT(INDEX([1]系统模型!$VF:$VF,MATCH(C301,[1]系统模型!$A:$A,0))*MAX(POWER(C301/180,4),0.5))</f>
        <v>65448</v>
      </c>
      <c r="S301" s="5">
        <v>1000</v>
      </c>
      <c r="T301" s="25">
        <v>0</v>
      </c>
      <c r="U301" s="25">
        <v>0</v>
      </c>
      <c r="V301" s="25">
        <v>0</v>
      </c>
      <c r="W301" s="25">
        <v>0</v>
      </c>
      <c r="X301" s="25">
        <f t="shared" si="49"/>
        <v>3272</v>
      </c>
      <c r="Y301" s="12">
        <v>0</v>
      </c>
      <c r="Z301" s="25">
        <v>100</v>
      </c>
      <c r="AA301" s="25">
        <v>150</v>
      </c>
      <c r="AB301" s="25">
        <v>0</v>
      </c>
      <c r="AC301" s="25">
        <v>0</v>
      </c>
      <c r="AD301" s="25">
        <v>0</v>
      </c>
      <c r="AE301" s="25">
        <f t="shared" si="50"/>
        <v>410</v>
      </c>
      <c r="AF301" s="25">
        <f t="shared" si="51"/>
        <v>410</v>
      </c>
      <c r="AG301" s="25">
        <v>0</v>
      </c>
      <c r="AH301" s="25">
        <f t="shared" si="52"/>
        <v>6625</v>
      </c>
      <c r="AI301" s="25">
        <f t="shared" si="53"/>
        <v>87</v>
      </c>
      <c r="AJ301" s="25">
        <v>1</v>
      </c>
      <c r="AK301" s="25">
        <v>1000</v>
      </c>
      <c r="AL301" s="25">
        <v>100</v>
      </c>
      <c r="AM301" s="26">
        <v>10</v>
      </c>
      <c r="AN301" s="26">
        <v>10</v>
      </c>
      <c r="AO301" s="22" t="s">
        <v>2211</v>
      </c>
      <c r="AP301" s="26">
        <v>0</v>
      </c>
      <c r="AQ301" s="26">
        <f t="shared" si="54"/>
        <v>700</v>
      </c>
      <c r="AR301" s="18" t="str">
        <f ca="1">CONCATENATE(OFFSET(Sheet1!$A$2,RANDBETWEEN(2,500),0,1,1),OFFSET(Sheet1!$A$2,RANDBETWEEN(2,500),RANDBETWEEN(1,5),1,1))</f>
        <v>博斯韦尔</v>
      </c>
      <c r="AS301">
        <f>SUMPRODUCT(P301:AI301,Sheet2!$B$3:$U$3)</f>
        <v>320198</v>
      </c>
    </row>
    <row r="302" spans="1:45" x14ac:dyDescent="0.15">
      <c r="A302" s="18">
        <v>301</v>
      </c>
      <c r="B302" s="18" t="s">
        <v>245</v>
      </c>
      <c r="C302" s="18">
        <f t="shared" si="44"/>
        <v>205</v>
      </c>
      <c r="D302" s="19">
        <f t="shared" si="45"/>
        <v>3</v>
      </c>
      <c r="E302" s="19">
        <f>VLOOKUP(MOD(A302,4),各职业基础配置!C$32:D$35,2,FALSE)</f>
        <v>3</v>
      </c>
      <c r="F302" s="19">
        <f>IF(A302&lt;900,INDEX(各职业基础配置!C$23:C$28,MOD(ROW(A302),4)+1),0)</f>
        <v>14</v>
      </c>
      <c r="G302" s="19">
        <f t="shared" si="46"/>
        <v>76</v>
      </c>
      <c r="H302" s="27">
        <f t="shared" si="47"/>
        <v>2</v>
      </c>
      <c r="I302" s="6" t="s">
        <v>164</v>
      </c>
      <c r="J302" s="23" t="str">
        <f>VLOOKUP(E302,各职业基础配置!$B$9:$C$12,2,FALSE)</f>
        <v>106|107|108|4201|110</v>
      </c>
      <c r="K302" s="18" t="str">
        <f>VLOOKUP(E302,各职业基础配置!$B$15:$C$18,2,FALSE)</f>
        <v>20|21|22|23</v>
      </c>
      <c r="L302" s="18" t="str">
        <f>VLOOKUP(E302,各职业基础配置!B:C,2,FALSE)</f>
        <v>[{20,1,1},{21,1,1},{22,1,1},{23,1,1},{4,1,1},{5,1,1},{6,1,1}]</v>
      </c>
      <c r="M302" s="18">
        <v>0</v>
      </c>
      <c r="N302" s="18">
        <f t="shared" si="48"/>
        <v>7</v>
      </c>
      <c r="O302" s="18">
        <f>SUMPRODUCT(P302:AI302,Sheet2!$B$3:$U$3)</f>
        <v>320173</v>
      </c>
      <c r="P302" s="18">
        <f>CEILING(INDEX([1]系统模型!$VD:$VD,MATCH(C302,[1]系统模型!$A:$A,0))*POWER(C302/220,3.8)-50+(1000-A302),1)</f>
        <v>6594</v>
      </c>
      <c r="Q302" s="18">
        <f>CEILING(INDEX([1]系统模型!$VE:$VE,MATCH(C302,[1]系统模型!$A:$A,0))*POWER(C302/220,4),1)</f>
        <v>1113</v>
      </c>
      <c r="R302" s="18">
        <f>INT(INDEX([1]系统模型!$VF:$VF,MATCH(C302,[1]系统模型!$A:$A,0))*MAX(POWER(C302/180,4),0.5))</f>
        <v>65448</v>
      </c>
      <c r="S302" s="5">
        <v>1000</v>
      </c>
      <c r="T302" s="25">
        <v>0</v>
      </c>
      <c r="U302" s="25">
        <v>0</v>
      </c>
      <c r="V302" s="25">
        <v>0</v>
      </c>
      <c r="W302" s="25">
        <v>0</v>
      </c>
      <c r="X302" s="25">
        <f t="shared" si="49"/>
        <v>3272</v>
      </c>
      <c r="Y302" s="12">
        <v>0</v>
      </c>
      <c r="Z302" s="25">
        <v>100</v>
      </c>
      <c r="AA302" s="25">
        <v>150</v>
      </c>
      <c r="AB302" s="25">
        <v>0</v>
      </c>
      <c r="AC302" s="25">
        <v>0</v>
      </c>
      <c r="AD302" s="25">
        <v>0</v>
      </c>
      <c r="AE302" s="25">
        <f t="shared" si="50"/>
        <v>410</v>
      </c>
      <c r="AF302" s="25">
        <f t="shared" si="51"/>
        <v>410</v>
      </c>
      <c r="AG302" s="25">
        <v>0</v>
      </c>
      <c r="AH302" s="25">
        <f t="shared" si="52"/>
        <v>6625</v>
      </c>
      <c r="AI302" s="25">
        <f t="shared" si="53"/>
        <v>87</v>
      </c>
      <c r="AJ302" s="25">
        <v>1</v>
      </c>
      <c r="AK302" s="25">
        <v>1000</v>
      </c>
      <c r="AL302" s="25">
        <v>100</v>
      </c>
      <c r="AM302" s="26">
        <v>10</v>
      </c>
      <c r="AN302" s="26">
        <v>10</v>
      </c>
      <c r="AO302" s="22" t="s">
        <v>2211</v>
      </c>
      <c r="AP302" s="26">
        <v>0</v>
      </c>
      <c r="AQ302" s="26">
        <f t="shared" si="54"/>
        <v>700</v>
      </c>
      <c r="AR302" s="18" t="str">
        <f ca="1">CONCATENATE(OFFSET(Sheet1!$A$2,RANDBETWEEN(2,500),0,1,1),OFFSET(Sheet1!$A$2,RANDBETWEEN(2,500),RANDBETWEEN(1,5),1,1))</f>
        <v>多丽丝凯伦</v>
      </c>
      <c r="AS302">
        <f>SUMPRODUCT(P302:AI302,Sheet2!$B$3:$U$3)</f>
        <v>320173</v>
      </c>
    </row>
    <row r="303" spans="1:45" x14ac:dyDescent="0.15">
      <c r="A303" s="18">
        <v>302</v>
      </c>
      <c r="B303" s="18" t="s">
        <v>1953</v>
      </c>
      <c r="C303" s="18">
        <f t="shared" si="44"/>
        <v>205</v>
      </c>
      <c r="D303" s="19">
        <f t="shared" si="45"/>
        <v>2</v>
      </c>
      <c r="E303" s="19">
        <f>VLOOKUP(MOD(A303,4),各职业基础配置!C$32:D$35,2,FALSE)</f>
        <v>6</v>
      </c>
      <c r="F303" s="19">
        <f>IF(A303&lt;900,INDEX(各职业基础配置!C$23:C$28,MOD(ROW(A303),4)+1),0)</f>
        <v>16</v>
      </c>
      <c r="G303" s="19">
        <f t="shared" si="46"/>
        <v>76</v>
      </c>
      <c r="H303" s="27">
        <f t="shared" si="47"/>
        <v>2</v>
      </c>
      <c r="I303" s="6" t="s">
        <v>164</v>
      </c>
      <c r="J303" s="23" t="str">
        <f>VLOOKUP(E303,各职业基础配置!$B$9:$C$12,2,FALSE)</f>
        <v>111|112|113|4201|115</v>
      </c>
      <c r="K303" s="18" t="str">
        <f>VLOOKUP(E303,各职业基础配置!$B$15:$C$18,2,FALSE)</f>
        <v>32|33|34</v>
      </c>
      <c r="L303" s="18" t="str">
        <f>VLOOKUP(E303,各职业基础配置!B:C,2,FALSE)</f>
        <v>[{32,1,1},{33,1,1},{34,1,1},{35,1,1},{7,1,1},{8,1,1},{9,1,1}]</v>
      </c>
      <c r="M303" s="18">
        <v>0</v>
      </c>
      <c r="N303" s="18">
        <f t="shared" si="48"/>
        <v>7</v>
      </c>
      <c r="O303" s="18">
        <f>SUMPRODUCT(P303:AI303,Sheet2!$B$3:$U$3)</f>
        <v>320148</v>
      </c>
      <c r="P303" s="18">
        <f>CEILING(INDEX([1]系统模型!$VD:$VD,MATCH(C303,[1]系统模型!$A:$A,0))*POWER(C303/220,3.8)-50+(1000-A303),1)</f>
        <v>6593</v>
      </c>
      <c r="Q303" s="18">
        <f>CEILING(INDEX([1]系统模型!$VE:$VE,MATCH(C303,[1]系统模型!$A:$A,0))*POWER(C303/220,4),1)</f>
        <v>1113</v>
      </c>
      <c r="R303" s="18">
        <f>INT(INDEX([1]系统模型!$VF:$VF,MATCH(C303,[1]系统模型!$A:$A,0))*MAX(POWER(C303/180,4),0.5))</f>
        <v>65448</v>
      </c>
      <c r="S303" s="5">
        <v>1000</v>
      </c>
      <c r="T303" s="25">
        <v>0</v>
      </c>
      <c r="U303" s="25">
        <v>0</v>
      </c>
      <c r="V303" s="25">
        <v>0</v>
      </c>
      <c r="W303" s="25">
        <v>0</v>
      </c>
      <c r="X303" s="25">
        <f t="shared" si="49"/>
        <v>3272</v>
      </c>
      <c r="Y303" s="12">
        <v>0</v>
      </c>
      <c r="Z303" s="25">
        <v>100</v>
      </c>
      <c r="AA303" s="25">
        <v>150</v>
      </c>
      <c r="AB303" s="25">
        <v>0</v>
      </c>
      <c r="AC303" s="25">
        <v>0</v>
      </c>
      <c r="AD303" s="25">
        <v>0</v>
      </c>
      <c r="AE303" s="25">
        <f t="shared" si="50"/>
        <v>410</v>
      </c>
      <c r="AF303" s="25">
        <f t="shared" si="51"/>
        <v>410</v>
      </c>
      <c r="AG303" s="25">
        <v>0</v>
      </c>
      <c r="AH303" s="25">
        <f t="shared" si="52"/>
        <v>6625</v>
      </c>
      <c r="AI303" s="25">
        <f t="shared" si="53"/>
        <v>87</v>
      </c>
      <c r="AJ303" s="25">
        <v>1</v>
      </c>
      <c r="AK303" s="25">
        <v>1000</v>
      </c>
      <c r="AL303" s="25">
        <v>100</v>
      </c>
      <c r="AM303" s="26">
        <v>10</v>
      </c>
      <c r="AN303" s="26">
        <v>10</v>
      </c>
      <c r="AO303" s="22" t="s">
        <v>2211</v>
      </c>
      <c r="AP303" s="26">
        <v>0</v>
      </c>
      <c r="AQ303" s="26">
        <f t="shared" si="54"/>
        <v>700</v>
      </c>
      <c r="AR303" s="18" t="str">
        <f ca="1">CONCATENATE(OFFSET(Sheet1!$A$2,RANDBETWEEN(2,500),0,1,1),OFFSET(Sheet1!$A$2,RANDBETWEEN(2,500),RANDBETWEEN(1,5),1,1))</f>
        <v>琼赫瑟尔</v>
      </c>
      <c r="AS303">
        <f>SUMPRODUCT(P303:AI303,Sheet2!$B$3:$U$3)</f>
        <v>320148</v>
      </c>
    </row>
    <row r="304" spans="1:45" x14ac:dyDescent="0.15">
      <c r="A304" s="23">
        <v>303</v>
      </c>
      <c r="B304" s="18" t="s">
        <v>1101</v>
      </c>
      <c r="C304" s="18">
        <f t="shared" si="44"/>
        <v>205</v>
      </c>
      <c r="D304" s="19">
        <f t="shared" si="45"/>
        <v>3</v>
      </c>
      <c r="E304" s="19">
        <f>VLOOKUP(MOD(A304,4),各职业基础配置!C$32:D$35,2,FALSE)</f>
        <v>9</v>
      </c>
      <c r="F304" s="19">
        <f>IF(A304&lt;900,INDEX(各职业基础配置!C$23:C$28,MOD(ROW(A304),4)+1),0)</f>
        <v>8</v>
      </c>
      <c r="G304" s="19">
        <f t="shared" si="46"/>
        <v>76</v>
      </c>
      <c r="H304" s="27">
        <f t="shared" si="47"/>
        <v>2</v>
      </c>
      <c r="I304" s="6" t="s">
        <v>164</v>
      </c>
      <c r="J304" s="23" t="str">
        <f>VLOOKUP(E304,各职业基础配置!$B$9:$C$12,2,FALSE)</f>
        <v>116|117|118|4201|120</v>
      </c>
      <c r="K304" s="18" t="str">
        <f>VLOOKUP(E304,各职业基础配置!$B$15:$C$18,2,FALSE)</f>
        <v>28|29|30|31</v>
      </c>
      <c r="L304" s="18" t="str">
        <f>VLOOKUP(E304,各职业基础配置!B:C,2,FALSE)</f>
        <v>[{28,1,1},{29,1,1},{30,1,1},{31,1,1},{10,1,1},{11,1,1},{12,1,1}]</v>
      </c>
      <c r="M304" s="18">
        <v>0</v>
      </c>
      <c r="N304" s="18">
        <f t="shared" si="48"/>
        <v>3</v>
      </c>
      <c r="O304" s="18">
        <f>SUMPRODUCT(P304:AI304,Sheet2!$B$3:$U$3)</f>
        <v>320123</v>
      </c>
      <c r="P304" s="18">
        <f>CEILING(INDEX([1]系统模型!$VD:$VD,MATCH(C304,[1]系统模型!$A:$A,0))*POWER(C304/220,3.8)-50+(1000-A304),1)</f>
        <v>6592</v>
      </c>
      <c r="Q304" s="18">
        <f>CEILING(INDEX([1]系统模型!$VE:$VE,MATCH(C304,[1]系统模型!$A:$A,0))*POWER(C304/220,4),1)</f>
        <v>1113</v>
      </c>
      <c r="R304" s="18">
        <f>INT(INDEX([1]系统模型!$VF:$VF,MATCH(C304,[1]系统模型!$A:$A,0))*MAX(POWER(C304/180,4),0.5))</f>
        <v>65448</v>
      </c>
      <c r="S304" s="5">
        <v>1000</v>
      </c>
      <c r="T304" s="25">
        <v>0</v>
      </c>
      <c r="U304" s="25">
        <v>0</v>
      </c>
      <c r="V304" s="25">
        <v>0</v>
      </c>
      <c r="W304" s="25">
        <v>0</v>
      </c>
      <c r="X304" s="25">
        <f t="shared" si="49"/>
        <v>3272</v>
      </c>
      <c r="Y304" s="12">
        <v>0</v>
      </c>
      <c r="Z304" s="25">
        <v>100</v>
      </c>
      <c r="AA304" s="25">
        <v>150</v>
      </c>
      <c r="AB304" s="25">
        <v>0</v>
      </c>
      <c r="AC304" s="25">
        <v>0</v>
      </c>
      <c r="AD304" s="25">
        <v>0</v>
      </c>
      <c r="AE304" s="25">
        <f t="shared" si="50"/>
        <v>410</v>
      </c>
      <c r="AF304" s="25">
        <f t="shared" si="51"/>
        <v>410</v>
      </c>
      <c r="AG304" s="25">
        <v>0</v>
      </c>
      <c r="AH304" s="25">
        <f t="shared" si="52"/>
        <v>6625</v>
      </c>
      <c r="AI304" s="25">
        <f t="shared" si="53"/>
        <v>87</v>
      </c>
      <c r="AJ304" s="25">
        <v>1</v>
      </c>
      <c r="AK304" s="25">
        <v>1000</v>
      </c>
      <c r="AL304" s="25">
        <v>100</v>
      </c>
      <c r="AM304" s="26">
        <v>10</v>
      </c>
      <c r="AN304" s="26">
        <v>10</v>
      </c>
      <c r="AO304" s="22" t="s">
        <v>2211</v>
      </c>
      <c r="AP304" s="26">
        <v>0</v>
      </c>
      <c r="AQ304" s="26">
        <f t="shared" si="54"/>
        <v>700</v>
      </c>
      <c r="AR304" s="18" t="str">
        <f ca="1">CONCATENATE(OFFSET(Sheet1!$A$2,RANDBETWEEN(2,500),0,1,1),OFFSET(Sheet1!$A$2,RANDBETWEEN(2,500),RANDBETWEEN(1,5),1,1))</f>
        <v>贝丝</v>
      </c>
      <c r="AS304">
        <f>SUMPRODUCT(P304:AI304,Sheet2!$B$3:$U$3)</f>
        <v>320123</v>
      </c>
    </row>
    <row r="305" spans="1:45" x14ac:dyDescent="0.15">
      <c r="A305" s="18">
        <v>304</v>
      </c>
      <c r="B305" s="18" t="s">
        <v>1330</v>
      </c>
      <c r="C305" s="18">
        <f t="shared" si="44"/>
        <v>205</v>
      </c>
      <c r="D305" s="19">
        <f t="shared" si="45"/>
        <v>2</v>
      </c>
      <c r="E305" s="19">
        <f>VLOOKUP(MOD(A305,4),各职业基础配置!C$32:D$35,2,FALSE)</f>
        <v>1</v>
      </c>
      <c r="F305" s="19">
        <f>IF(A305&lt;900,INDEX(各职业基础配置!C$23:C$28,MOD(ROW(A305),4)+1),0)</f>
        <v>13</v>
      </c>
      <c r="G305" s="19">
        <f t="shared" si="46"/>
        <v>76</v>
      </c>
      <c r="H305" s="27">
        <f t="shared" si="47"/>
        <v>2</v>
      </c>
      <c r="I305" s="6" t="s">
        <v>164</v>
      </c>
      <c r="J305" s="23" t="str">
        <f>VLOOKUP(E305,各职业基础配置!$B$9:$C$12,2,FALSE)</f>
        <v>101|102|103|4201|105</v>
      </c>
      <c r="K305" s="18" t="str">
        <f>VLOOKUP(E305,各职业基础配置!$B$15:$C$18,2,FALSE)</f>
        <v>24|25|26|27</v>
      </c>
      <c r="L305" s="18" t="str">
        <f>VLOOKUP(E305,各职业基础配置!B:C,2,FALSE)</f>
        <v>[{24,1,1},{25,1,1},{26,1,1},{27,1,1},{1,1,1},{2,1,1},{3,1,1}]</v>
      </c>
      <c r="M305" s="18">
        <v>0</v>
      </c>
      <c r="N305" s="18">
        <f t="shared" si="48"/>
        <v>3</v>
      </c>
      <c r="O305" s="18">
        <f>SUMPRODUCT(P305:AI305,Sheet2!$B$3:$U$3)</f>
        <v>320098</v>
      </c>
      <c r="P305" s="18">
        <f>CEILING(INDEX([1]系统模型!$VD:$VD,MATCH(C305,[1]系统模型!$A:$A,0))*POWER(C305/220,3.8)-50+(1000-A305),1)</f>
        <v>6591</v>
      </c>
      <c r="Q305" s="18">
        <f>CEILING(INDEX([1]系统模型!$VE:$VE,MATCH(C305,[1]系统模型!$A:$A,0))*POWER(C305/220,4),1)</f>
        <v>1113</v>
      </c>
      <c r="R305" s="18">
        <f>INT(INDEX([1]系统模型!$VF:$VF,MATCH(C305,[1]系统模型!$A:$A,0))*MAX(POWER(C305/180,4),0.5))</f>
        <v>65448</v>
      </c>
      <c r="S305" s="5">
        <v>1000</v>
      </c>
      <c r="T305" s="25">
        <v>0</v>
      </c>
      <c r="U305" s="25">
        <v>0</v>
      </c>
      <c r="V305" s="25">
        <v>0</v>
      </c>
      <c r="W305" s="25">
        <v>0</v>
      </c>
      <c r="X305" s="25">
        <f t="shared" si="49"/>
        <v>3272</v>
      </c>
      <c r="Y305" s="12">
        <v>0</v>
      </c>
      <c r="Z305" s="25">
        <v>100</v>
      </c>
      <c r="AA305" s="25">
        <v>150</v>
      </c>
      <c r="AB305" s="25">
        <v>0</v>
      </c>
      <c r="AC305" s="25">
        <v>0</v>
      </c>
      <c r="AD305" s="25">
        <v>0</v>
      </c>
      <c r="AE305" s="25">
        <f t="shared" si="50"/>
        <v>410</v>
      </c>
      <c r="AF305" s="25">
        <f t="shared" si="51"/>
        <v>410</v>
      </c>
      <c r="AG305" s="25">
        <v>0</v>
      </c>
      <c r="AH305" s="25">
        <f t="shared" si="52"/>
        <v>6625</v>
      </c>
      <c r="AI305" s="25">
        <f t="shared" si="53"/>
        <v>87</v>
      </c>
      <c r="AJ305" s="25">
        <v>1</v>
      </c>
      <c r="AK305" s="25">
        <v>1000</v>
      </c>
      <c r="AL305" s="25">
        <v>100</v>
      </c>
      <c r="AM305" s="26">
        <v>10</v>
      </c>
      <c r="AN305" s="26">
        <v>10</v>
      </c>
      <c r="AO305" s="22" t="s">
        <v>2211</v>
      </c>
      <c r="AP305" s="26">
        <v>0</v>
      </c>
      <c r="AQ305" s="26">
        <f t="shared" si="54"/>
        <v>690</v>
      </c>
      <c r="AR305" s="18" t="str">
        <f ca="1">CONCATENATE(OFFSET(Sheet1!$A$2,RANDBETWEEN(2,500),0,1,1),OFFSET(Sheet1!$A$2,RANDBETWEEN(2,500),RANDBETWEEN(1,5),1,1))</f>
        <v>贝齐可妮莉雅</v>
      </c>
      <c r="AS305">
        <f>SUMPRODUCT(P305:AI305,Sheet2!$B$3:$U$3)</f>
        <v>320098</v>
      </c>
    </row>
    <row r="306" spans="1:45" x14ac:dyDescent="0.15">
      <c r="A306" s="18">
        <v>305</v>
      </c>
      <c r="B306" s="18" t="s">
        <v>864</v>
      </c>
      <c r="C306" s="18">
        <f t="shared" si="44"/>
        <v>204</v>
      </c>
      <c r="D306" s="19">
        <f t="shared" si="45"/>
        <v>3</v>
      </c>
      <c r="E306" s="19">
        <f>VLOOKUP(MOD(A306,4),各职业基础配置!C$32:D$35,2,FALSE)</f>
        <v>3</v>
      </c>
      <c r="F306" s="19">
        <f>IF(A306&lt;900,INDEX(各职业基础配置!C$23:C$28,MOD(ROW(A306),4)+1),0)</f>
        <v>14</v>
      </c>
      <c r="G306" s="19">
        <f t="shared" si="46"/>
        <v>73</v>
      </c>
      <c r="H306" s="27">
        <f t="shared" si="47"/>
        <v>2</v>
      </c>
      <c r="I306" s="6" t="s">
        <v>164</v>
      </c>
      <c r="J306" s="23" t="str">
        <f>VLOOKUP(E306,各职业基础配置!$B$9:$C$12,2,FALSE)</f>
        <v>106|107|108|4201|110</v>
      </c>
      <c r="K306" s="18" t="str">
        <f>VLOOKUP(E306,各职业基础配置!$B$15:$C$18,2,FALSE)</f>
        <v>20|21|22|23</v>
      </c>
      <c r="L306" s="18" t="str">
        <f>VLOOKUP(E306,各职业基础配置!B:C,2,FALSE)</f>
        <v>[{20,1,1},{21,1,1},{22,1,1},{23,1,1},{4,1,1},{5,1,1},{6,1,1}]</v>
      </c>
      <c r="M306" s="18">
        <v>0</v>
      </c>
      <c r="N306" s="18">
        <f t="shared" si="48"/>
        <v>7</v>
      </c>
      <c r="O306" s="18">
        <f>SUMPRODUCT(P306:AI306,Sheet2!$B$3:$U$3)</f>
        <v>311922</v>
      </c>
      <c r="P306" s="18">
        <f>CEILING(INDEX([1]系统模型!$VD:$VD,MATCH(C306,[1]系统模型!$A:$A,0))*POWER(C306/220,3.8)-50+(1000-A306),1)</f>
        <v>6401</v>
      </c>
      <c r="Q306" s="18">
        <f>CEILING(INDEX([1]系统模型!$VE:$VE,MATCH(C306,[1]系统模型!$A:$A,0))*POWER(C306/220,4),1)</f>
        <v>1077</v>
      </c>
      <c r="R306" s="18">
        <f>INT(INDEX([1]系统模型!$VF:$VF,MATCH(C306,[1]系统模型!$A:$A,0))*MAX(POWER(C306/180,4),0.5))</f>
        <v>63447</v>
      </c>
      <c r="S306" s="5">
        <v>1000</v>
      </c>
      <c r="T306" s="25">
        <v>0</v>
      </c>
      <c r="U306" s="25">
        <v>0</v>
      </c>
      <c r="V306" s="25">
        <v>0</v>
      </c>
      <c r="W306" s="25">
        <v>0</v>
      </c>
      <c r="X306" s="25">
        <f t="shared" si="49"/>
        <v>3172</v>
      </c>
      <c r="Y306" s="12">
        <v>0</v>
      </c>
      <c r="Z306" s="25">
        <v>100</v>
      </c>
      <c r="AA306" s="25">
        <v>150</v>
      </c>
      <c r="AB306" s="25">
        <v>0</v>
      </c>
      <c r="AC306" s="25">
        <v>0</v>
      </c>
      <c r="AD306" s="25">
        <v>0</v>
      </c>
      <c r="AE306" s="25">
        <f t="shared" si="50"/>
        <v>408</v>
      </c>
      <c r="AF306" s="25">
        <f t="shared" si="51"/>
        <v>408</v>
      </c>
      <c r="AG306" s="25">
        <v>0</v>
      </c>
      <c r="AH306" s="25">
        <f t="shared" si="52"/>
        <v>6550</v>
      </c>
      <c r="AI306" s="25">
        <f t="shared" si="53"/>
        <v>85</v>
      </c>
      <c r="AJ306" s="25">
        <v>1</v>
      </c>
      <c r="AK306" s="25">
        <v>1000</v>
      </c>
      <c r="AL306" s="25">
        <v>100</v>
      </c>
      <c r="AM306" s="26">
        <v>10</v>
      </c>
      <c r="AN306" s="26">
        <v>10</v>
      </c>
      <c r="AO306" s="22" t="s">
        <v>2211</v>
      </c>
      <c r="AP306" s="26">
        <v>0</v>
      </c>
      <c r="AQ306" s="26">
        <f t="shared" si="54"/>
        <v>690</v>
      </c>
      <c r="AR306" s="18" t="str">
        <f ca="1">CONCATENATE(OFFSET(Sheet1!$A$2,RANDBETWEEN(2,500),0,1,1),OFFSET(Sheet1!$A$2,RANDBETWEEN(2,500),RANDBETWEEN(1,5),1,1))</f>
        <v>哈代哈迪米兰达</v>
      </c>
      <c r="AS306">
        <f>SUMPRODUCT(P306:AI306,Sheet2!$B$3:$U$3)</f>
        <v>311922</v>
      </c>
    </row>
    <row r="307" spans="1:45" x14ac:dyDescent="0.15">
      <c r="A307" s="23">
        <v>306</v>
      </c>
      <c r="B307" s="18" t="s">
        <v>1365</v>
      </c>
      <c r="C307" s="18">
        <f t="shared" si="44"/>
        <v>204</v>
      </c>
      <c r="D307" s="19">
        <f t="shared" si="45"/>
        <v>2</v>
      </c>
      <c r="E307" s="19">
        <f>VLOOKUP(MOD(A307,4),各职业基础配置!C$32:D$35,2,FALSE)</f>
        <v>6</v>
      </c>
      <c r="F307" s="19">
        <f>IF(A307&lt;900,INDEX(各职业基础配置!C$23:C$28,MOD(ROW(A307),4)+1),0)</f>
        <v>16</v>
      </c>
      <c r="G307" s="19">
        <f t="shared" si="46"/>
        <v>73</v>
      </c>
      <c r="H307" s="27">
        <f t="shared" si="47"/>
        <v>2</v>
      </c>
      <c r="I307" s="6" t="s">
        <v>164</v>
      </c>
      <c r="J307" s="23" t="str">
        <f>VLOOKUP(E307,各职业基础配置!$B$9:$C$12,2,FALSE)</f>
        <v>111|112|113|4201|115</v>
      </c>
      <c r="K307" s="18" t="str">
        <f>VLOOKUP(E307,各职业基础配置!$B$15:$C$18,2,FALSE)</f>
        <v>32|33|34</v>
      </c>
      <c r="L307" s="18" t="str">
        <f>VLOOKUP(E307,各职业基础配置!B:C,2,FALSE)</f>
        <v>[{32,1,1},{33,1,1},{34,1,1},{35,1,1},{7,1,1},{8,1,1},{9,1,1}]</v>
      </c>
      <c r="M307" s="18">
        <v>0</v>
      </c>
      <c r="N307" s="18">
        <f t="shared" si="48"/>
        <v>7</v>
      </c>
      <c r="O307" s="18">
        <f>SUMPRODUCT(P307:AI307,Sheet2!$B$3:$U$3)</f>
        <v>311897</v>
      </c>
      <c r="P307" s="18">
        <f>CEILING(INDEX([1]系统模型!$VD:$VD,MATCH(C307,[1]系统模型!$A:$A,0))*POWER(C307/220,3.8)-50+(1000-A307),1)</f>
        <v>6400</v>
      </c>
      <c r="Q307" s="18">
        <f>CEILING(INDEX([1]系统模型!$VE:$VE,MATCH(C307,[1]系统模型!$A:$A,0))*POWER(C307/220,4),1)</f>
        <v>1077</v>
      </c>
      <c r="R307" s="18">
        <f>INT(INDEX([1]系统模型!$VF:$VF,MATCH(C307,[1]系统模型!$A:$A,0))*MAX(POWER(C307/180,4),0.5))</f>
        <v>63447</v>
      </c>
      <c r="S307" s="5">
        <v>1000</v>
      </c>
      <c r="T307" s="25">
        <v>0</v>
      </c>
      <c r="U307" s="25">
        <v>0</v>
      </c>
      <c r="V307" s="25">
        <v>0</v>
      </c>
      <c r="W307" s="25">
        <v>0</v>
      </c>
      <c r="X307" s="25">
        <f t="shared" si="49"/>
        <v>3172</v>
      </c>
      <c r="Y307" s="12">
        <v>0</v>
      </c>
      <c r="Z307" s="25">
        <v>100</v>
      </c>
      <c r="AA307" s="25">
        <v>150</v>
      </c>
      <c r="AB307" s="25">
        <v>0</v>
      </c>
      <c r="AC307" s="25">
        <v>0</v>
      </c>
      <c r="AD307" s="25">
        <v>0</v>
      </c>
      <c r="AE307" s="25">
        <f t="shared" si="50"/>
        <v>408</v>
      </c>
      <c r="AF307" s="25">
        <f t="shared" si="51"/>
        <v>408</v>
      </c>
      <c r="AG307" s="25">
        <v>0</v>
      </c>
      <c r="AH307" s="25">
        <f t="shared" si="52"/>
        <v>6550</v>
      </c>
      <c r="AI307" s="25">
        <f t="shared" si="53"/>
        <v>85</v>
      </c>
      <c r="AJ307" s="25">
        <v>1</v>
      </c>
      <c r="AK307" s="25">
        <v>1000</v>
      </c>
      <c r="AL307" s="25">
        <v>100</v>
      </c>
      <c r="AM307" s="26">
        <v>10</v>
      </c>
      <c r="AN307" s="26">
        <v>10</v>
      </c>
      <c r="AO307" s="22" t="s">
        <v>2211</v>
      </c>
      <c r="AP307" s="26">
        <v>0</v>
      </c>
      <c r="AQ307" s="26">
        <f t="shared" si="54"/>
        <v>690</v>
      </c>
      <c r="AR307" s="18" t="str">
        <f ca="1">CONCATENATE(OFFSET(Sheet1!$A$2,RANDBETWEEN(2,500),0,1,1),OFFSET(Sheet1!$A$2,RANDBETWEEN(2,500),RANDBETWEEN(1,5),1,1))</f>
        <v>杜波依斯海棠</v>
      </c>
      <c r="AS307">
        <f>SUMPRODUCT(P307:AI307,Sheet2!$B$3:$U$3)</f>
        <v>311897</v>
      </c>
    </row>
    <row r="308" spans="1:45" x14ac:dyDescent="0.15">
      <c r="A308" s="18">
        <v>307</v>
      </c>
      <c r="B308" s="18" t="s">
        <v>1083</v>
      </c>
      <c r="C308" s="18">
        <f t="shared" si="44"/>
        <v>204</v>
      </c>
      <c r="D308" s="19">
        <f t="shared" si="45"/>
        <v>3</v>
      </c>
      <c r="E308" s="19">
        <f>VLOOKUP(MOD(A308,4),各职业基础配置!C$32:D$35,2,FALSE)</f>
        <v>9</v>
      </c>
      <c r="F308" s="19">
        <f>IF(A308&lt;900,INDEX(各职业基础配置!C$23:C$28,MOD(ROW(A308),4)+1),0)</f>
        <v>8</v>
      </c>
      <c r="G308" s="19">
        <f t="shared" si="46"/>
        <v>73</v>
      </c>
      <c r="H308" s="27">
        <f t="shared" si="47"/>
        <v>2</v>
      </c>
      <c r="I308" s="6" t="s">
        <v>164</v>
      </c>
      <c r="J308" s="23" t="str">
        <f>VLOOKUP(E308,各职业基础配置!$B$9:$C$12,2,FALSE)</f>
        <v>116|117|118|4201|120</v>
      </c>
      <c r="K308" s="18" t="str">
        <f>VLOOKUP(E308,各职业基础配置!$B$15:$C$18,2,FALSE)</f>
        <v>28|29|30|31</v>
      </c>
      <c r="L308" s="18" t="str">
        <f>VLOOKUP(E308,各职业基础配置!B:C,2,FALSE)</f>
        <v>[{28,1,1},{29,1,1},{30,1,1},{31,1,1},{10,1,1},{11,1,1},{12,1,1}]</v>
      </c>
      <c r="M308" s="18">
        <v>0</v>
      </c>
      <c r="N308" s="18">
        <f t="shared" si="48"/>
        <v>3</v>
      </c>
      <c r="O308" s="18">
        <f>SUMPRODUCT(P308:AI308,Sheet2!$B$3:$U$3)</f>
        <v>311872</v>
      </c>
      <c r="P308" s="18">
        <f>CEILING(INDEX([1]系统模型!$VD:$VD,MATCH(C308,[1]系统模型!$A:$A,0))*POWER(C308/220,3.8)-50+(1000-A308),1)</f>
        <v>6399</v>
      </c>
      <c r="Q308" s="18">
        <f>CEILING(INDEX([1]系统模型!$VE:$VE,MATCH(C308,[1]系统模型!$A:$A,0))*POWER(C308/220,4),1)</f>
        <v>1077</v>
      </c>
      <c r="R308" s="18">
        <f>INT(INDEX([1]系统模型!$VF:$VF,MATCH(C308,[1]系统模型!$A:$A,0))*MAX(POWER(C308/180,4),0.5))</f>
        <v>63447</v>
      </c>
      <c r="S308" s="5">
        <v>1000</v>
      </c>
      <c r="T308" s="25">
        <v>0</v>
      </c>
      <c r="U308" s="25">
        <v>0</v>
      </c>
      <c r="V308" s="25">
        <v>0</v>
      </c>
      <c r="W308" s="25">
        <v>0</v>
      </c>
      <c r="X308" s="25">
        <f t="shared" si="49"/>
        <v>3172</v>
      </c>
      <c r="Y308" s="12">
        <v>0</v>
      </c>
      <c r="Z308" s="25">
        <v>100</v>
      </c>
      <c r="AA308" s="25">
        <v>150</v>
      </c>
      <c r="AB308" s="25">
        <v>0</v>
      </c>
      <c r="AC308" s="25">
        <v>0</v>
      </c>
      <c r="AD308" s="25">
        <v>0</v>
      </c>
      <c r="AE308" s="25">
        <f t="shared" si="50"/>
        <v>408</v>
      </c>
      <c r="AF308" s="25">
        <f t="shared" si="51"/>
        <v>408</v>
      </c>
      <c r="AG308" s="25">
        <v>0</v>
      </c>
      <c r="AH308" s="25">
        <f t="shared" si="52"/>
        <v>6550</v>
      </c>
      <c r="AI308" s="25">
        <f t="shared" si="53"/>
        <v>85</v>
      </c>
      <c r="AJ308" s="25">
        <v>1</v>
      </c>
      <c r="AK308" s="25">
        <v>1000</v>
      </c>
      <c r="AL308" s="25">
        <v>100</v>
      </c>
      <c r="AM308" s="26">
        <v>10</v>
      </c>
      <c r="AN308" s="26">
        <v>10</v>
      </c>
      <c r="AO308" s="22" t="s">
        <v>2211</v>
      </c>
      <c r="AP308" s="26">
        <v>0</v>
      </c>
      <c r="AQ308" s="26">
        <f t="shared" si="54"/>
        <v>690</v>
      </c>
      <c r="AR308" s="18" t="str">
        <f ca="1">CONCATENATE(OFFSET(Sheet1!$A$2,RANDBETWEEN(2,500),0,1,1),OFFSET(Sheet1!$A$2,RANDBETWEEN(2,500),RANDBETWEEN(1,5),1,1))</f>
        <v>克拉彭迷糊</v>
      </c>
      <c r="AS308">
        <f>SUMPRODUCT(P308:AI308,Sheet2!$B$3:$U$3)</f>
        <v>311872</v>
      </c>
    </row>
    <row r="309" spans="1:45" x14ac:dyDescent="0.15">
      <c r="A309" s="18">
        <v>308</v>
      </c>
      <c r="B309" s="18" t="s">
        <v>1009</v>
      </c>
      <c r="C309" s="18">
        <f t="shared" si="44"/>
        <v>204</v>
      </c>
      <c r="D309" s="19">
        <f t="shared" si="45"/>
        <v>2</v>
      </c>
      <c r="E309" s="19">
        <f>VLOOKUP(MOD(A309,4),各职业基础配置!C$32:D$35,2,FALSE)</f>
        <v>1</v>
      </c>
      <c r="F309" s="19">
        <f>IF(A309&lt;900,INDEX(各职业基础配置!C$23:C$28,MOD(ROW(A309),4)+1),0)</f>
        <v>13</v>
      </c>
      <c r="G309" s="19">
        <f t="shared" si="46"/>
        <v>73</v>
      </c>
      <c r="H309" s="27">
        <f t="shared" si="47"/>
        <v>2</v>
      </c>
      <c r="I309" s="6" t="s">
        <v>164</v>
      </c>
      <c r="J309" s="23" t="str">
        <f>VLOOKUP(E309,各职业基础配置!$B$9:$C$12,2,FALSE)</f>
        <v>101|102|103|4201|105</v>
      </c>
      <c r="K309" s="18" t="str">
        <f>VLOOKUP(E309,各职业基础配置!$B$15:$C$18,2,FALSE)</f>
        <v>24|25|26|27</v>
      </c>
      <c r="L309" s="18" t="str">
        <f>VLOOKUP(E309,各职业基础配置!B:C,2,FALSE)</f>
        <v>[{24,1,1},{25,1,1},{26,1,1},{27,1,1},{1,1,1},{2,1,1},{3,1,1}]</v>
      </c>
      <c r="M309" s="18">
        <v>0</v>
      </c>
      <c r="N309" s="18">
        <f t="shared" si="48"/>
        <v>3</v>
      </c>
      <c r="O309" s="18">
        <f>SUMPRODUCT(P309:AI309,Sheet2!$B$3:$U$3)</f>
        <v>311847</v>
      </c>
      <c r="P309" s="18">
        <f>CEILING(INDEX([1]系统模型!$VD:$VD,MATCH(C309,[1]系统模型!$A:$A,0))*POWER(C309/220,3.8)-50+(1000-A309),1)</f>
        <v>6398</v>
      </c>
      <c r="Q309" s="18">
        <f>CEILING(INDEX([1]系统模型!$VE:$VE,MATCH(C309,[1]系统模型!$A:$A,0))*POWER(C309/220,4),1)</f>
        <v>1077</v>
      </c>
      <c r="R309" s="18">
        <f>INT(INDEX([1]系统模型!$VF:$VF,MATCH(C309,[1]系统模型!$A:$A,0))*MAX(POWER(C309/180,4),0.5))</f>
        <v>63447</v>
      </c>
      <c r="S309" s="5">
        <v>1000</v>
      </c>
      <c r="T309" s="25">
        <v>0</v>
      </c>
      <c r="U309" s="25">
        <v>0</v>
      </c>
      <c r="V309" s="25">
        <v>0</v>
      </c>
      <c r="W309" s="25">
        <v>0</v>
      </c>
      <c r="X309" s="25">
        <f t="shared" si="49"/>
        <v>3172</v>
      </c>
      <c r="Y309" s="12">
        <v>0</v>
      </c>
      <c r="Z309" s="25">
        <v>100</v>
      </c>
      <c r="AA309" s="25">
        <v>150</v>
      </c>
      <c r="AB309" s="25">
        <v>0</v>
      </c>
      <c r="AC309" s="25">
        <v>0</v>
      </c>
      <c r="AD309" s="25">
        <v>0</v>
      </c>
      <c r="AE309" s="25">
        <f t="shared" si="50"/>
        <v>408</v>
      </c>
      <c r="AF309" s="25">
        <f t="shared" si="51"/>
        <v>408</v>
      </c>
      <c r="AG309" s="25">
        <v>0</v>
      </c>
      <c r="AH309" s="25">
        <f t="shared" si="52"/>
        <v>6550</v>
      </c>
      <c r="AI309" s="25">
        <f t="shared" si="53"/>
        <v>85</v>
      </c>
      <c r="AJ309" s="25">
        <v>1</v>
      </c>
      <c r="AK309" s="25">
        <v>1000</v>
      </c>
      <c r="AL309" s="25">
        <v>100</v>
      </c>
      <c r="AM309" s="26">
        <v>10</v>
      </c>
      <c r="AN309" s="26">
        <v>10</v>
      </c>
      <c r="AO309" s="22" t="s">
        <v>2211</v>
      </c>
      <c r="AP309" s="26">
        <v>0</v>
      </c>
      <c r="AQ309" s="26">
        <f t="shared" si="54"/>
        <v>690</v>
      </c>
      <c r="AR309" s="18" t="str">
        <f ca="1">CONCATENATE(OFFSET(Sheet1!$A$2,RANDBETWEEN(2,500),0,1,1),OFFSET(Sheet1!$A$2,RANDBETWEEN(2,500),RANDBETWEEN(1,5),1,1))</f>
        <v>巴克耳夏天</v>
      </c>
      <c r="AS309">
        <f>SUMPRODUCT(P309:AI309,Sheet2!$B$3:$U$3)</f>
        <v>311847</v>
      </c>
    </row>
    <row r="310" spans="1:45" x14ac:dyDescent="0.15">
      <c r="A310" s="23">
        <v>309</v>
      </c>
      <c r="B310" s="18" t="s">
        <v>1954</v>
      </c>
      <c r="C310" s="18">
        <f t="shared" si="44"/>
        <v>204</v>
      </c>
      <c r="D310" s="19">
        <f t="shared" si="45"/>
        <v>3</v>
      </c>
      <c r="E310" s="19">
        <f>VLOOKUP(MOD(A310,4),各职业基础配置!C$32:D$35,2,FALSE)</f>
        <v>3</v>
      </c>
      <c r="F310" s="19">
        <f>IF(A310&lt;900,INDEX(各职业基础配置!C$23:C$28,MOD(ROW(A310),4)+1),0)</f>
        <v>14</v>
      </c>
      <c r="G310" s="19">
        <f t="shared" si="46"/>
        <v>73</v>
      </c>
      <c r="H310" s="27">
        <f t="shared" si="47"/>
        <v>2</v>
      </c>
      <c r="I310" s="6" t="s">
        <v>164</v>
      </c>
      <c r="J310" s="23" t="str">
        <f>VLOOKUP(E310,各职业基础配置!$B$9:$C$12,2,FALSE)</f>
        <v>106|107|108|4201|110</v>
      </c>
      <c r="K310" s="18" t="str">
        <f>VLOOKUP(E310,各职业基础配置!$B$15:$C$18,2,FALSE)</f>
        <v>20|21|22|23</v>
      </c>
      <c r="L310" s="18" t="str">
        <f>VLOOKUP(E310,各职业基础配置!B:C,2,FALSE)</f>
        <v>[{20,1,1},{21,1,1},{22,1,1},{23,1,1},{4,1,1},{5,1,1},{6,1,1}]</v>
      </c>
      <c r="M310" s="18">
        <v>0</v>
      </c>
      <c r="N310" s="18">
        <f t="shared" si="48"/>
        <v>7</v>
      </c>
      <c r="O310" s="18">
        <f>SUMPRODUCT(P310:AI310,Sheet2!$B$3:$U$3)</f>
        <v>311822</v>
      </c>
      <c r="P310" s="18">
        <f>CEILING(INDEX([1]系统模型!$VD:$VD,MATCH(C310,[1]系统模型!$A:$A,0))*POWER(C310/220,3.8)-50+(1000-A310),1)</f>
        <v>6397</v>
      </c>
      <c r="Q310" s="18">
        <f>CEILING(INDEX([1]系统模型!$VE:$VE,MATCH(C310,[1]系统模型!$A:$A,0))*POWER(C310/220,4),1)</f>
        <v>1077</v>
      </c>
      <c r="R310" s="18">
        <f>INT(INDEX([1]系统模型!$VF:$VF,MATCH(C310,[1]系统模型!$A:$A,0))*MAX(POWER(C310/180,4),0.5))</f>
        <v>63447</v>
      </c>
      <c r="S310" s="5">
        <v>1000</v>
      </c>
      <c r="T310" s="25">
        <v>0</v>
      </c>
      <c r="U310" s="25">
        <v>0</v>
      </c>
      <c r="V310" s="25">
        <v>0</v>
      </c>
      <c r="W310" s="25">
        <v>0</v>
      </c>
      <c r="X310" s="25">
        <f t="shared" si="49"/>
        <v>3172</v>
      </c>
      <c r="Y310" s="12">
        <v>0</v>
      </c>
      <c r="Z310" s="25">
        <v>100</v>
      </c>
      <c r="AA310" s="25">
        <v>150</v>
      </c>
      <c r="AB310" s="25">
        <v>0</v>
      </c>
      <c r="AC310" s="25">
        <v>0</v>
      </c>
      <c r="AD310" s="25">
        <v>0</v>
      </c>
      <c r="AE310" s="25">
        <f t="shared" si="50"/>
        <v>408</v>
      </c>
      <c r="AF310" s="25">
        <f t="shared" si="51"/>
        <v>408</v>
      </c>
      <c r="AG310" s="25">
        <v>0</v>
      </c>
      <c r="AH310" s="25">
        <f t="shared" si="52"/>
        <v>6550</v>
      </c>
      <c r="AI310" s="25">
        <f t="shared" si="53"/>
        <v>85</v>
      </c>
      <c r="AJ310" s="25">
        <v>1</v>
      </c>
      <c r="AK310" s="25">
        <v>1000</v>
      </c>
      <c r="AL310" s="25">
        <v>100</v>
      </c>
      <c r="AM310" s="26">
        <v>10</v>
      </c>
      <c r="AN310" s="26">
        <v>10</v>
      </c>
      <c r="AO310" s="22" t="s">
        <v>2211</v>
      </c>
      <c r="AP310" s="26">
        <v>0</v>
      </c>
      <c r="AQ310" s="26">
        <f t="shared" si="54"/>
        <v>690</v>
      </c>
      <c r="AR310" s="18" t="str">
        <f ca="1">CONCATENATE(OFFSET(Sheet1!$A$2,RANDBETWEEN(2,500),0,1,1),OFFSET(Sheet1!$A$2,RANDBETWEEN(2,500),RANDBETWEEN(1,5),1,1))</f>
        <v>凯雷</v>
      </c>
      <c r="AS310">
        <f>SUMPRODUCT(P310:AI310,Sheet2!$B$3:$U$3)</f>
        <v>311822</v>
      </c>
    </row>
    <row r="311" spans="1:45" x14ac:dyDescent="0.15">
      <c r="A311" s="18">
        <v>310</v>
      </c>
      <c r="B311" s="18" t="s">
        <v>1955</v>
      </c>
      <c r="C311" s="18">
        <f t="shared" si="44"/>
        <v>204</v>
      </c>
      <c r="D311" s="19">
        <f t="shared" si="45"/>
        <v>2</v>
      </c>
      <c r="E311" s="19">
        <f>VLOOKUP(MOD(A311,4),各职业基础配置!C$32:D$35,2,FALSE)</f>
        <v>6</v>
      </c>
      <c r="F311" s="19">
        <f>IF(A311&lt;900,INDEX(各职业基础配置!C$23:C$28,MOD(ROW(A311),4)+1),0)</f>
        <v>16</v>
      </c>
      <c r="G311" s="19">
        <f t="shared" si="46"/>
        <v>73</v>
      </c>
      <c r="H311" s="27">
        <f t="shared" si="47"/>
        <v>2</v>
      </c>
      <c r="I311" s="6" t="s">
        <v>164</v>
      </c>
      <c r="J311" s="23" t="str">
        <f>VLOOKUP(E311,各职业基础配置!$B$9:$C$12,2,FALSE)</f>
        <v>111|112|113|4201|115</v>
      </c>
      <c r="K311" s="18" t="str">
        <f>VLOOKUP(E311,各职业基础配置!$B$15:$C$18,2,FALSE)</f>
        <v>32|33|34</v>
      </c>
      <c r="L311" s="18" t="str">
        <f>VLOOKUP(E311,各职业基础配置!B:C,2,FALSE)</f>
        <v>[{32,1,1},{33,1,1},{34,1,1},{35,1,1},{7,1,1},{8,1,1},{9,1,1}]</v>
      </c>
      <c r="M311" s="18">
        <v>0</v>
      </c>
      <c r="N311" s="18">
        <f t="shared" si="48"/>
        <v>7</v>
      </c>
      <c r="O311" s="18">
        <f>SUMPRODUCT(P311:AI311,Sheet2!$B$3:$U$3)</f>
        <v>311797</v>
      </c>
      <c r="P311" s="18">
        <f>CEILING(INDEX([1]系统模型!$VD:$VD,MATCH(C311,[1]系统模型!$A:$A,0))*POWER(C311/220,3.8)-50+(1000-A311),1)</f>
        <v>6396</v>
      </c>
      <c r="Q311" s="18">
        <f>CEILING(INDEX([1]系统模型!$VE:$VE,MATCH(C311,[1]系统模型!$A:$A,0))*POWER(C311/220,4),1)</f>
        <v>1077</v>
      </c>
      <c r="R311" s="18">
        <f>INT(INDEX([1]系统模型!$VF:$VF,MATCH(C311,[1]系统模型!$A:$A,0))*MAX(POWER(C311/180,4),0.5))</f>
        <v>63447</v>
      </c>
      <c r="S311" s="5">
        <v>1000</v>
      </c>
      <c r="T311" s="25">
        <v>0</v>
      </c>
      <c r="U311" s="25">
        <v>0</v>
      </c>
      <c r="V311" s="25">
        <v>0</v>
      </c>
      <c r="W311" s="25">
        <v>0</v>
      </c>
      <c r="X311" s="25">
        <f t="shared" si="49"/>
        <v>3172</v>
      </c>
      <c r="Y311" s="12">
        <v>0</v>
      </c>
      <c r="Z311" s="25">
        <v>100</v>
      </c>
      <c r="AA311" s="25">
        <v>150</v>
      </c>
      <c r="AB311" s="25">
        <v>0</v>
      </c>
      <c r="AC311" s="25">
        <v>0</v>
      </c>
      <c r="AD311" s="25">
        <v>0</v>
      </c>
      <c r="AE311" s="25">
        <f t="shared" si="50"/>
        <v>408</v>
      </c>
      <c r="AF311" s="25">
        <f t="shared" si="51"/>
        <v>408</v>
      </c>
      <c r="AG311" s="25">
        <v>0</v>
      </c>
      <c r="AH311" s="25">
        <f t="shared" si="52"/>
        <v>6550</v>
      </c>
      <c r="AI311" s="25">
        <f t="shared" si="53"/>
        <v>85</v>
      </c>
      <c r="AJ311" s="25">
        <v>1</v>
      </c>
      <c r="AK311" s="25">
        <v>1000</v>
      </c>
      <c r="AL311" s="25">
        <v>100</v>
      </c>
      <c r="AM311" s="26">
        <v>10</v>
      </c>
      <c r="AN311" s="26">
        <v>10</v>
      </c>
      <c r="AO311" s="22" t="s">
        <v>2211</v>
      </c>
      <c r="AP311" s="26">
        <v>0</v>
      </c>
      <c r="AQ311" s="26">
        <f t="shared" si="54"/>
        <v>690</v>
      </c>
      <c r="AR311" s="18" t="str">
        <f ca="1">CONCATENATE(OFFSET(Sheet1!$A$2,RANDBETWEEN(2,500),0,1,1),OFFSET(Sheet1!$A$2,RANDBETWEEN(2,500),RANDBETWEEN(1,5),1,1))</f>
        <v>康拉德</v>
      </c>
      <c r="AS311">
        <f>SUMPRODUCT(P311:AI311,Sheet2!$B$3:$U$3)</f>
        <v>311797</v>
      </c>
    </row>
    <row r="312" spans="1:45" x14ac:dyDescent="0.15">
      <c r="A312" s="18">
        <v>311</v>
      </c>
      <c r="B312" s="18" t="s">
        <v>1362</v>
      </c>
      <c r="C312" s="18">
        <f t="shared" si="44"/>
        <v>203</v>
      </c>
      <c r="D312" s="19">
        <f t="shared" si="45"/>
        <v>3</v>
      </c>
      <c r="E312" s="19">
        <f>VLOOKUP(MOD(A312,4),各职业基础配置!C$32:D$35,2,FALSE)</f>
        <v>9</v>
      </c>
      <c r="F312" s="19">
        <f>IF(A312&lt;900,INDEX(各职业基础配置!C$23:C$28,MOD(ROW(A312),4)+1),0)</f>
        <v>8</v>
      </c>
      <c r="G312" s="19">
        <f t="shared" si="46"/>
        <v>71</v>
      </c>
      <c r="H312" s="27">
        <f t="shared" si="47"/>
        <v>2</v>
      </c>
      <c r="I312" s="6" t="s">
        <v>164</v>
      </c>
      <c r="J312" s="23" t="str">
        <f>VLOOKUP(E312,各职业基础配置!$B$9:$C$12,2,FALSE)</f>
        <v>116|117|118|4201|120</v>
      </c>
      <c r="K312" s="18" t="str">
        <f>VLOOKUP(E312,各职业基础配置!$B$15:$C$18,2,FALSE)</f>
        <v>28|29|30|31</v>
      </c>
      <c r="L312" s="18" t="str">
        <f>VLOOKUP(E312,各职业基础配置!B:C,2,FALSE)</f>
        <v>[{28,1,1},{29,1,1},{30,1,1},{31,1,1},{10,1,1},{11,1,1},{12,1,1}]</v>
      </c>
      <c r="M312" s="18">
        <v>0</v>
      </c>
      <c r="N312" s="18">
        <f t="shared" si="48"/>
        <v>3</v>
      </c>
      <c r="O312" s="18">
        <f>SUMPRODUCT(P312:AI312,Sheet2!$B$3:$U$3)</f>
        <v>304294</v>
      </c>
      <c r="P312" s="18">
        <f>CEILING(INDEX([1]系统模型!$VD:$VD,MATCH(C312,[1]系统模型!$A:$A,0))*POWER(C312/220,3.8)-50+(1000-A312),1)</f>
        <v>6241</v>
      </c>
      <c r="Q312" s="18">
        <f>CEILING(INDEX([1]系统模型!$VE:$VE,MATCH(C312,[1]系统模型!$A:$A,0))*POWER(C312/220,4),1)</f>
        <v>1038</v>
      </c>
      <c r="R312" s="18">
        <f>INT(INDEX([1]系统模型!$VF:$VF,MATCH(C312,[1]系统模型!$A:$A,0))*MAX(POWER(C312/180,4),0.5))</f>
        <v>61319</v>
      </c>
      <c r="S312" s="5">
        <v>1000</v>
      </c>
      <c r="T312" s="25">
        <v>0</v>
      </c>
      <c r="U312" s="25">
        <v>0</v>
      </c>
      <c r="V312" s="25">
        <v>0</v>
      </c>
      <c r="W312" s="25">
        <v>0</v>
      </c>
      <c r="X312" s="25">
        <f t="shared" si="49"/>
        <v>3065</v>
      </c>
      <c r="Y312" s="12">
        <v>0</v>
      </c>
      <c r="Z312" s="25">
        <v>100</v>
      </c>
      <c r="AA312" s="25">
        <v>150</v>
      </c>
      <c r="AB312" s="25">
        <v>0</v>
      </c>
      <c r="AC312" s="25">
        <v>0</v>
      </c>
      <c r="AD312" s="25">
        <v>0</v>
      </c>
      <c r="AE312" s="25">
        <f t="shared" si="50"/>
        <v>406</v>
      </c>
      <c r="AF312" s="25">
        <f t="shared" si="51"/>
        <v>406</v>
      </c>
      <c r="AG312" s="25">
        <v>0</v>
      </c>
      <c r="AH312" s="25">
        <f t="shared" si="52"/>
        <v>6475</v>
      </c>
      <c r="AI312" s="25">
        <f t="shared" si="53"/>
        <v>83</v>
      </c>
      <c r="AJ312" s="25">
        <v>1</v>
      </c>
      <c r="AK312" s="25">
        <v>1000</v>
      </c>
      <c r="AL312" s="25">
        <v>100</v>
      </c>
      <c r="AM312" s="26">
        <v>10</v>
      </c>
      <c r="AN312" s="26">
        <v>10</v>
      </c>
      <c r="AO312" s="22" t="s">
        <v>2211</v>
      </c>
      <c r="AP312" s="26">
        <v>0</v>
      </c>
      <c r="AQ312" s="26">
        <f t="shared" si="54"/>
        <v>690</v>
      </c>
      <c r="AR312" s="18" t="str">
        <f ca="1">CONCATENATE(OFFSET(Sheet1!$A$2,RANDBETWEEN(2,500),0,1,1),OFFSET(Sheet1!$A$2,RANDBETWEEN(2,500),RANDBETWEEN(1,5),1,1))</f>
        <v>哈利法克斯</v>
      </c>
      <c r="AS312">
        <f>SUMPRODUCT(P312:AI312,Sheet2!$B$3:$U$3)</f>
        <v>304294</v>
      </c>
    </row>
    <row r="313" spans="1:45" x14ac:dyDescent="0.15">
      <c r="A313" s="23">
        <v>312</v>
      </c>
      <c r="B313" s="18" t="s">
        <v>319</v>
      </c>
      <c r="C313" s="18">
        <f t="shared" si="44"/>
        <v>203</v>
      </c>
      <c r="D313" s="19">
        <f t="shared" si="45"/>
        <v>2</v>
      </c>
      <c r="E313" s="19">
        <f>VLOOKUP(MOD(A313,4),各职业基础配置!C$32:D$35,2,FALSE)</f>
        <v>1</v>
      </c>
      <c r="F313" s="19">
        <f>IF(A313&lt;900,INDEX(各职业基础配置!C$23:C$28,MOD(ROW(A313),4)+1),0)</f>
        <v>13</v>
      </c>
      <c r="G313" s="19">
        <f t="shared" si="46"/>
        <v>71</v>
      </c>
      <c r="H313" s="27">
        <f t="shared" si="47"/>
        <v>2</v>
      </c>
      <c r="I313" s="6" t="s">
        <v>164</v>
      </c>
      <c r="J313" s="23" t="str">
        <f>VLOOKUP(E313,各职业基础配置!$B$9:$C$12,2,FALSE)</f>
        <v>101|102|103|4201|105</v>
      </c>
      <c r="K313" s="18" t="str">
        <f>VLOOKUP(E313,各职业基础配置!$B$15:$C$18,2,FALSE)</f>
        <v>24|25|26|27</v>
      </c>
      <c r="L313" s="18" t="str">
        <f>VLOOKUP(E313,各职业基础配置!B:C,2,FALSE)</f>
        <v>[{24,1,1},{25,1,1},{26,1,1},{27,1,1},{1,1,1},{2,1,1},{3,1,1}]</v>
      </c>
      <c r="M313" s="18">
        <v>0</v>
      </c>
      <c r="N313" s="18">
        <f t="shared" si="48"/>
        <v>3</v>
      </c>
      <c r="O313" s="18">
        <f>SUMPRODUCT(P313:AI313,Sheet2!$B$3:$U$3)</f>
        <v>304269</v>
      </c>
      <c r="P313" s="18">
        <f>CEILING(INDEX([1]系统模型!$VD:$VD,MATCH(C313,[1]系统模型!$A:$A,0))*POWER(C313/220,3.8)-50+(1000-A313),1)</f>
        <v>6240</v>
      </c>
      <c r="Q313" s="18">
        <f>CEILING(INDEX([1]系统模型!$VE:$VE,MATCH(C313,[1]系统模型!$A:$A,0))*POWER(C313/220,4),1)</f>
        <v>1038</v>
      </c>
      <c r="R313" s="18">
        <f>INT(INDEX([1]系统模型!$VF:$VF,MATCH(C313,[1]系统模型!$A:$A,0))*MAX(POWER(C313/180,4),0.5))</f>
        <v>61319</v>
      </c>
      <c r="S313" s="5">
        <v>1000</v>
      </c>
      <c r="T313" s="25">
        <v>0</v>
      </c>
      <c r="U313" s="25">
        <v>0</v>
      </c>
      <c r="V313" s="25">
        <v>0</v>
      </c>
      <c r="W313" s="25">
        <v>0</v>
      </c>
      <c r="X313" s="25">
        <f t="shared" si="49"/>
        <v>3065</v>
      </c>
      <c r="Y313" s="12">
        <v>0</v>
      </c>
      <c r="Z313" s="25">
        <v>100</v>
      </c>
      <c r="AA313" s="25">
        <v>150</v>
      </c>
      <c r="AB313" s="25">
        <v>0</v>
      </c>
      <c r="AC313" s="25">
        <v>0</v>
      </c>
      <c r="AD313" s="25">
        <v>0</v>
      </c>
      <c r="AE313" s="25">
        <f t="shared" si="50"/>
        <v>406</v>
      </c>
      <c r="AF313" s="25">
        <f t="shared" si="51"/>
        <v>406</v>
      </c>
      <c r="AG313" s="25">
        <v>0</v>
      </c>
      <c r="AH313" s="25">
        <f t="shared" si="52"/>
        <v>6475</v>
      </c>
      <c r="AI313" s="25">
        <f t="shared" si="53"/>
        <v>83</v>
      </c>
      <c r="AJ313" s="25">
        <v>1</v>
      </c>
      <c r="AK313" s="25">
        <v>1000</v>
      </c>
      <c r="AL313" s="25">
        <v>100</v>
      </c>
      <c r="AM313" s="26">
        <v>10</v>
      </c>
      <c r="AN313" s="26">
        <v>10</v>
      </c>
      <c r="AO313" s="22" t="s">
        <v>2211</v>
      </c>
      <c r="AP313" s="26">
        <v>0</v>
      </c>
      <c r="AQ313" s="26">
        <f t="shared" si="54"/>
        <v>690</v>
      </c>
      <c r="AR313" s="18" t="str">
        <f ca="1">CONCATENATE(OFFSET(Sheet1!$A$2,RANDBETWEEN(2,500),0,1,1),OFFSET(Sheet1!$A$2,RANDBETWEEN(2,500),RANDBETWEEN(1,5),1,1))</f>
        <v>亨里埃塔小娜</v>
      </c>
      <c r="AS313">
        <f>SUMPRODUCT(P313:AI313,Sheet2!$B$3:$U$3)</f>
        <v>304269</v>
      </c>
    </row>
    <row r="314" spans="1:45" x14ac:dyDescent="0.15">
      <c r="A314" s="18">
        <v>313</v>
      </c>
      <c r="B314" s="18" t="s">
        <v>932</v>
      </c>
      <c r="C314" s="18">
        <f t="shared" si="44"/>
        <v>203</v>
      </c>
      <c r="D314" s="19">
        <f t="shared" si="45"/>
        <v>3</v>
      </c>
      <c r="E314" s="19">
        <f>VLOOKUP(MOD(A314,4),各职业基础配置!C$32:D$35,2,FALSE)</f>
        <v>3</v>
      </c>
      <c r="F314" s="19">
        <f>IF(A314&lt;900,INDEX(各职业基础配置!C$23:C$28,MOD(ROW(A314),4)+1),0)</f>
        <v>14</v>
      </c>
      <c r="G314" s="19">
        <f t="shared" si="46"/>
        <v>71</v>
      </c>
      <c r="H314" s="27">
        <f t="shared" si="47"/>
        <v>2</v>
      </c>
      <c r="I314" s="6" t="s">
        <v>164</v>
      </c>
      <c r="J314" s="23" t="str">
        <f>VLOOKUP(E314,各职业基础配置!$B$9:$C$12,2,FALSE)</f>
        <v>106|107|108|4201|110</v>
      </c>
      <c r="K314" s="18" t="str">
        <f>VLOOKUP(E314,各职业基础配置!$B$15:$C$18,2,FALSE)</f>
        <v>20|21|22|23</v>
      </c>
      <c r="L314" s="18" t="str">
        <f>VLOOKUP(E314,各职业基础配置!B:C,2,FALSE)</f>
        <v>[{20,1,1},{21,1,1},{22,1,1},{23,1,1},{4,1,1},{5,1,1},{6,1,1}]</v>
      </c>
      <c r="M314" s="18">
        <v>0</v>
      </c>
      <c r="N314" s="18">
        <f t="shared" si="48"/>
        <v>7</v>
      </c>
      <c r="O314" s="18">
        <f>SUMPRODUCT(P314:AI314,Sheet2!$B$3:$U$3)</f>
        <v>304244</v>
      </c>
      <c r="P314" s="18">
        <f>CEILING(INDEX([1]系统模型!$VD:$VD,MATCH(C314,[1]系统模型!$A:$A,0))*POWER(C314/220,3.8)-50+(1000-A314),1)</f>
        <v>6239</v>
      </c>
      <c r="Q314" s="18">
        <f>CEILING(INDEX([1]系统模型!$VE:$VE,MATCH(C314,[1]系统模型!$A:$A,0))*POWER(C314/220,4),1)</f>
        <v>1038</v>
      </c>
      <c r="R314" s="18">
        <f>INT(INDEX([1]系统模型!$VF:$VF,MATCH(C314,[1]系统模型!$A:$A,0))*MAX(POWER(C314/180,4),0.5))</f>
        <v>61319</v>
      </c>
      <c r="S314" s="5">
        <v>1000</v>
      </c>
      <c r="T314" s="25">
        <v>0</v>
      </c>
      <c r="U314" s="25">
        <v>0</v>
      </c>
      <c r="V314" s="25">
        <v>0</v>
      </c>
      <c r="W314" s="25">
        <v>0</v>
      </c>
      <c r="X314" s="25">
        <f t="shared" si="49"/>
        <v>3065</v>
      </c>
      <c r="Y314" s="12">
        <v>0</v>
      </c>
      <c r="Z314" s="25">
        <v>100</v>
      </c>
      <c r="AA314" s="25">
        <v>150</v>
      </c>
      <c r="AB314" s="25">
        <v>0</v>
      </c>
      <c r="AC314" s="25">
        <v>0</v>
      </c>
      <c r="AD314" s="25">
        <v>0</v>
      </c>
      <c r="AE314" s="25">
        <f t="shared" si="50"/>
        <v>406</v>
      </c>
      <c r="AF314" s="25">
        <f t="shared" si="51"/>
        <v>406</v>
      </c>
      <c r="AG314" s="25">
        <v>0</v>
      </c>
      <c r="AH314" s="25">
        <f t="shared" si="52"/>
        <v>6475</v>
      </c>
      <c r="AI314" s="25">
        <f t="shared" si="53"/>
        <v>83</v>
      </c>
      <c r="AJ314" s="25">
        <v>1</v>
      </c>
      <c r="AK314" s="25">
        <v>1000</v>
      </c>
      <c r="AL314" s="25">
        <v>100</v>
      </c>
      <c r="AM314" s="26">
        <v>10</v>
      </c>
      <c r="AN314" s="26">
        <v>10</v>
      </c>
      <c r="AO314" s="22" t="s">
        <v>2211</v>
      </c>
      <c r="AP314" s="26">
        <v>0</v>
      </c>
      <c r="AQ314" s="26">
        <f t="shared" si="54"/>
        <v>690</v>
      </c>
      <c r="AR314" s="18" t="str">
        <f ca="1">CONCATENATE(OFFSET(Sheet1!$A$2,RANDBETWEEN(2,500),0,1,1),OFFSET(Sheet1!$A$2,RANDBETWEEN(2,500),RANDBETWEEN(1,5),1,1))</f>
        <v>丹尼尔小茜</v>
      </c>
      <c r="AS314">
        <f>SUMPRODUCT(P314:AI314,Sheet2!$B$3:$U$3)</f>
        <v>304244</v>
      </c>
    </row>
    <row r="315" spans="1:45" x14ac:dyDescent="0.15">
      <c r="A315" s="18">
        <v>314</v>
      </c>
      <c r="B315" s="18" t="s">
        <v>514</v>
      </c>
      <c r="C315" s="18">
        <f t="shared" si="44"/>
        <v>203</v>
      </c>
      <c r="D315" s="19">
        <f t="shared" si="45"/>
        <v>2</v>
      </c>
      <c r="E315" s="19">
        <f>VLOOKUP(MOD(A315,4),各职业基础配置!C$32:D$35,2,FALSE)</f>
        <v>6</v>
      </c>
      <c r="F315" s="19">
        <f>IF(A315&lt;900,INDEX(各职业基础配置!C$23:C$28,MOD(ROW(A315),4)+1),0)</f>
        <v>16</v>
      </c>
      <c r="G315" s="19">
        <f t="shared" si="46"/>
        <v>71</v>
      </c>
      <c r="H315" s="27">
        <f t="shared" si="47"/>
        <v>2</v>
      </c>
      <c r="I315" s="6" t="s">
        <v>164</v>
      </c>
      <c r="J315" s="23" t="str">
        <f>VLOOKUP(E315,各职业基础配置!$B$9:$C$12,2,FALSE)</f>
        <v>111|112|113|4201|115</v>
      </c>
      <c r="K315" s="18" t="str">
        <f>VLOOKUP(E315,各职业基础配置!$B$15:$C$18,2,FALSE)</f>
        <v>32|33|34</v>
      </c>
      <c r="L315" s="18" t="str">
        <f>VLOOKUP(E315,各职业基础配置!B:C,2,FALSE)</f>
        <v>[{32,1,1},{33,1,1},{34,1,1},{35,1,1},{7,1,1},{8,1,1},{9,1,1}]</v>
      </c>
      <c r="M315" s="18">
        <v>0</v>
      </c>
      <c r="N315" s="18">
        <f t="shared" si="48"/>
        <v>7</v>
      </c>
      <c r="O315" s="18">
        <f>SUMPRODUCT(P315:AI315,Sheet2!$B$3:$U$3)</f>
        <v>304219</v>
      </c>
      <c r="P315" s="18">
        <f>CEILING(INDEX([1]系统模型!$VD:$VD,MATCH(C315,[1]系统模型!$A:$A,0))*POWER(C315/220,3.8)-50+(1000-A315),1)</f>
        <v>6238</v>
      </c>
      <c r="Q315" s="18">
        <f>CEILING(INDEX([1]系统模型!$VE:$VE,MATCH(C315,[1]系统模型!$A:$A,0))*POWER(C315/220,4),1)</f>
        <v>1038</v>
      </c>
      <c r="R315" s="18">
        <f>INT(INDEX([1]系统模型!$VF:$VF,MATCH(C315,[1]系统模型!$A:$A,0))*MAX(POWER(C315/180,4),0.5))</f>
        <v>61319</v>
      </c>
      <c r="S315" s="5">
        <v>1000</v>
      </c>
      <c r="T315" s="25">
        <v>0</v>
      </c>
      <c r="U315" s="25">
        <v>0</v>
      </c>
      <c r="V315" s="25">
        <v>0</v>
      </c>
      <c r="W315" s="25">
        <v>0</v>
      </c>
      <c r="X315" s="25">
        <f t="shared" si="49"/>
        <v>3065</v>
      </c>
      <c r="Y315" s="12">
        <v>0</v>
      </c>
      <c r="Z315" s="25">
        <v>100</v>
      </c>
      <c r="AA315" s="25">
        <v>150</v>
      </c>
      <c r="AB315" s="25">
        <v>0</v>
      </c>
      <c r="AC315" s="25">
        <v>0</v>
      </c>
      <c r="AD315" s="25">
        <v>0</v>
      </c>
      <c r="AE315" s="25">
        <f t="shared" si="50"/>
        <v>406</v>
      </c>
      <c r="AF315" s="25">
        <f t="shared" si="51"/>
        <v>406</v>
      </c>
      <c r="AG315" s="25">
        <v>0</v>
      </c>
      <c r="AH315" s="25">
        <f t="shared" si="52"/>
        <v>6475</v>
      </c>
      <c r="AI315" s="25">
        <f t="shared" si="53"/>
        <v>83</v>
      </c>
      <c r="AJ315" s="25">
        <v>1</v>
      </c>
      <c r="AK315" s="25">
        <v>1000</v>
      </c>
      <c r="AL315" s="25">
        <v>100</v>
      </c>
      <c r="AM315" s="26">
        <v>10</v>
      </c>
      <c r="AN315" s="26">
        <v>10</v>
      </c>
      <c r="AO315" s="22" t="s">
        <v>2211</v>
      </c>
      <c r="AP315" s="26">
        <v>0</v>
      </c>
      <c r="AQ315" s="26">
        <f t="shared" si="54"/>
        <v>680</v>
      </c>
      <c r="AR315" s="18" t="str">
        <f ca="1">CONCATENATE(OFFSET(Sheet1!$A$2,RANDBETWEEN(2,500),0,1,1),OFFSET(Sheet1!$A$2,RANDBETWEEN(2,500),RANDBETWEEN(1,5),1,1))</f>
        <v>亚历克司马</v>
      </c>
      <c r="AS315">
        <f>SUMPRODUCT(P315:AI315,Sheet2!$B$3:$U$3)</f>
        <v>304219</v>
      </c>
    </row>
    <row r="316" spans="1:45" x14ac:dyDescent="0.15">
      <c r="A316" s="23">
        <v>315</v>
      </c>
      <c r="B316" s="18" t="s">
        <v>1956</v>
      </c>
      <c r="C316" s="18">
        <f t="shared" si="44"/>
        <v>203</v>
      </c>
      <c r="D316" s="19">
        <f t="shared" si="45"/>
        <v>3</v>
      </c>
      <c r="E316" s="19">
        <f>VLOOKUP(MOD(A316,4),各职业基础配置!C$32:D$35,2,FALSE)</f>
        <v>9</v>
      </c>
      <c r="F316" s="19">
        <f>IF(A316&lt;900,INDEX(各职业基础配置!C$23:C$28,MOD(ROW(A316),4)+1),0)</f>
        <v>8</v>
      </c>
      <c r="G316" s="19">
        <f t="shared" si="46"/>
        <v>71</v>
      </c>
      <c r="H316" s="27">
        <f t="shared" si="47"/>
        <v>2</v>
      </c>
      <c r="I316" s="6" t="s">
        <v>164</v>
      </c>
      <c r="J316" s="23" t="str">
        <f>VLOOKUP(E316,各职业基础配置!$B$9:$C$12,2,FALSE)</f>
        <v>116|117|118|4201|120</v>
      </c>
      <c r="K316" s="18" t="str">
        <f>VLOOKUP(E316,各职业基础配置!$B$15:$C$18,2,FALSE)</f>
        <v>28|29|30|31</v>
      </c>
      <c r="L316" s="18" t="str">
        <f>VLOOKUP(E316,各职业基础配置!B:C,2,FALSE)</f>
        <v>[{28,1,1},{29,1,1},{30,1,1},{31,1,1},{10,1,1},{11,1,1},{12,1,1}]</v>
      </c>
      <c r="M316" s="18">
        <v>0</v>
      </c>
      <c r="N316" s="18">
        <f t="shared" si="48"/>
        <v>3</v>
      </c>
      <c r="O316" s="18">
        <f>SUMPRODUCT(P316:AI316,Sheet2!$B$3:$U$3)</f>
        <v>304194</v>
      </c>
      <c r="P316" s="18">
        <f>CEILING(INDEX([1]系统模型!$VD:$VD,MATCH(C316,[1]系统模型!$A:$A,0))*POWER(C316/220,3.8)-50+(1000-A316),1)</f>
        <v>6237</v>
      </c>
      <c r="Q316" s="18">
        <f>CEILING(INDEX([1]系统模型!$VE:$VE,MATCH(C316,[1]系统模型!$A:$A,0))*POWER(C316/220,4),1)</f>
        <v>1038</v>
      </c>
      <c r="R316" s="18">
        <f>INT(INDEX([1]系统模型!$VF:$VF,MATCH(C316,[1]系统模型!$A:$A,0))*MAX(POWER(C316/180,4),0.5))</f>
        <v>61319</v>
      </c>
      <c r="S316" s="5">
        <v>1000</v>
      </c>
      <c r="T316" s="25">
        <v>0</v>
      </c>
      <c r="U316" s="25">
        <v>0</v>
      </c>
      <c r="V316" s="25">
        <v>0</v>
      </c>
      <c r="W316" s="25">
        <v>0</v>
      </c>
      <c r="X316" s="25">
        <f t="shared" si="49"/>
        <v>3065</v>
      </c>
      <c r="Y316" s="12">
        <v>0</v>
      </c>
      <c r="Z316" s="25">
        <v>100</v>
      </c>
      <c r="AA316" s="25">
        <v>150</v>
      </c>
      <c r="AB316" s="25">
        <v>0</v>
      </c>
      <c r="AC316" s="25">
        <v>0</v>
      </c>
      <c r="AD316" s="25">
        <v>0</v>
      </c>
      <c r="AE316" s="25">
        <f t="shared" si="50"/>
        <v>406</v>
      </c>
      <c r="AF316" s="25">
        <f t="shared" si="51"/>
        <v>406</v>
      </c>
      <c r="AG316" s="25">
        <v>0</v>
      </c>
      <c r="AH316" s="25">
        <f t="shared" si="52"/>
        <v>6475</v>
      </c>
      <c r="AI316" s="25">
        <f t="shared" si="53"/>
        <v>83</v>
      </c>
      <c r="AJ316" s="25">
        <v>1</v>
      </c>
      <c r="AK316" s="25">
        <v>1000</v>
      </c>
      <c r="AL316" s="25">
        <v>100</v>
      </c>
      <c r="AM316" s="26">
        <v>10</v>
      </c>
      <c r="AN316" s="26">
        <v>10</v>
      </c>
      <c r="AO316" s="22" t="s">
        <v>2211</v>
      </c>
      <c r="AP316" s="26">
        <v>0</v>
      </c>
      <c r="AQ316" s="26">
        <f t="shared" si="54"/>
        <v>680</v>
      </c>
      <c r="AR316" s="18" t="str">
        <f ca="1">CONCATENATE(OFFSET(Sheet1!$A$2,RANDBETWEEN(2,500),0,1,1),OFFSET(Sheet1!$A$2,RANDBETWEEN(2,500),RANDBETWEEN(1,5),1,1))</f>
        <v>福克纳</v>
      </c>
      <c r="AS316">
        <f>SUMPRODUCT(P316:AI316,Sheet2!$B$3:$U$3)</f>
        <v>304194</v>
      </c>
    </row>
    <row r="317" spans="1:45" x14ac:dyDescent="0.15">
      <c r="A317" s="18">
        <v>316</v>
      </c>
      <c r="B317" s="18" t="s">
        <v>1035</v>
      </c>
      <c r="C317" s="18">
        <f t="shared" si="44"/>
        <v>203</v>
      </c>
      <c r="D317" s="19">
        <f t="shared" si="45"/>
        <v>2</v>
      </c>
      <c r="E317" s="19">
        <f>VLOOKUP(MOD(A317,4),各职业基础配置!C$32:D$35,2,FALSE)</f>
        <v>1</v>
      </c>
      <c r="F317" s="19">
        <f>IF(A317&lt;900,INDEX(各职业基础配置!C$23:C$28,MOD(ROW(A317),4)+1),0)</f>
        <v>13</v>
      </c>
      <c r="G317" s="19">
        <f t="shared" si="46"/>
        <v>71</v>
      </c>
      <c r="H317" s="27">
        <f t="shared" si="47"/>
        <v>2</v>
      </c>
      <c r="I317" s="6" t="s">
        <v>164</v>
      </c>
      <c r="J317" s="23" t="str">
        <f>VLOOKUP(E317,各职业基础配置!$B$9:$C$12,2,FALSE)</f>
        <v>101|102|103|4201|105</v>
      </c>
      <c r="K317" s="18" t="str">
        <f>VLOOKUP(E317,各职业基础配置!$B$15:$C$18,2,FALSE)</f>
        <v>24|25|26|27</v>
      </c>
      <c r="L317" s="18" t="str">
        <f>VLOOKUP(E317,各职业基础配置!B:C,2,FALSE)</f>
        <v>[{24,1,1},{25,1,1},{26,1,1},{27,1,1},{1,1,1},{2,1,1},{3,1,1}]</v>
      </c>
      <c r="M317" s="18">
        <v>0</v>
      </c>
      <c r="N317" s="18">
        <f t="shared" si="48"/>
        <v>3</v>
      </c>
      <c r="O317" s="18">
        <f>SUMPRODUCT(P317:AI317,Sheet2!$B$3:$U$3)</f>
        <v>304169</v>
      </c>
      <c r="P317" s="18">
        <f>CEILING(INDEX([1]系统模型!$VD:$VD,MATCH(C317,[1]系统模型!$A:$A,0))*POWER(C317/220,3.8)-50+(1000-A317),1)</f>
        <v>6236</v>
      </c>
      <c r="Q317" s="18">
        <f>CEILING(INDEX([1]系统模型!$VE:$VE,MATCH(C317,[1]系统模型!$A:$A,0))*POWER(C317/220,4),1)</f>
        <v>1038</v>
      </c>
      <c r="R317" s="18">
        <f>INT(INDEX([1]系统模型!$VF:$VF,MATCH(C317,[1]系统模型!$A:$A,0))*MAX(POWER(C317/180,4),0.5))</f>
        <v>61319</v>
      </c>
      <c r="S317" s="5">
        <v>1000</v>
      </c>
      <c r="T317" s="25">
        <v>0</v>
      </c>
      <c r="U317" s="25">
        <v>0</v>
      </c>
      <c r="V317" s="25">
        <v>0</v>
      </c>
      <c r="W317" s="25">
        <v>0</v>
      </c>
      <c r="X317" s="25">
        <f t="shared" si="49"/>
        <v>3065</v>
      </c>
      <c r="Y317" s="12">
        <v>0</v>
      </c>
      <c r="Z317" s="25">
        <v>100</v>
      </c>
      <c r="AA317" s="25">
        <v>150</v>
      </c>
      <c r="AB317" s="25">
        <v>0</v>
      </c>
      <c r="AC317" s="25">
        <v>0</v>
      </c>
      <c r="AD317" s="25">
        <v>0</v>
      </c>
      <c r="AE317" s="25">
        <f t="shared" si="50"/>
        <v>406</v>
      </c>
      <c r="AF317" s="25">
        <f t="shared" si="51"/>
        <v>406</v>
      </c>
      <c r="AG317" s="25">
        <v>0</v>
      </c>
      <c r="AH317" s="25">
        <f t="shared" si="52"/>
        <v>6475</v>
      </c>
      <c r="AI317" s="25">
        <f t="shared" si="53"/>
        <v>83</v>
      </c>
      <c r="AJ317" s="25">
        <v>1</v>
      </c>
      <c r="AK317" s="25">
        <v>1000</v>
      </c>
      <c r="AL317" s="25">
        <v>100</v>
      </c>
      <c r="AM317" s="26">
        <v>10</v>
      </c>
      <c r="AN317" s="26">
        <v>10</v>
      </c>
      <c r="AO317" s="22" t="s">
        <v>2211</v>
      </c>
      <c r="AP317" s="26">
        <v>0</v>
      </c>
      <c r="AQ317" s="26">
        <f t="shared" si="54"/>
        <v>680</v>
      </c>
      <c r="AR317" s="18" t="str">
        <f ca="1">CONCATENATE(OFFSET(Sheet1!$A$2,RANDBETWEEN(2,500),0,1,1),OFFSET(Sheet1!$A$2,RANDBETWEEN(2,500),RANDBETWEEN(1,5),1,1))</f>
        <v>霍姆斯泰莉萨</v>
      </c>
      <c r="AS317">
        <f>SUMPRODUCT(P317:AI317,Sheet2!$B$3:$U$3)</f>
        <v>304169</v>
      </c>
    </row>
    <row r="318" spans="1:45" x14ac:dyDescent="0.15">
      <c r="A318" s="18">
        <v>317</v>
      </c>
      <c r="B318" s="18" t="s">
        <v>1372</v>
      </c>
      <c r="C318" s="18">
        <f t="shared" si="44"/>
        <v>203</v>
      </c>
      <c r="D318" s="19">
        <f t="shared" si="45"/>
        <v>3</v>
      </c>
      <c r="E318" s="19">
        <f>VLOOKUP(MOD(A318,4),各职业基础配置!C$32:D$35,2,FALSE)</f>
        <v>3</v>
      </c>
      <c r="F318" s="19">
        <f>IF(A318&lt;900,INDEX(各职业基础配置!C$23:C$28,MOD(ROW(A318),4)+1),0)</f>
        <v>14</v>
      </c>
      <c r="G318" s="19">
        <f t="shared" si="46"/>
        <v>71</v>
      </c>
      <c r="H318" s="27">
        <f t="shared" si="47"/>
        <v>2</v>
      </c>
      <c r="I318" s="6" t="s">
        <v>164</v>
      </c>
      <c r="J318" s="23" t="str">
        <f>VLOOKUP(E318,各职业基础配置!$B$9:$C$12,2,FALSE)</f>
        <v>106|107|108|4201|110</v>
      </c>
      <c r="K318" s="18" t="str">
        <f>VLOOKUP(E318,各职业基础配置!$B$15:$C$18,2,FALSE)</f>
        <v>20|21|22|23</v>
      </c>
      <c r="L318" s="18" t="str">
        <f>VLOOKUP(E318,各职业基础配置!B:C,2,FALSE)</f>
        <v>[{20,1,1},{21,1,1},{22,1,1},{23,1,1},{4,1,1},{5,1,1},{6,1,1}]</v>
      </c>
      <c r="M318" s="18">
        <v>0</v>
      </c>
      <c r="N318" s="18">
        <f t="shared" si="48"/>
        <v>7</v>
      </c>
      <c r="O318" s="18">
        <f>SUMPRODUCT(P318:AI318,Sheet2!$B$3:$U$3)</f>
        <v>304144</v>
      </c>
      <c r="P318" s="18">
        <f>CEILING(INDEX([1]系统模型!$VD:$VD,MATCH(C318,[1]系统模型!$A:$A,0))*POWER(C318/220,3.8)-50+(1000-A318),1)</f>
        <v>6235</v>
      </c>
      <c r="Q318" s="18">
        <f>CEILING(INDEX([1]系统模型!$VE:$VE,MATCH(C318,[1]系统模型!$A:$A,0))*POWER(C318/220,4),1)</f>
        <v>1038</v>
      </c>
      <c r="R318" s="18">
        <f>INT(INDEX([1]系统模型!$VF:$VF,MATCH(C318,[1]系统模型!$A:$A,0))*MAX(POWER(C318/180,4),0.5))</f>
        <v>61319</v>
      </c>
      <c r="S318" s="5">
        <v>1000</v>
      </c>
      <c r="T318" s="25">
        <v>0</v>
      </c>
      <c r="U318" s="25">
        <v>0</v>
      </c>
      <c r="V318" s="25">
        <v>0</v>
      </c>
      <c r="W318" s="25">
        <v>0</v>
      </c>
      <c r="X318" s="25">
        <f t="shared" si="49"/>
        <v>3065</v>
      </c>
      <c r="Y318" s="12">
        <v>0</v>
      </c>
      <c r="Z318" s="25">
        <v>100</v>
      </c>
      <c r="AA318" s="25">
        <v>150</v>
      </c>
      <c r="AB318" s="25">
        <v>0</v>
      </c>
      <c r="AC318" s="25">
        <v>0</v>
      </c>
      <c r="AD318" s="25">
        <v>0</v>
      </c>
      <c r="AE318" s="25">
        <f t="shared" si="50"/>
        <v>406</v>
      </c>
      <c r="AF318" s="25">
        <f t="shared" si="51"/>
        <v>406</v>
      </c>
      <c r="AG318" s="25">
        <v>0</v>
      </c>
      <c r="AH318" s="25">
        <f t="shared" si="52"/>
        <v>6475</v>
      </c>
      <c r="AI318" s="25">
        <f t="shared" si="53"/>
        <v>83</v>
      </c>
      <c r="AJ318" s="25">
        <v>1</v>
      </c>
      <c r="AK318" s="25">
        <v>1000</v>
      </c>
      <c r="AL318" s="25">
        <v>100</v>
      </c>
      <c r="AM318" s="26">
        <v>10</v>
      </c>
      <c r="AN318" s="26">
        <v>10</v>
      </c>
      <c r="AO318" s="22" t="s">
        <v>2211</v>
      </c>
      <c r="AP318" s="26">
        <v>0</v>
      </c>
      <c r="AQ318" s="26">
        <f t="shared" si="54"/>
        <v>680</v>
      </c>
      <c r="AR318" s="18" t="str">
        <f ca="1">CONCATENATE(OFFSET(Sheet1!$A$2,RANDBETWEEN(2,500),0,1,1),OFFSET(Sheet1!$A$2,RANDBETWEEN(2,500),RANDBETWEEN(1,5),1,1))</f>
        <v>埃尔西</v>
      </c>
      <c r="AS318">
        <f>SUMPRODUCT(P318:AI318,Sheet2!$B$3:$U$3)</f>
        <v>304144</v>
      </c>
    </row>
    <row r="319" spans="1:45" x14ac:dyDescent="0.15">
      <c r="A319" s="23">
        <v>318</v>
      </c>
      <c r="B319" s="18" t="s">
        <v>1313</v>
      </c>
      <c r="C319" s="18">
        <f t="shared" si="44"/>
        <v>202</v>
      </c>
      <c r="D319" s="19">
        <f t="shared" si="45"/>
        <v>2</v>
      </c>
      <c r="E319" s="19">
        <f>VLOOKUP(MOD(A319,4),各职业基础配置!C$32:D$35,2,FALSE)</f>
        <v>6</v>
      </c>
      <c r="F319" s="19">
        <f>IF(A319&lt;900,INDEX(各职业基础配置!C$23:C$28,MOD(ROW(A319),4)+1),0)</f>
        <v>16</v>
      </c>
      <c r="G319" s="19">
        <f t="shared" si="46"/>
        <v>69</v>
      </c>
      <c r="H319" s="27">
        <f t="shared" si="47"/>
        <v>2</v>
      </c>
      <c r="I319" s="6" t="s">
        <v>164</v>
      </c>
      <c r="J319" s="23" t="str">
        <f>VLOOKUP(E319,各职业基础配置!$B$9:$C$12,2,FALSE)</f>
        <v>111|112|113|4201|115</v>
      </c>
      <c r="K319" s="18" t="str">
        <f>VLOOKUP(E319,各职业基础配置!$B$15:$C$18,2,FALSE)</f>
        <v>32|33|34</v>
      </c>
      <c r="L319" s="18" t="str">
        <f>VLOOKUP(E319,各职业基础配置!B:C,2,FALSE)</f>
        <v>[{32,1,1},{33,1,1},{34,1,1},{35,1,1},{7,1,1},{8,1,1},{9,1,1}]</v>
      </c>
      <c r="M319" s="18">
        <v>0</v>
      </c>
      <c r="N319" s="18">
        <f t="shared" si="48"/>
        <v>7</v>
      </c>
      <c r="O319" s="18">
        <f>SUMPRODUCT(P319:AI319,Sheet2!$B$3:$U$3)</f>
        <v>296792</v>
      </c>
      <c r="P319" s="18">
        <f>CEILING(INDEX([1]系统模型!$VD:$VD,MATCH(C319,[1]系统模型!$A:$A,0))*POWER(C319/220,3.8)-50+(1000-A319),1)</f>
        <v>6100</v>
      </c>
      <c r="Q319" s="18">
        <f>CEILING(INDEX([1]系统模型!$VE:$VE,MATCH(C319,[1]系统模型!$A:$A,0))*POWER(C319/220,4),1)</f>
        <v>998</v>
      </c>
      <c r="R319" s="18">
        <f>INT(INDEX([1]系统模型!$VF:$VF,MATCH(C319,[1]系统模型!$A:$A,0))*MAX(POWER(C319/180,4),0.5))</f>
        <v>58867</v>
      </c>
      <c r="S319" s="5">
        <v>1000</v>
      </c>
      <c r="T319" s="25">
        <v>0</v>
      </c>
      <c r="U319" s="25">
        <v>0</v>
      </c>
      <c r="V319" s="25">
        <v>0</v>
      </c>
      <c r="W319" s="25">
        <v>0</v>
      </c>
      <c r="X319" s="25">
        <f t="shared" si="49"/>
        <v>2943</v>
      </c>
      <c r="Y319" s="12">
        <v>0</v>
      </c>
      <c r="Z319" s="25">
        <v>100</v>
      </c>
      <c r="AA319" s="25">
        <v>150</v>
      </c>
      <c r="AB319" s="25">
        <v>0</v>
      </c>
      <c r="AC319" s="25">
        <v>0</v>
      </c>
      <c r="AD319" s="25">
        <v>0</v>
      </c>
      <c r="AE319" s="25">
        <f t="shared" si="50"/>
        <v>404</v>
      </c>
      <c r="AF319" s="25">
        <f t="shared" si="51"/>
        <v>404</v>
      </c>
      <c r="AG319" s="25">
        <v>0</v>
      </c>
      <c r="AH319" s="25">
        <f t="shared" si="52"/>
        <v>6400</v>
      </c>
      <c r="AI319" s="25">
        <f t="shared" si="53"/>
        <v>81</v>
      </c>
      <c r="AJ319" s="25">
        <v>1</v>
      </c>
      <c r="AK319" s="25">
        <v>1000</v>
      </c>
      <c r="AL319" s="25">
        <v>100</v>
      </c>
      <c r="AM319" s="26">
        <v>10</v>
      </c>
      <c r="AN319" s="26">
        <v>10</v>
      </c>
      <c r="AO319" s="22" t="s">
        <v>2211</v>
      </c>
      <c r="AP319" s="26">
        <v>0</v>
      </c>
      <c r="AQ319" s="26">
        <f t="shared" si="54"/>
        <v>680</v>
      </c>
      <c r="AR319" s="18" t="str">
        <f ca="1">CONCATENATE(OFFSET(Sheet1!$A$2,RANDBETWEEN(2,500),0,1,1),OFFSET(Sheet1!$A$2,RANDBETWEEN(2,500),RANDBETWEEN(1,5),1,1))</f>
        <v>欧文纳塔利</v>
      </c>
      <c r="AS319">
        <f>SUMPRODUCT(P319:AI319,Sheet2!$B$3:$U$3)</f>
        <v>296792</v>
      </c>
    </row>
    <row r="320" spans="1:45" x14ac:dyDescent="0.15">
      <c r="A320" s="18">
        <v>319</v>
      </c>
      <c r="B320" s="18" t="s">
        <v>1957</v>
      </c>
      <c r="C320" s="18">
        <f t="shared" si="44"/>
        <v>202</v>
      </c>
      <c r="D320" s="19">
        <f t="shared" si="45"/>
        <v>3</v>
      </c>
      <c r="E320" s="19">
        <f>VLOOKUP(MOD(A320,4),各职业基础配置!C$32:D$35,2,FALSE)</f>
        <v>9</v>
      </c>
      <c r="F320" s="19">
        <f>IF(A320&lt;900,INDEX(各职业基础配置!C$23:C$28,MOD(ROW(A320),4)+1),0)</f>
        <v>8</v>
      </c>
      <c r="G320" s="19">
        <f t="shared" si="46"/>
        <v>69</v>
      </c>
      <c r="H320" s="27">
        <f t="shared" si="47"/>
        <v>2</v>
      </c>
      <c r="I320" s="6" t="s">
        <v>164</v>
      </c>
      <c r="J320" s="23" t="str">
        <f>VLOOKUP(E320,各职业基础配置!$B$9:$C$12,2,FALSE)</f>
        <v>116|117|118|4201|120</v>
      </c>
      <c r="K320" s="18" t="str">
        <f>VLOOKUP(E320,各职业基础配置!$B$15:$C$18,2,FALSE)</f>
        <v>28|29|30|31</v>
      </c>
      <c r="L320" s="18" t="str">
        <f>VLOOKUP(E320,各职业基础配置!B:C,2,FALSE)</f>
        <v>[{28,1,1},{29,1,1},{30,1,1},{31,1,1},{10,1,1},{11,1,1},{12,1,1}]</v>
      </c>
      <c r="M320" s="18">
        <v>0</v>
      </c>
      <c r="N320" s="18">
        <f t="shared" si="48"/>
        <v>3</v>
      </c>
      <c r="O320" s="18">
        <f>SUMPRODUCT(P320:AI320,Sheet2!$B$3:$U$3)</f>
        <v>296767</v>
      </c>
      <c r="P320" s="18">
        <f>CEILING(INDEX([1]系统模型!$VD:$VD,MATCH(C320,[1]系统模型!$A:$A,0))*POWER(C320/220,3.8)-50+(1000-A320),1)</f>
        <v>6099</v>
      </c>
      <c r="Q320" s="18">
        <f>CEILING(INDEX([1]系统模型!$VE:$VE,MATCH(C320,[1]系统模型!$A:$A,0))*POWER(C320/220,4),1)</f>
        <v>998</v>
      </c>
      <c r="R320" s="18">
        <f>INT(INDEX([1]系统模型!$VF:$VF,MATCH(C320,[1]系统模型!$A:$A,0))*MAX(POWER(C320/180,4),0.5))</f>
        <v>58867</v>
      </c>
      <c r="S320" s="5">
        <v>1000</v>
      </c>
      <c r="T320" s="25">
        <v>0</v>
      </c>
      <c r="U320" s="25">
        <v>0</v>
      </c>
      <c r="V320" s="25">
        <v>0</v>
      </c>
      <c r="W320" s="25">
        <v>0</v>
      </c>
      <c r="X320" s="25">
        <f t="shared" si="49"/>
        <v>2943</v>
      </c>
      <c r="Y320" s="12">
        <v>0</v>
      </c>
      <c r="Z320" s="25">
        <v>100</v>
      </c>
      <c r="AA320" s="25">
        <v>150</v>
      </c>
      <c r="AB320" s="25">
        <v>0</v>
      </c>
      <c r="AC320" s="25">
        <v>0</v>
      </c>
      <c r="AD320" s="25">
        <v>0</v>
      </c>
      <c r="AE320" s="25">
        <f t="shared" si="50"/>
        <v>404</v>
      </c>
      <c r="AF320" s="25">
        <f t="shared" si="51"/>
        <v>404</v>
      </c>
      <c r="AG320" s="25">
        <v>0</v>
      </c>
      <c r="AH320" s="25">
        <f t="shared" si="52"/>
        <v>6400</v>
      </c>
      <c r="AI320" s="25">
        <f t="shared" si="53"/>
        <v>81</v>
      </c>
      <c r="AJ320" s="25">
        <v>1</v>
      </c>
      <c r="AK320" s="25">
        <v>1000</v>
      </c>
      <c r="AL320" s="25">
        <v>100</v>
      </c>
      <c r="AM320" s="26">
        <v>10</v>
      </c>
      <c r="AN320" s="26">
        <v>10</v>
      </c>
      <c r="AO320" s="22" t="s">
        <v>2211</v>
      </c>
      <c r="AP320" s="26">
        <v>0</v>
      </c>
      <c r="AQ320" s="26">
        <f t="shared" si="54"/>
        <v>680</v>
      </c>
      <c r="AR320" s="18" t="str">
        <f ca="1">CONCATENATE(OFFSET(Sheet1!$A$2,RANDBETWEEN(2,500),0,1,1),OFFSET(Sheet1!$A$2,RANDBETWEEN(2,500),RANDBETWEEN(1,5),1,1))</f>
        <v>凯里</v>
      </c>
      <c r="AS320">
        <f>SUMPRODUCT(P320:AI320,Sheet2!$B$3:$U$3)</f>
        <v>296767</v>
      </c>
    </row>
    <row r="321" spans="1:45" x14ac:dyDescent="0.15">
      <c r="A321" s="18">
        <v>320</v>
      </c>
      <c r="B321" s="18" t="s">
        <v>1958</v>
      </c>
      <c r="C321" s="18">
        <f t="shared" si="44"/>
        <v>202</v>
      </c>
      <c r="D321" s="19">
        <f t="shared" si="45"/>
        <v>2</v>
      </c>
      <c r="E321" s="19">
        <f>VLOOKUP(MOD(A321,4),各职业基础配置!C$32:D$35,2,FALSE)</f>
        <v>1</v>
      </c>
      <c r="F321" s="19">
        <f>IF(A321&lt;900,INDEX(各职业基础配置!C$23:C$28,MOD(ROW(A321),4)+1),0)</f>
        <v>13</v>
      </c>
      <c r="G321" s="19">
        <f t="shared" si="46"/>
        <v>69</v>
      </c>
      <c r="H321" s="27">
        <f t="shared" si="47"/>
        <v>2</v>
      </c>
      <c r="I321" s="6" t="s">
        <v>164</v>
      </c>
      <c r="J321" s="23" t="str">
        <f>VLOOKUP(E321,各职业基础配置!$B$9:$C$12,2,FALSE)</f>
        <v>101|102|103|4201|105</v>
      </c>
      <c r="K321" s="18" t="str">
        <f>VLOOKUP(E321,各职业基础配置!$B$15:$C$18,2,FALSE)</f>
        <v>24|25|26|27</v>
      </c>
      <c r="L321" s="18" t="str">
        <f>VLOOKUP(E321,各职业基础配置!B:C,2,FALSE)</f>
        <v>[{24,1,1},{25,1,1},{26,1,1},{27,1,1},{1,1,1},{2,1,1},{3,1,1}]</v>
      </c>
      <c r="M321" s="18">
        <v>0</v>
      </c>
      <c r="N321" s="18">
        <f t="shared" si="48"/>
        <v>3</v>
      </c>
      <c r="O321" s="18">
        <f>SUMPRODUCT(P321:AI321,Sheet2!$B$3:$U$3)</f>
        <v>296742</v>
      </c>
      <c r="P321" s="18">
        <f>CEILING(INDEX([1]系统模型!$VD:$VD,MATCH(C321,[1]系统模型!$A:$A,0))*POWER(C321/220,3.8)-50+(1000-A321),1)</f>
        <v>6098</v>
      </c>
      <c r="Q321" s="18">
        <f>CEILING(INDEX([1]系统模型!$VE:$VE,MATCH(C321,[1]系统模型!$A:$A,0))*POWER(C321/220,4),1)</f>
        <v>998</v>
      </c>
      <c r="R321" s="18">
        <f>INT(INDEX([1]系统模型!$VF:$VF,MATCH(C321,[1]系统模型!$A:$A,0))*MAX(POWER(C321/180,4),0.5))</f>
        <v>58867</v>
      </c>
      <c r="S321" s="5">
        <v>1000</v>
      </c>
      <c r="T321" s="25">
        <v>0</v>
      </c>
      <c r="U321" s="25">
        <v>0</v>
      </c>
      <c r="V321" s="25">
        <v>0</v>
      </c>
      <c r="W321" s="25">
        <v>0</v>
      </c>
      <c r="X321" s="25">
        <f t="shared" si="49"/>
        <v>2943</v>
      </c>
      <c r="Y321" s="12">
        <v>0</v>
      </c>
      <c r="Z321" s="25">
        <v>100</v>
      </c>
      <c r="AA321" s="25">
        <v>150</v>
      </c>
      <c r="AB321" s="25">
        <v>0</v>
      </c>
      <c r="AC321" s="25">
        <v>0</v>
      </c>
      <c r="AD321" s="25">
        <v>0</v>
      </c>
      <c r="AE321" s="25">
        <f t="shared" si="50"/>
        <v>404</v>
      </c>
      <c r="AF321" s="25">
        <f t="shared" si="51"/>
        <v>404</v>
      </c>
      <c r="AG321" s="25">
        <v>0</v>
      </c>
      <c r="AH321" s="25">
        <f t="shared" si="52"/>
        <v>6400</v>
      </c>
      <c r="AI321" s="25">
        <f t="shared" si="53"/>
        <v>81</v>
      </c>
      <c r="AJ321" s="25">
        <v>1</v>
      </c>
      <c r="AK321" s="25">
        <v>1000</v>
      </c>
      <c r="AL321" s="25">
        <v>100</v>
      </c>
      <c r="AM321" s="26">
        <v>10</v>
      </c>
      <c r="AN321" s="26">
        <v>10</v>
      </c>
      <c r="AO321" s="22" t="s">
        <v>2211</v>
      </c>
      <c r="AP321" s="26">
        <v>0</v>
      </c>
      <c r="AQ321" s="26">
        <f t="shared" si="54"/>
        <v>680</v>
      </c>
      <c r="AR321" s="18" t="str">
        <f ca="1">CONCATENATE(OFFSET(Sheet1!$A$2,RANDBETWEEN(2,500),0,1,1),OFFSET(Sheet1!$A$2,RANDBETWEEN(2,500),RANDBETWEEN(1,5),1,1))</f>
        <v>埃玛</v>
      </c>
      <c r="AS321">
        <f>SUMPRODUCT(P321:AI321,Sheet2!$B$3:$U$3)</f>
        <v>296742</v>
      </c>
    </row>
    <row r="322" spans="1:45" x14ac:dyDescent="0.15">
      <c r="A322" s="23">
        <v>321</v>
      </c>
      <c r="B322" s="18" t="s">
        <v>1062</v>
      </c>
      <c r="C322" s="18">
        <f t="shared" si="44"/>
        <v>202</v>
      </c>
      <c r="D322" s="19">
        <f t="shared" si="45"/>
        <v>3</v>
      </c>
      <c r="E322" s="19">
        <f>VLOOKUP(MOD(A322,4),各职业基础配置!C$32:D$35,2,FALSE)</f>
        <v>3</v>
      </c>
      <c r="F322" s="19">
        <f>IF(A322&lt;900,INDEX(各职业基础配置!C$23:C$28,MOD(ROW(A322),4)+1),0)</f>
        <v>14</v>
      </c>
      <c r="G322" s="19">
        <f t="shared" si="46"/>
        <v>69</v>
      </c>
      <c r="H322" s="27">
        <f t="shared" si="47"/>
        <v>2</v>
      </c>
      <c r="I322" s="6" t="s">
        <v>164</v>
      </c>
      <c r="J322" s="23" t="str">
        <f>VLOOKUP(E322,各职业基础配置!$B$9:$C$12,2,FALSE)</f>
        <v>106|107|108|4201|110</v>
      </c>
      <c r="K322" s="18" t="str">
        <f>VLOOKUP(E322,各职业基础配置!$B$15:$C$18,2,FALSE)</f>
        <v>20|21|22|23</v>
      </c>
      <c r="L322" s="18" t="str">
        <f>VLOOKUP(E322,各职业基础配置!B:C,2,FALSE)</f>
        <v>[{20,1,1},{21,1,1},{22,1,1},{23,1,1},{4,1,1},{5,1,1},{6,1,1}]</v>
      </c>
      <c r="M322" s="18">
        <v>0</v>
      </c>
      <c r="N322" s="18">
        <f t="shared" si="48"/>
        <v>7</v>
      </c>
      <c r="O322" s="18">
        <f>SUMPRODUCT(P322:AI322,Sheet2!$B$3:$U$3)</f>
        <v>296717</v>
      </c>
      <c r="P322" s="18">
        <f>CEILING(INDEX([1]系统模型!$VD:$VD,MATCH(C322,[1]系统模型!$A:$A,0))*POWER(C322/220,3.8)-50+(1000-A322),1)</f>
        <v>6097</v>
      </c>
      <c r="Q322" s="18">
        <f>CEILING(INDEX([1]系统模型!$VE:$VE,MATCH(C322,[1]系统模型!$A:$A,0))*POWER(C322/220,4),1)</f>
        <v>998</v>
      </c>
      <c r="R322" s="18">
        <f>INT(INDEX([1]系统模型!$VF:$VF,MATCH(C322,[1]系统模型!$A:$A,0))*MAX(POWER(C322/180,4),0.5))</f>
        <v>58867</v>
      </c>
      <c r="S322" s="5">
        <v>1000</v>
      </c>
      <c r="T322" s="25">
        <v>0</v>
      </c>
      <c r="U322" s="25">
        <v>0</v>
      </c>
      <c r="V322" s="25">
        <v>0</v>
      </c>
      <c r="W322" s="25">
        <v>0</v>
      </c>
      <c r="X322" s="25">
        <f t="shared" si="49"/>
        <v>2943</v>
      </c>
      <c r="Y322" s="12">
        <v>0</v>
      </c>
      <c r="Z322" s="25">
        <v>100</v>
      </c>
      <c r="AA322" s="25">
        <v>150</v>
      </c>
      <c r="AB322" s="25">
        <v>0</v>
      </c>
      <c r="AC322" s="25">
        <v>0</v>
      </c>
      <c r="AD322" s="25">
        <v>0</v>
      </c>
      <c r="AE322" s="25">
        <f t="shared" si="50"/>
        <v>404</v>
      </c>
      <c r="AF322" s="25">
        <f t="shared" si="51"/>
        <v>404</v>
      </c>
      <c r="AG322" s="25">
        <v>0</v>
      </c>
      <c r="AH322" s="25">
        <f t="shared" si="52"/>
        <v>6400</v>
      </c>
      <c r="AI322" s="25">
        <f t="shared" si="53"/>
        <v>81</v>
      </c>
      <c r="AJ322" s="25">
        <v>1</v>
      </c>
      <c r="AK322" s="25">
        <v>1000</v>
      </c>
      <c r="AL322" s="25">
        <v>100</v>
      </c>
      <c r="AM322" s="26">
        <v>10</v>
      </c>
      <c r="AN322" s="26">
        <v>10</v>
      </c>
      <c r="AO322" s="22" t="s">
        <v>2211</v>
      </c>
      <c r="AP322" s="26">
        <v>0</v>
      </c>
      <c r="AQ322" s="26">
        <f t="shared" si="54"/>
        <v>680</v>
      </c>
      <c r="AR322" s="18" t="str">
        <f ca="1">CONCATENATE(OFFSET(Sheet1!$A$2,RANDBETWEEN(2,500),0,1,1),OFFSET(Sheet1!$A$2,RANDBETWEEN(2,500),RANDBETWEEN(1,5),1,1))</f>
        <v>英格索尔</v>
      </c>
      <c r="AS322">
        <f>SUMPRODUCT(P322:AI322,Sheet2!$B$3:$U$3)</f>
        <v>296717</v>
      </c>
    </row>
    <row r="323" spans="1:45" x14ac:dyDescent="0.15">
      <c r="A323" s="18">
        <v>322</v>
      </c>
      <c r="B323" s="18" t="s">
        <v>1385</v>
      </c>
      <c r="C323" s="18">
        <f t="shared" ref="C323:C386" si="55">INT(250-(150-2)/1000*A323)</f>
        <v>202</v>
      </c>
      <c r="D323" s="19">
        <f t="shared" ref="D323:D386" si="56">MOD(A323,2)+2</f>
        <v>2</v>
      </c>
      <c r="E323" s="19">
        <f>VLOOKUP(MOD(A323,4),各职业基础配置!C$32:D$35,2,FALSE)</f>
        <v>6</v>
      </c>
      <c r="F323" s="19">
        <f>IF(A323&lt;900,INDEX(各职业基础配置!C$23:C$28,MOD(ROW(A323),4)+1),0)</f>
        <v>16</v>
      </c>
      <c r="G323" s="19">
        <f t="shared" ref="G323:G386" si="57">INT(C323*POWER(C323/250,5))</f>
        <v>69</v>
      </c>
      <c r="H323" s="27">
        <f t="shared" ref="H323:H386" si="58">CEILING(C323/75,1)-1</f>
        <v>2</v>
      </c>
      <c r="I323" s="6" t="s">
        <v>164</v>
      </c>
      <c r="J323" s="23" t="str">
        <f>VLOOKUP(E323,各职业基础配置!$B$9:$C$12,2,FALSE)</f>
        <v>111|112|113|4201|115</v>
      </c>
      <c r="K323" s="18" t="str">
        <f>VLOOKUP(E323,各职业基础配置!$B$15:$C$18,2,FALSE)</f>
        <v>32|33|34</v>
      </c>
      <c r="L323" s="18" t="str">
        <f>VLOOKUP(E323,各职业基础配置!B:C,2,FALSE)</f>
        <v>[{32,1,1},{33,1,1},{34,1,1},{35,1,1},{7,1,1},{8,1,1},{9,1,1}]</v>
      </c>
      <c r="M323" s="18">
        <v>0</v>
      </c>
      <c r="N323" s="18">
        <f t="shared" ref="N323:N386" si="59">IF(OR(E323=3,E323=6),7,3)</f>
        <v>7</v>
      </c>
      <c r="O323" s="18">
        <f>SUMPRODUCT(P323:AI323,Sheet2!$B$3:$U$3)</f>
        <v>296692</v>
      </c>
      <c r="P323" s="18">
        <f>CEILING(INDEX([1]系统模型!$VD:$VD,MATCH(C323,[1]系统模型!$A:$A,0))*POWER(C323/220,3.8)-50+(1000-A323),1)</f>
        <v>6096</v>
      </c>
      <c r="Q323" s="18">
        <f>CEILING(INDEX([1]系统模型!$VE:$VE,MATCH(C323,[1]系统模型!$A:$A,0))*POWER(C323/220,4),1)</f>
        <v>998</v>
      </c>
      <c r="R323" s="18">
        <f>INT(INDEX([1]系统模型!$VF:$VF,MATCH(C323,[1]系统模型!$A:$A,0))*MAX(POWER(C323/180,4),0.5))</f>
        <v>58867</v>
      </c>
      <c r="S323" s="5">
        <v>1000</v>
      </c>
      <c r="T323" s="25">
        <v>0</v>
      </c>
      <c r="U323" s="25">
        <v>0</v>
      </c>
      <c r="V323" s="25">
        <v>0</v>
      </c>
      <c r="W323" s="25">
        <v>0</v>
      </c>
      <c r="X323" s="25">
        <f t="shared" ref="X323:X386" si="60">INT(R323/20)</f>
        <v>2943</v>
      </c>
      <c r="Y323" s="12">
        <v>0</v>
      </c>
      <c r="Z323" s="25">
        <v>100</v>
      </c>
      <c r="AA323" s="25">
        <v>150</v>
      </c>
      <c r="AB323" s="25">
        <v>0</v>
      </c>
      <c r="AC323" s="25">
        <v>0</v>
      </c>
      <c r="AD323" s="25">
        <v>0</v>
      </c>
      <c r="AE323" s="25">
        <f t="shared" ref="AE323:AE386" si="61">C323*2</f>
        <v>404</v>
      </c>
      <c r="AF323" s="25">
        <f t="shared" ref="AF323:AF386" si="62">C323*2</f>
        <v>404</v>
      </c>
      <c r="AG323" s="25">
        <v>0</v>
      </c>
      <c r="AH323" s="25">
        <f t="shared" ref="AH323:AH386" si="63">MAX(10000-(250-C323)*75,0)</f>
        <v>6400</v>
      </c>
      <c r="AI323" s="25">
        <f t="shared" ref="AI323:AI386" si="64">INT(P323/75)</f>
        <v>81</v>
      </c>
      <c r="AJ323" s="25">
        <v>1</v>
      </c>
      <c r="AK323" s="25">
        <v>1000</v>
      </c>
      <c r="AL323" s="25">
        <v>100</v>
      </c>
      <c r="AM323" s="26">
        <v>10</v>
      </c>
      <c r="AN323" s="26">
        <v>10</v>
      </c>
      <c r="AO323" s="22" t="s">
        <v>2211</v>
      </c>
      <c r="AP323" s="26">
        <v>0</v>
      </c>
      <c r="AQ323" s="26">
        <f t="shared" ref="AQ323:AQ386" si="65">MAX(CEILING(1000-A323*1.02,10),0)</f>
        <v>680</v>
      </c>
      <c r="AR323" s="18" t="str">
        <f ca="1">CONCATENATE(OFFSET(Sheet1!$A$2,RANDBETWEEN(2,500),0,1,1),OFFSET(Sheet1!$A$2,RANDBETWEEN(2,500),RANDBETWEEN(1,5),1,1))</f>
        <v>白壁德</v>
      </c>
      <c r="AS323">
        <f>SUMPRODUCT(P323:AI323,Sheet2!$B$3:$U$3)</f>
        <v>296692</v>
      </c>
    </row>
    <row r="324" spans="1:45" x14ac:dyDescent="0.15">
      <c r="A324" s="18">
        <v>323</v>
      </c>
      <c r="B324" s="18" t="s">
        <v>1959</v>
      </c>
      <c r="C324" s="18">
        <f t="shared" si="55"/>
        <v>202</v>
      </c>
      <c r="D324" s="19">
        <f t="shared" si="56"/>
        <v>3</v>
      </c>
      <c r="E324" s="19">
        <f>VLOOKUP(MOD(A324,4),各职业基础配置!C$32:D$35,2,FALSE)</f>
        <v>9</v>
      </c>
      <c r="F324" s="19">
        <f>IF(A324&lt;900,INDEX(各职业基础配置!C$23:C$28,MOD(ROW(A324),4)+1),0)</f>
        <v>8</v>
      </c>
      <c r="G324" s="19">
        <f t="shared" si="57"/>
        <v>69</v>
      </c>
      <c r="H324" s="27">
        <f t="shared" si="58"/>
        <v>2</v>
      </c>
      <c r="I324" s="6" t="s">
        <v>164</v>
      </c>
      <c r="J324" s="23" t="str">
        <f>VLOOKUP(E324,各职业基础配置!$B$9:$C$12,2,FALSE)</f>
        <v>116|117|118|4201|120</v>
      </c>
      <c r="K324" s="18" t="str">
        <f>VLOOKUP(E324,各职业基础配置!$B$15:$C$18,2,FALSE)</f>
        <v>28|29|30|31</v>
      </c>
      <c r="L324" s="18" t="str">
        <f>VLOOKUP(E324,各职业基础配置!B:C,2,FALSE)</f>
        <v>[{28,1,1},{29,1,1},{30,1,1},{31,1,1},{10,1,1},{11,1,1},{12,1,1}]</v>
      </c>
      <c r="M324" s="18">
        <v>0</v>
      </c>
      <c r="N324" s="18">
        <f t="shared" si="59"/>
        <v>3</v>
      </c>
      <c r="O324" s="18">
        <f>SUMPRODUCT(P324:AI324,Sheet2!$B$3:$U$3)</f>
        <v>296667</v>
      </c>
      <c r="P324" s="18">
        <f>CEILING(INDEX([1]系统模型!$VD:$VD,MATCH(C324,[1]系统模型!$A:$A,0))*POWER(C324/220,3.8)-50+(1000-A324),1)</f>
        <v>6095</v>
      </c>
      <c r="Q324" s="18">
        <f>CEILING(INDEX([1]系统模型!$VE:$VE,MATCH(C324,[1]系统模型!$A:$A,0))*POWER(C324/220,4),1)</f>
        <v>998</v>
      </c>
      <c r="R324" s="18">
        <f>INT(INDEX([1]系统模型!$VF:$VF,MATCH(C324,[1]系统模型!$A:$A,0))*MAX(POWER(C324/180,4),0.5))</f>
        <v>58867</v>
      </c>
      <c r="S324" s="5">
        <v>1000</v>
      </c>
      <c r="T324" s="25">
        <v>0</v>
      </c>
      <c r="U324" s="25">
        <v>0</v>
      </c>
      <c r="V324" s="25">
        <v>0</v>
      </c>
      <c r="W324" s="25">
        <v>0</v>
      </c>
      <c r="X324" s="25">
        <f t="shared" si="60"/>
        <v>2943</v>
      </c>
      <c r="Y324" s="12">
        <v>0</v>
      </c>
      <c r="Z324" s="25">
        <v>100</v>
      </c>
      <c r="AA324" s="25">
        <v>150</v>
      </c>
      <c r="AB324" s="25">
        <v>0</v>
      </c>
      <c r="AC324" s="25">
        <v>0</v>
      </c>
      <c r="AD324" s="25">
        <v>0</v>
      </c>
      <c r="AE324" s="25">
        <f t="shared" si="61"/>
        <v>404</v>
      </c>
      <c r="AF324" s="25">
        <f t="shared" si="62"/>
        <v>404</v>
      </c>
      <c r="AG324" s="25">
        <v>0</v>
      </c>
      <c r="AH324" s="25">
        <f t="shared" si="63"/>
        <v>6400</v>
      </c>
      <c r="AI324" s="25">
        <f t="shared" si="64"/>
        <v>81</v>
      </c>
      <c r="AJ324" s="25">
        <v>1</v>
      </c>
      <c r="AK324" s="25">
        <v>1000</v>
      </c>
      <c r="AL324" s="25">
        <v>100</v>
      </c>
      <c r="AM324" s="26">
        <v>10</v>
      </c>
      <c r="AN324" s="26">
        <v>10</v>
      </c>
      <c r="AO324" s="22" t="s">
        <v>2211</v>
      </c>
      <c r="AP324" s="26">
        <v>0</v>
      </c>
      <c r="AQ324" s="26">
        <f t="shared" si="65"/>
        <v>680</v>
      </c>
      <c r="AR324" s="18" t="str">
        <f ca="1">CONCATENATE(OFFSET(Sheet1!$A$2,RANDBETWEEN(2,500),0,1,1),OFFSET(Sheet1!$A$2,RANDBETWEEN(2,500),RANDBETWEEN(1,5),1,1))</f>
        <v>巴纳德玛乔丽</v>
      </c>
      <c r="AS324">
        <f>SUMPRODUCT(P324:AI324,Sheet2!$B$3:$U$3)</f>
        <v>296667</v>
      </c>
    </row>
    <row r="325" spans="1:45" x14ac:dyDescent="0.15">
      <c r="A325" s="23">
        <v>324</v>
      </c>
      <c r="B325" s="18" t="s">
        <v>809</v>
      </c>
      <c r="C325" s="18">
        <f t="shared" si="55"/>
        <v>202</v>
      </c>
      <c r="D325" s="19">
        <f t="shared" si="56"/>
        <v>2</v>
      </c>
      <c r="E325" s="19">
        <f>VLOOKUP(MOD(A325,4),各职业基础配置!C$32:D$35,2,FALSE)</f>
        <v>1</v>
      </c>
      <c r="F325" s="19">
        <f>IF(A325&lt;900,INDEX(各职业基础配置!C$23:C$28,MOD(ROW(A325),4)+1),0)</f>
        <v>13</v>
      </c>
      <c r="G325" s="19">
        <f t="shared" si="57"/>
        <v>69</v>
      </c>
      <c r="H325" s="27">
        <f t="shared" si="58"/>
        <v>2</v>
      </c>
      <c r="I325" s="6" t="s">
        <v>164</v>
      </c>
      <c r="J325" s="23" t="str">
        <f>VLOOKUP(E325,各职业基础配置!$B$9:$C$12,2,FALSE)</f>
        <v>101|102|103|4201|105</v>
      </c>
      <c r="K325" s="18" t="str">
        <f>VLOOKUP(E325,各职业基础配置!$B$15:$C$18,2,FALSE)</f>
        <v>24|25|26|27</v>
      </c>
      <c r="L325" s="18" t="str">
        <f>VLOOKUP(E325,各职业基础配置!B:C,2,FALSE)</f>
        <v>[{24,1,1},{25,1,1},{26,1,1},{27,1,1},{1,1,1},{2,1,1},{3,1,1}]</v>
      </c>
      <c r="M325" s="18">
        <v>0</v>
      </c>
      <c r="N325" s="18">
        <f t="shared" si="59"/>
        <v>3</v>
      </c>
      <c r="O325" s="18">
        <f>SUMPRODUCT(P325:AI325,Sheet2!$B$3:$U$3)</f>
        <v>296642</v>
      </c>
      <c r="P325" s="18">
        <f>CEILING(INDEX([1]系统模型!$VD:$VD,MATCH(C325,[1]系统模型!$A:$A,0))*POWER(C325/220,3.8)-50+(1000-A325),1)</f>
        <v>6094</v>
      </c>
      <c r="Q325" s="18">
        <f>CEILING(INDEX([1]系统模型!$VE:$VE,MATCH(C325,[1]系统模型!$A:$A,0))*POWER(C325/220,4),1)</f>
        <v>998</v>
      </c>
      <c r="R325" s="18">
        <f>INT(INDEX([1]系统模型!$VF:$VF,MATCH(C325,[1]系统模型!$A:$A,0))*MAX(POWER(C325/180,4),0.5))</f>
        <v>58867</v>
      </c>
      <c r="S325" s="5">
        <v>1000</v>
      </c>
      <c r="T325" s="25">
        <v>0</v>
      </c>
      <c r="U325" s="25">
        <v>0</v>
      </c>
      <c r="V325" s="25">
        <v>0</v>
      </c>
      <c r="W325" s="25">
        <v>0</v>
      </c>
      <c r="X325" s="25">
        <f t="shared" si="60"/>
        <v>2943</v>
      </c>
      <c r="Y325" s="12">
        <v>0</v>
      </c>
      <c r="Z325" s="25">
        <v>100</v>
      </c>
      <c r="AA325" s="25">
        <v>150</v>
      </c>
      <c r="AB325" s="25">
        <v>0</v>
      </c>
      <c r="AC325" s="25">
        <v>0</v>
      </c>
      <c r="AD325" s="25">
        <v>0</v>
      </c>
      <c r="AE325" s="25">
        <f t="shared" si="61"/>
        <v>404</v>
      </c>
      <c r="AF325" s="25">
        <f t="shared" si="62"/>
        <v>404</v>
      </c>
      <c r="AG325" s="25">
        <v>0</v>
      </c>
      <c r="AH325" s="25">
        <f t="shared" si="63"/>
        <v>6400</v>
      </c>
      <c r="AI325" s="25">
        <f t="shared" si="64"/>
        <v>81</v>
      </c>
      <c r="AJ325" s="25">
        <v>1</v>
      </c>
      <c r="AK325" s="25">
        <v>1000</v>
      </c>
      <c r="AL325" s="25">
        <v>100</v>
      </c>
      <c r="AM325" s="26">
        <v>10</v>
      </c>
      <c r="AN325" s="26">
        <v>10</v>
      </c>
      <c r="AO325" s="22" t="s">
        <v>2211</v>
      </c>
      <c r="AP325" s="26">
        <v>0</v>
      </c>
      <c r="AQ325" s="26">
        <f t="shared" si="65"/>
        <v>670</v>
      </c>
      <c r="AR325" s="18" t="str">
        <f ca="1">CONCATENATE(OFFSET(Sheet1!$A$2,RANDBETWEEN(2,500),0,1,1),OFFSET(Sheet1!$A$2,RANDBETWEEN(2,500),RANDBETWEEN(1,5),1,1))</f>
        <v>昆西</v>
      </c>
      <c r="AS325">
        <f>SUMPRODUCT(P325:AI325,Sheet2!$B$3:$U$3)</f>
        <v>296642</v>
      </c>
    </row>
    <row r="326" spans="1:45" x14ac:dyDescent="0.15">
      <c r="A326" s="18">
        <v>325</v>
      </c>
      <c r="B326" s="18" t="s">
        <v>429</v>
      </c>
      <c r="C326" s="18">
        <f t="shared" si="55"/>
        <v>201</v>
      </c>
      <c r="D326" s="19">
        <f t="shared" si="56"/>
        <v>3</v>
      </c>
      <c r="E326" s="19">
        <f>VLOOKUP(MOD(A326,4),各职业基础配置!C$32:D$35,2,FALSE)</f>
        <v>3</v>
      </c>
      <c r="F326" s="19">
        <f>IF(A326&lt;900,INDEX(各职业基础配置!C$23:C$28,MOD(ROW(A326),4)+1),0)</f>
        <v>14</v>
      </c>
      <c r="G326" s="19">
        <f t="shared" si="57"/>
        <v>67</v>
      </c>
      <c r="H326" s="27">
        <f t="shared" si="58"/>
        <v>2</v>
      </c>
      <c r="I326" s="6" t="s">
        <v>164</v>
      </c>
      <c r="J326" s="23" t="str">
        <f>VLOOKUP(E326,各职业基础配置!$B$9:$C$12,2,FALSE)</f>
        <v>106|107|108|4201|110</v>
      </c>
      <c r="K326" s="18" t="str">
        <f>VLOOKUP(E326,各职业基础配置!$B$15:$C$18,2,FALSE)</f>
        <v>20|21|22|23</v>
      </c>
      <c r="L326" s="18" t="str">
        <f>VLOOKUP(E326,各职业基础配置!B:C,2,FALSE)</f>
        <v>[{20,1,1},{21,1,1},{22,1,1},{23,1,1},{4,1,1},{5,1,1},{6,1,1}]</v>
      </c>
      <c r="M326" s="18">
        <v>0</v>
      </c>
      <c r="N326" s="18">
        <f t="shared" si="59"/>
        <v>7</v>
      </c>
      <c r="O326" s="18">
        <f>SUMPRODUCT(P326:AI326,Sheet2!$B$3:$U$3)</f>
        <v>288632</v>
      </c>
      <c r="P326" s="18">
        <f>CEILING(INDEX([1]系统模型!$VD:$VD,MATCH(C326,[1]系统模型!$A:$A,0))*POWER(C326/220,3.8)-50+(1000-A326),1)</f>
        <v>5955</v>
      </c>
      <c r="Q326" s="18">
        <f>CEILING(INDEX([1]系统模型!$VE:$VE,MATCH(C326,[1]系统模型!$A:$A,0))*POWER(C326/220,4),1)</f>
        <v>952</v>
      </c>
      <c r="R326" s="18">
        <f>INT(INDEX([1]系统模型!$VF:$VF,MATCH(C326,[1]系统模型!$A:$A,0))*MAX(POWER(C326/180,4),0.5))</f>
        <v>56007</v>
      </c>
      <c r="S326" s="5">
        <v>1000</v>
      </c>
      <c r="T326" s="25">
        <v>0</v>
      </c>
      <c r="U326" s="25">
        <v>0</v>
      </c>
      <c r="V326" s="25">
        <v>0</v>
      </c>
      <c r="W326" s="25">
        <v>0</v>
      </c>
      <c r="X326" s="25">
        <f t="shared" si="60"/>
        <v>2800</v>
      </c>
      <c r="Y326" s="12">
        <v>0</v>
      </c>
      <c r="Z326" s="25">
        <v>100</v>
      </c>
      <c r="AA326" s="25">
        <v>150</v>
      </c>
      <c r="AB326" s="25">
        <v>0</v>
      </c>
      <c r="AC326" s="25">
        <v>0</v>
      </c>
      <c r="AD326" s="25">
        <v>0</v>
      </c>
      <c r="AE326" s="25">
        <f t="shared" si="61"/>
        <v>402</v>
      </c>
      <c r="AF326" s="25">
        <f t="shared" si="62"/>
        <v>402</v>
      </c>
      <c r="AG326" s="25">
        <v>0</v>
      </c>
      <c r="AH326" s="25">
        <f t="shared" si="63"/>
        <v>6325</v>
      </c>
      <c r="AI326" s="25">
        <f t="shared" si="64"/>
        <v>79</v>
      </c>
      <c r="AJ326" s="25">
        <v>1</v>
      </c>
      <c r="AK326" s="25">
        <v>1000</v>
      </c>
      <c r="AL326" s="25">
        <v>100</v>
      </c>
      <c r="AM326" s="26">
        <v>10</v>
      </c>
      <c r="AN326" s="26">
        <v>10</v>
      </c>
      <c r="AO326" s="22" t="s">
        <v>2211</v>
      </c>
      <c r="AP326" s="26">
        <v>0</v>
      </c>
      <c r="AQ326" s="26">
        <f t="shared" si="65"/>
        <v>670</v>
      </c>
      <c r="AR326" s="18" t="str">
        <f ca="1">CONCATENATE(OFFSET(Sheet1!$A$2,RANDBETWEEN(2,500),0,1,1),OFFSET(Sheet1!$A$2,RANDBETWEEN(2,500),RANDBETWEEN(1,5),1,1))</f>
        <v>艾米丽小倩</v>
      </c>
      <c r="AS326">
        <f>SUMPRODUCT(P326:AI326,Sheet2!$B$3:$U$3)</f>
        <v>288632</v>
      </c>
    </row>
    <row r="327" spans="1:45" x14ac:dyDescent="0.15">
      <c r="A327" s="18">
        <v>326</v>
      </c>
      <c r="B327" s="18" t="s">
        <v>1960</v>
      </c>
      <c r="C327" s="18">
        <f t="shared" si="55"/>
        <v>201</v>
      </c>
      <c r="D327" s="19">
        <f t="shared" si="56"/>
        <v>2</v>
      </c>
      <c r="E327" s="19">
        <f>VLOOKUP(MOD(A327,4),各职业基础配置!C$32:D$35,2,FALSE)</f>
        <v>6</v>
      </c>
      <c r="F327" s="19">
        <f>IF(A327&lt;900,INDEX(各职业基础配置!C$23:C$28,MOD(ROW(A327),4)+1),0)</f>
        <v>16</v>
      </c>
      <c r="G327" s="19">
        <f t="shared" si="57"/>
        <v>67</v>
      </c>
      <c r="H327" s="27">
        <f t="shared" si="58"/>
        <v>2</v>
      </c>
      <c r="I327" s="6" t="s">
        <v>164</v>
      </c>
      <c r="J327" s="23" t="str">
        <f>VLOOKUP(E327,各职业基础配置!$B$9:$C$12,2,FALSE)</f>
        <v>111|112|113|4201|115</v>
      </c>
      <c r="K327" s="18" t="str">
        <f>VLOOKUP(E327,各职业基础配置!$B$15:$C$18,2,FALSE)</f>
        <v>32|33|34</v>
      </c>
      <c r="L327" s="18" t="str">
        <f>VLOOKUP(E327,各职业基础配置!B:C,2,FALSE)</f>
        <v>[{32,1,1},{33,1,1},{34,1,1},{35,1,1},{7,1,1},{8,1,1},{9,1,1}]</v>
      </c>
      <c r="M327" s="18">
        <v>0</v>
      </c>
      <c r="N327" s="18">
        <f t="shared" si="59"/>
        <v>7</v>
      </c>
      <c r="O327" s="18">
        <f>SUMPRODUCT(P327:AI327,Sheet2!$B$3:$U$3)</f>
        <v>288607</v>
      </c>
      <c r="P327" s="18">
        <f>CEILING(INDEX([1]系统模型!$VD:$VD,MATCH(C327,[1]系统模型!$A:$A,0))*POWER(C327/220,3.8)-50+(1000-A327),1)</f>
        <v>5954</v>
      </c>
      <c r="Q327" s="18">
        <f>CEILING(INDEX([1]系统模型!$VE:$VE,MATCH(C327,[1]系统模型!$A:$A,0))*POWER(C327/220,4),1)</f>
        <v>952</v>
      </c>
      <c r="R327" s="18">
        <f>INT(INDEX([1]系统模型!$VF:$VF,MATCH(C327,[1]系统模型!$A:$A,0))*MAX(POWER(C327/180,4),0.5))</f>
        <v>56007</v>
      </c>
      <c r="S327" s="5">
        <v>1000</v>
      </c>
      <c r="T327" s="25">
        <v>0</v>
      </c>
      <c r="U327" s="25">
        <v>0</v>
      </c>
      <c r="V327" s="25">
        <v>0</v>
      </c>
      <c r="W327" s="25">
        <v>0</v>
      </c>
      <c r="X327" s="25">
        <f t="shared" si="60"/>
        <v>2800</v>
      </c>
      <c r="Y327" s="12">
        <v>0</v>
      </c>
      <c r="Z327" s="25">
        <v>100</v>
      </c>
      <c r="AA327" s="25">
        <v>150</v>
      </c>
      <c r="AB327" s="25">
        <v>0</v>
      </c>
      <c r="AC327" s="25">
        <v>0</v>
      </c>
      <c r="AD327" s="25">
        <v>0</v>
      </c>
      <c r="AE327" s="25">
        <f t="shared" si="61"/>
        <v>402</v>
      </c>
      <c r="AF327" s="25">
        <f t="shared" si="62"/>
        <v>402</v>
      </c>
      <c r="AG327" s="25">
        <v>0</v>
      </c>
      <c r="AH327" s="25">
        <f t="shared" si="63"/>
        <v>6325</v>
      </c>
      <c r="AI327" s="25">
        <f t="shared" si="64"/>
        <v>79</v>
      </c>
      <c r="AJ327" s="25">
        <v>1</v>
      </c>
      <c r="AK327" s="25">
        <v>1000</v>
      </c>
      <c r="AL327" s="25">
        <v>100</v>
      </c>
      <c r="AM327" s="26">
        <v>10</v>
      </c>
      <c r="AN327" s="26">
        <v>10</v>
      </c>
      <c r="AO327" s="22" t="s">
        <v>2211</v>
      </c>
      <c r="AP327" s="26">
        <v>0</v>
      </c>
      <c r="AQ327" s="26">
        <f t="shared" si="65"/>
        <v>670</v>
      </c>
      <c r="AR327" s="18" t="str">
        <f ca="1">CONCATENATE(OFFSET(Sheet1!$A$2,RANDBETWEEN(2,500),0,1,1),OFFSET(Sheet1!$A$2,RANDBETWEEN(2,500),RANDBETWEEN(1,5),1,1))</f>
        <v>格罗特</v>
      </c>
      <c r="AS327">
        <f>SUMPRODUCT(P327:AI327,Sheet2!$B$3:$U$3)</f>
        <v>288607</v>
      </c>
    </row>
    <row r="328" spans="1:45" x14ac:dyDescent="0.15">
      <c r="A328" s="23">
        <v>327</v>
      </c>
      <c r="B328" s="18" t="s">
        <v>565</v>
      </c>
      <c r="C328" s="18">
        <f t="shared" si="55"/>
        <v>201</v>
      </c>
      <c r="D328" s="19">
        <f t="shared" si="56"/>
        <v>3</v>
      </c>
      <c r="E328" s="19">
        <f>VLOOKUP(MOD(A328,4),各职业基础配置!C$32:D$35,2,FALSE)</f>
        <v>9</v>
      </c>
      <c r="F328" s="19">
        <f>IF(A328&lt;900,INDEX(各职业基础配置!C$23:C$28,MOD(ROW(A328),4)+1),0)</f>
        <v>8</v>
      </c>
      <c r="G328" s="19">
        <f t="shared" si="57"/>
        <v>67</v>
      </c>
      <c r="H328" s="27">
        <f t="shared" si="58"/>
        <v>2</v>
      </c>
      <c r="I328" s="6" t="s">
        <v>164</v>
      </c>
      <c r="J328" s="23" t="str">
        <f>VLOOKUP(E328,各职业基础配置!$B$9:$C$12,2,FALSE)</f>
        <v>116|117|118|4201|120</v>
      </c>
      <c r="K328" s="18" t="str">
        <f>VLOOKUP(E328,各职业基础配置!$B$15:$C$18,2,FALSE)</f>
        <v>28|29|30|31</v>
      </c>
      <c r="L328" s="18" t="str">
        <f>VLOOKUP(E328,各职业基础配置!B:C,2,FALSE)</f>
        <v>[{28,1,1},{29,1,1},{30,1,1},{31,1,1},{10,1,1},{11,1,1},{12,1,1}]</v>
      </c>
      <c r="M328" s="18">
        <v>0</v>
      </c>
      <c r="N328" s="18">
        <f t="shared" si="59"/>
        <v>3</v>
      </c>
      <c r="O328" s="18">
        <f>SUMPRODUCT(P328:AI328,Sheet2!$B$3:$U$3)</f>
        <v>288582</v>
      </c>
      <c r="P328" s="18">
        <f>CEILING(INDEX([1]系统模型!$VD:$VD,MATCH(C328,[1]系统模型!$A:$A,0))*POWER(C328/220,3.8)-50+(1000-A328),1)</f>
        <v>5953</v>
      </c>
      <c r="Q328" s="18">
        <f>CEILING(INDEX([1]系统模型!$VE:$VE,MATCH(C328,[1]系统模型!$A:$A,0))*POWER(C328/220,4),1)</f>
        <v>952</v>
      </c>
      <c r="R328" s="18">
        <f>INT(INDEX([1]系统模型!$VF:$VF,MATCH(C328,[1]系统模型!$A:$A,0))*MAX(POWER(C328/180,4),0.5))</f>
        <v>56007</v>
      </c>
      <c r="S328" s="5">
        <v>1000</v>
      </c>
      <c r="T328" s="25">
        <v>0</v>
      </c>
      <c r="U328" s="25">
        <v>0</v>
      </c>
      <c r="V328" s="25">
        <v>0</v>
      </c>
      <c r="W328" s="25">
        <v>0</v>
      </c>
      <c r="X328" s="25">
        <f t="shared" si="60"/>
        <v>2800</v>
      </c>
      <c r="Y328" s="12">
        <v>0</v>
      </c>
      <c r="Z328" s="25">
        <v>100</v>
      </c>
      <c r="AA328" s="25">
        <v>150</v>
      </c>
      <c r="AB328" s="25">
        <v>0</v>
      </c>
      <c r="AC328" s="25">
        <v>0</v>
      </c>
      <c r="AD328" s="25">
        <v>0</v>
      </c>
      <c r="AE328" s="25">
        <f t="shared" si="61"/>
        <v>402</v>
      </c>
      <c r="AF328" s="25">
        <f t="shared" si="62"/>
        <v>402</v>
      </c>
      <c r="AG328" s="25">
        <v>0</v>
      </c>
      <c r="AH328" s="25">
        <f t="shared" si="63"/>
        <v>6325</v>
      </c>
      <c r="AI328" s="25">
        <f t="shared" si="64"/>
        <v>79</v>
      </c>
      <c r="AJ328" s="25">
        <v>1</v>
      </c>
      <c r="AK328" s="25">
        <v>1000</v>
      </c>
      <c r="AL328" s="25">
        <v>100</v>
      </c>
      <c r="AM328" s="26">
        <v>10</v>
      </c>
      <c r="AN328" s="26">
        <v>10</v>
      </c>
      <c r="AO328" s="22" t="s">
        <v>2211</v>
      </c>
      <c r="AP328" s="26">
        <v>0</v>
      </c>
      <c r="AQ328" s="26">
        <f t="shared" si="65"/>
        <v>670</v>
      </c>
      <c r="AR328" s="18" t="str">
        <f ca="1">CONCATENATE(OFFSET(Sheet1!$A$2,RANDBETWEEN(2,500),0,1,1),OFFSET(Sheet1!$A$2,RANDBETWEEN(2,500),RANDBETWEEN(1,5),1,1))</f>
        <v>阿奇博尔德小蜜</v>
      </c>
      <c r="AS328">
        <f>SUMPRODUCT(P328:AI328,Sheet2!$B$3:$U$3)</f>
        <v>288582</v>
      </c>
    </row>
    <row r="329" spans="1:45" x14ac:dyDescent="0.15">
      <c r="A329" s="18">
        <v>328</v>
      </c>
      <c r="B329" s="18" t="s">
        <v>1961</v>
      </c>
      <c r="C329" s="18">
        <f t="shared" si="55"/>
        <v>201</v>
      </c>
      <c r="D329" s="19">
        <f t="shared" si="56"/>
        <v>2</v>
      </c>
      <c r="E329" s="19">
        <f>VLOOKUP(MOD(A329,4),各职业基础配置!C$32:D$35,2,FALSE)</f>
        <v>1</v>
      </c>
      <c r="F329" s="19">
        <f>IF(A329&lt;900,INDEX(各职业基础配置!C$23:C$28,MOD(ROW(A329),4)+1),0)</f>
        <v>13</v>
      </c>
      <c r="G329" s="19">
        <f t="shared" si="57"/>
        <v>67</v>
      </c>
      <c r="H329" s="27">
        <f t="shared" si="58"/>
        <v>2</v>
      </c>
      <c r="I329" s="6" t="s">
        <v>164</v>
      </c>
      <c r="J329" s="23" t="str">
        <f>VLOOKUP(E329,各职业基础配置!$B$9:$C$12,2,FALSE)</f>
        <v>101|102|103|4201|105</v>
      </c>
      <c r="K329" s="18" t="str">
        <f>VLOOKUP(E329,各职业基础配置!$B$15:$C$18,2,FALSE)</f>
        <v>24|25|26|27</v>
      </c>
      <c r="L329" s="18" t="str">
        <f>VLOOKUP(E329,各职业基础配置!B:C,2,FALSE)</f>
        <v>[{24,1,1},{25,1,1},{26,1,1},{27,1,1},{1,1,1},{2,1,1},{3,1,1}]</v>
      </c>
      <c r="M329" s="18">
        <v>0</v>
      </c>
      <c r="N329" s="18">
        <f t="shared" si="59"/>
        <v>3</v>
      </c>
      <c r="O329" s="18">
        <f>SUMPRODUCT(P329:AI329,Sheet2!$B$3:$U$3)</f>
        <v>288557</v>
      </c>
      <c r="P329" s="18">
        <f>CEILING(INDEX([1]系统模型!$VD:$VD,MATCH(C329,[1]系统模型!$A:$A,0))*POWER(C329/220,3.8)-50+(1000-A329),1)</f>
        <v>5952</v>
      </c>
      <c r="Q329" s="18">
        <f>CEILING(INDEX([1]系统模型!$VE:$VE,MATCH(C329,[1]系统模型!$A:$A,0))*POWER(C329/220,4),1)</f>
        <v>952</v>
      </c>
      <c r="R329" s="18">
        <f>INT(INDEX([1]系统模型!$VF:$VF,MATCH(C329,[1]系统模型!$A:$A,0))*MAX(POWER(C329/180,4),0.5))</f>
        <v>56007</v>
      </c>
      <c r="S329" s="5">
        <v>1000</v>
      </c>
      <c r="T329" s="25">
        <v>0</v>
      </c>
      <c r="U329" s="25">
        <v>0</v>
      </c>
      <c r="V329" s="25">
        <v>0</v>
      </c>
      <c r="W329" s="25">
        <v>0</v>
      </c>
      <c r="X329" s="25">
        <f t="shared" si="60"/>
        <v>2800</v>
      </c>
      <c r="Y329" s="12">
        <v>0</v>
      </c>
      <c r="Z329" s="25">
        <v>100</v>
      </c>
      <c r="AA329" s="25">
        <v>150</v>
      </c>
      <c r="AB329" s="25">
        <v>0</v>
      </c>
      <c r="AC329" s="25">
        <v>0</v>
      </c>
      <c r="AD329" s="25">
        <v>0</v>
      </c>
      <c r="AE329" s="25">
        <f t="shared" si="61"/>
        <v>402</v>
      </c>
      <c r="AF329" s="25">
        <f t="shared" si="62"/>
        <v>402</v>
      </c>
      <c r="AG329" s="25">
        <v>0</v>
      </c>
      <c r="AH329" s="25">
        <f t="shared" si="63"/>
        <v>6325</v>
      </c>
      <c r="AI329" s="25">
        <f t="shared" si="64"/>
        <v>79</v>
      </c>
      <c r="AJ329" s="25">
        <v>1</v>
      </c>
      <c r="AK329" s="25">
        <v>1000</v>
      </c>
      <c r="AL329" s="25">
        <v>100</v>
      </c>
      <c r="AM329" s="26">
        <v>10</v>
      </c>
      <c r="AN329" s="26">
        <v>10</v>
      </c>
      <c r="AO329" s="22" t="s">
        <v>2211</v>
      </c>
      <c r="AP329" s="26">
        <v>0</v>
      </c>
      <c r="AQ329" s="26">
        <f t="shared" si="65"/>
        <v>670</v>
      </c>
      <c r="AR329" s="18" t="str">
        <f ca="1">CONCATENATE(OFFSET(Sheet1!$A$2,RANDBETWEEN(2,500),0,1,1),OFFSET(Sheet1!$A$2,RANDBETWEEN(2,500),RANDBETWEEN(1,5),1,1))</f>
        <v>赫士列特</v>
      </c>
      <c r="AS329">
        <f>SUMPRODUCT(P329:AI329,Sheet2!$B$3:$U$3)</f>
        <v>288557</v>
      </c>
    </row>
    <row r="330" spans="1:45" x14ac:dyDescent="0.15">
      <c r="A330" s="18">
        <v>329</v>
      </c>
      <c r="B330" s="18" t="s">
        <v>1218</v>
      </c>
      <c r="C330" s="18">
        <f t="shared" si="55"/>
        <v>201</v>
      </c>
      <c r="D330" s="19">
        <f t="shared" si="56"/>
        <v>3</v>
      </c>
      <c r="E330" s="19">
        <f>VLOOKUP(MOD(A330,4),各职业基础配置!C$32:D$35,2,FALSE)</f>
        <v>3</v>
      </c>
      <c r="F330" s="19">
        <f>IF(A330&lt;900,INDEX(各职业基础配置!C$23:C$28,MOD(ROW(A330),4)+1),0)</f>
        <v>14</v>
      </c>
      <c r="G330" s="19">
        <f t="shared" si="57"/>
        <v>67</v>
      </c>
      <c r="H330" s="27">
        <f t="shared" si="58"/>
        <v>2</v>
      </c>
      <c r="I330" s="6" t="s">
        <v>164</v>
      </c>
      <c r="J330" s="23" t="str">
        <f>VLOOKUP(E330,各职业基础配置!$B$9:$C$12,2,FALSE)</f>
        <v>106|107|108|4201|110</v>
      </c>
      <c r="K330" s="18" t="str">
        <f>VLOOKUP(E330,各职业基础配置!$B$15:$C$18,2,FALSE)</f>
        <v>20|21|22|23</v>
      </c>
      <c r="L330" s="18" t="str">
        <f>VLOOKUP(E330,各职业基础配置!B:C,2,FALSE)</f>
        <v>[{20,1,1},{21,1,1},{22,1,1},{23,1,1},{4,1,1},{5,1,1},{6,1,1}]</v>
      </c>
      <c r="M330" s="18">
        <v>0</v>
      </c>
      <c r="N330" s="18">
        <f t="shared" si="59"/>
        <v>7</v>
      </c>
      <c r="O330" s="18">
        <f>SUMPRODUCT(P330:AI330,Sheet2!$B$3:$U$3)</f>
        <v>288532</v>
      </c>
      <c r="P330" s="18">
        <f>CEILING(INDEX([1]系统模型!$VD:$VD,MATCH(C330,[1]系统模型!$A:$A,0))*POWER(C330/220,3.8)-50+(1000-A330),1)</f>
        <v>5951</v>
      </c>
      <c r="Q330" s="18">
        <f>CEILING(INDEX([1]系统模型!$VE:$VE,MATCH(C330,[1]系统模型!$A:$A,0))*POWER(C330/220,4),1)</f>
        <v>952</v>
      </c>
      <c r="R330" s="18">
        <f>INT(INDEX([1]系统模型!$VF:$VF,MATCH(C330,[1]系统模型!$A:$A,0))*MAX(POWER(C330/180,4),0.5))</f>
        <v>56007</v>
      </c>
      <c r="S330" s="5">
        <v>1000</v>
      </c>
      <c r="T330" s="25">
        <v>0</v>
      </c>
      <c r="U330" s="25">
        <v>0</v>
      </c>
      <c r="V330" s="25">
        <v>0</v>
      </c>
      <c r="W330" s="25">
        <v>0</v>
      </c>
      <c r="X330" s="25">
        <f t="shared" si="60"/>
        <v>2800</v>
      </c>
      <c r="Y330" s="12">
        <v>0</v>
      </c>
      <c r="Z330" s="25">
        <v>100</v>
      </c>
      <c r="AA330" s="25">
        <v>150</v>
      </c>
      <c r="AB330" s="25">
        <v>0</v>
      </c>
      <c r="AC330" s="25">
        <v>0</v>
      </c>
      <c r="AD330" s="25">
        <v>0</v>
      </c>
      <c r="AE330" s="25">
        <f t="shared" si="61"/>
        <v>402</v>
      </c>
      <c r="AF330" s="25">
        <f t="shared" si="62"/>
        <v>402</v>
      </c>
      <c r="AG330" s="25">
        <v>0</v>
      </c>
      <c r="AH330" s="25">
        <f t="shared" si="63"/>
        <v>6325</v>
      </c>
      <c r="AI330" s="25">
        <f t="shared" si="64"/>
        <v>79</v>
      </c>
      <c r="AJ330" s="25">
        <v>1</v>
      </c>
      <c r="AK330" s="25">
        <v>1000</v>
      </c>
      <c r="AL330" s="25">
        <v>100</v>
      </c>
      <c r="AM330" s="26">
        <v>10</v>
      </c>
      <c r="AN330" s="26">
        <v>10</v>
      </c>
      <c r="AO330" s="22" t="s">
        <v>2211</v>
      </c>
      <c r="AP330" s="26">
        <v>0</v>
      </c>
      <c r="AQ330" s="26">
        <f t="shared" si="65"/>
        <v>670</v>
      </c>
      <c r="AR330" s="18" t="str">
        <f ca="1">CONCATENATE(OFFSET(Sheet1!$A$2,RANDBETWEEN(2,500),0,1,1),OFFSET(Sheet1!$A$2,RANDBETWEEN(2,500),RANDBETWEEN(1,5),1,1))</f>
        <v>克拉克纳塔利</v>
      </c>
      <c r="AS330">
        <f>SUMPRODUCT(P330:AI330,Sheet2!$B$3:$U$3)</f>
        <v>288532</v>
      </c>
    </row>
    <row r="331" spans="1:45" x14ac:dyDescent="0.15">
      <c r="A331" s="23">
        <v>330</v>
      </c>
      <c r="B331" s="18" t="s">
        <v>415</v>
      </c>
      <c r="C331" s="18">
        <f t="shared" si="55"/>
        <v>201</v>
      </c>
      <c r="D331" s="19">
        <f t="shared" si="56"/>
        <v>2</v>
      </c>
      <c r="E331" s="19">
        <f>VLOOKUP(MOD(A331,4),各职业基础配置!C$32:D$35,2,FALSE)</f>
        <v>6</v>
      </c>
      <c r="F331" s="19">
        <f>IF(A331&lt;900,INDEX(各职业基础配置!C$23:C$28,MOD(ROW(A331),4)+1),0)</f>
        <v>16</v>
      </c>
      <c r="G331" s="19">
        <f t="shared" si="57"/>
        <v>67</v>
      </c>
      <c r="H331" s="27">
        <f t="shared" si="58"/>
        <v>2</v>
      </c>
      <c r="I331" s="6" t="s">
        <v>164</v>
      </c>
      <c r="J331" s="23" t="str">
        <f>VLOOKUP(E331,各职业基础配置!$B$9:$C$12,2,FALSE)</f>
        <v>111|112|113|4201|115</v>
      </c>
      <c r="K331" s="18" t="str">
        <f>VLOOKUP(E331,各职业基础配置!$B$15:$C$18,2,FALSE)</f>
        <v>32|33|34</v>
      </c>
      <c r="L331" s="18" t="str">
        <f>VLOOKUP(E331,各职业基础配置!B:C,2,FALSE)</f>
        <v>[{32,1,1},{33,1,1},{34,1,1},{35,1,1},{7,1,1},{8,1,1},{9,1,1}]</v>
      </c>
      <c r="M331" s="18">
        <v>0</v>
      </c>
      <c r="N331" s="18">
        <f t="shared" si="59"/>
        <v>7</v>
      </c>
      <c r="O331" s="18">
        <f>SUMPRODUCT(P331:AI331,Sheet2!$B$3:$U$3)</f>
        <v>288507</v>
      </c>
      <c r="P331" s="18">
        <f>CEILING(INDEX([1]系统模型!$VD:$VD,MATCH(C331,[1]系统模型!$A:$A,0))*POWER(C331/220,3.8)-50+(1000-A331),1)</f>
        <v>5950</v>
      </c>
      <c r="Q331" s="18">
        <f>CEILING(INDEX([1]系统模型!$VE:$VE,MATCH(C331,[1]系统模型!$A:$A,0))*POWER(C331/220,4),1)</f>
        <v>952</v>
      </c>
      <c r="R331" s="18">
        <f>INT(INDEX([1]系统模型!$VF:$VF,MATCH(C331,[1]系统模型!$A:$A,0))*MAX(POWER(C331/180,4),0.5))</f>
        <v>56007</v>
      </c>
      <c r="S331" s="5">
        <v>1000</v>
      </c>
      <c r="T331" s="25">
        <v>0</v>
      </c>
      <c r="U331" s="25">
        <v>0</v>
      </c>
      <c r="V331" s="25">
        <v>0</v>
      </c>
      <c r="W331" s="25">
        <v>0</v>
      </c>
      <c r="X331" s="25">
        <f t="shared" si="60"/>
        <v>2800</v>
      </c>
      <c r="Y331" s="12">
        <v>0</v>
      </c>
      <c r="Z331" s="25">
        <v>100</v>
      </c>
      <c r="AA331" s="25">
        <v>150</v>
      </c>
      <c r="AB331" s="25">
        <v>0</v>
      </c>
      <c r="AC331" s="25">
        <v>0</v>
      </c>
      <c r="AD331" s="25">
        <v>0</v>
      </c>
      <c r="AE331" s="25">
        <f t="shared" si="61"/>
        <v>402</v>
      </c>
      <c r="AF331" s="25">
        <f t="shared" si="62"/>
        <v>402</v>
      </c>
      <c r="AG331" s="25">
        <v>0</v>
      </c>
      <c r="AH331" s="25">
        <f t="shared" si="63"/>
        <v>6325</v>
      </c>
      <c r="AI331" s="25">
        <f t="shared" si="64"/>
        <v>79</v>
      </c>
      <c r="AJ331" s="25">
        <v>1</v>
      </c>
      <c r="AK331" s="25">
        <v>1000</v>
      </c>
      <c r="AL331" s="25">
        <v>100</v>
      </c>
      <c r="AM331" s="26">
        <v>10</v>
      </c>
      <c r="AN331" s="26">
        <v>10</v>
      </c>
      <c r="AO331" s="22" t="s">
        <v>2211</v>
      </c>
      <c r="AP331" s="26">
        <v>0</v>
      </c>
      <c r="AQ331" s="26">
        <f t="shared" si="65"/>
        <v>670</v>
      </c>
      <c r="AR331" s="18" t="str">
        <f ca="1">CONCATENATE(OFFSET(Sheet1!$A$2,RANDBETWEEN(2,500),0,1,1),OFFSET(Sheet1!$A$2,RANDBETWEEN(2,500),RANDBETWEEN(1,5),1,1))</f>
        <v>阿道夫</v>
      </c>
      <c r="AS331">
        <f>SUMPRODUCT(P331:AI331,Sheet2!$B$3:$U$3)</f>
        <v>288507</v>
      </c>
    </row>
    <row r="332" spans="1:45" x14ac:dyDescent="0.15">
      <c r="A332" s="18">
        <v>331</v>
      </c>
      <c r="B332" s="18" t="s">
        <v>1962</v>
      </c>
      <c r="C332" s="18">
        <f t="shared" si="55"/>
        <v>201</v>
      </c>
      <c r="D332" s="19">
        <f t="shared" si="56"/>
        <v>3</v>
      </c>
      <c r="E332" s="19">
        <f>VLOOKUP(MOD(A332,4),各职业基础配置!C$32:D$35,2,FALSE)</f>
        <v>9</v>
      </c>
      <c r="F332" s="19">
        <f>IF(A332&lt;900,INDEX(各职业基础配置!C$23:C$28,MOD(ROW(A332),4)+1),0)</f>
        <v>8</v>
      </c>
      <c r="G332" s="19">
        <f t="shared" si="57"/>
        <v>67</v>
      </c>
      <c r="H332" s="27">
        <f t="shared" si="58"/>
        <v>2</v>
      </c>
      <c r="I332" s="6" t="s">
        <v>164</v>
      </c>
      <c r="J332" s="23" t="str">
        <f>VLOOKUP(E332,各职业基础配置!$B$9:$C$12,2,FALSE)</f>
        <v>116|117|118|4201|120</v>
      </c>
      <c r="K332" s="18" t="str">
        <f>VLOOKUP(E332,各职业基础配置!$B$15:$C$18,2,FALSE)</f>
        <v>28|29|30|31</v>
      </c>
      <c r="L332" s="18" t="str">
        <f>VLOOKUP(E332,各职业基础配置!B:C,2,FALSE)</f>
        <v>[{28,1,1},{29,1,1},{30,1,1},{31,1,1},{10,1,1},{11,1,1},{12,1,1}]</v>
      </c>
      <c r="M332" s="18">
        <v>0</v>
      </c>
      <c r="N332" s="18">
        <f t="shared" si="59"/>
        <v>3</v>
      </c>
      <c r="O332" s="18">
        <f>SUMPRODUCT(P332:AI332,Sheet2!$B$3:$U$3)</f>
        <v>288482</v>
      </c>
      <c r="P332" s="18">
        <f>CEILING(INDEX([1]系统模型!$VD:$VD,MATCH(C332,[1]系统模型!$A:$A,0))*POWER(C332/220,3.8)-50+(1000-A332),1)</f>
        <v>5949</v>
      </c>
      <c r="Q332" s="18">
        <f>CEILING(INDEX([1]系统模型!$VE:$VE,MATCH(C332,[1]系统模型!$A:$A,0))*POWER(C332/220,4),1)</f>
        <v>952</v>
      </c>
      <c r="R332" s="18">
        <f>INT(INDEX([1]系统模型!$VF:$VF,MATCH(C332,[1]系统模型!$A:$A,0))*MAX(POWER(C332/180,4),0.5))</f>
        <v>56007</v>
      </c>
      <c r="S332" s="5">
        <v>1000</v>
      </c>
      <c r="T332" s="25">
        <v>0</v>
      </c>
      <c r="U332" s="25">
        <v>0</v>
      </c>
      <c r="V332" s="25">
        <v>0</v>
      </c>
      <c r="W332" s="25">
        <v>0</v>
      </c>
      <c r="X332" s="25">
        <f t="shared" si="60"/>
        <v>2800</v>
      </c>
      <c r="Y332" s="12">
        <v>0</v>
      </c>
      <c r="Z332" s="25">
        <v>100</v>
      </c>
      <c r="AA332" s="25">
        <v>150</v>
      </c>
      <c r="AB332" s="25">
        <v>0</v>
      </c>
      <c r="AC332" s="25">
        <v>0</v>
      </c>
      <c r="AD332" s="25">
        <v>0</v>
      </c>
      <c r="AE332" s="25">
        <f t="shared" si="61"/>
        <v>402</v>
      </c>
      <c r="AF332" s="25">
        <f t="shared" si="62"/>
        <v>402</v>
      </c>
      <c r="AG332" s="25">
        <v>0</v>
      </c>
      <c r="AH332" s="25">
        <f t="shared" si="63"/>
        <v>6325</v>
      </c>
      <c r="AI332" s="25">
        <f t="shared" si="64"/>
        <v>79</v>
      </c>
      <c r="AJ332" s="25">
        <v>1</v>
      </c>
      <c r="AK332" s="25">
        <v>1000</v>
      </c>
      <c r="AL332" s="25">
        <v>100</v>
      </c>
      <c r="AM332" s="26">
        <v>10</v>
      </c>
      <c r="AN332" s="26">
        <v>10</v>
      </c>
      <c r="AO332" s="22" t="s">
        <v>2211</v>
      </c>
      <c r="AP332" s="26">
        <v>0</v>
      </c>
      <c r="AQ332" s="26">
        <f t="shared" si="65"/>
        <v>670</v>
      </c>
      <c r="AR332" s="18" t="str">
        <f ca="1">CONCATENATE(OFFSET(Sheet1!$A$2,RANDBETWEEN(2,500),0,1,1),OFFSET(Sheet1!$A$2,RANDBETWEEN(2,500),RANDBETWEEN(1,5),1,1))</f>
        <v>伊迪</v>
      </c>
      <c r="AS332">
        <f>SUMPRODUCT(P332:AI332,Sheet2!$B$3:$U$3)</f>
        <v>288482</v>
      </c>
    </row>
    <row r="333" spans="1:45" x14ac:dyDescent="0.15">
      <c r="A333" s="18">
        <v>332</v>
      </c>
      <c r="B333" s="18" t="s">
        <v>1963</v>
      </c>
      <c r="C333" s="18">
        <f t="shared" si="55"/>
        <v>200</v>
      </c>
      <c r="D333" s="19">
        <f t="shared" si="56"/>
        <v>2</v>
      </c>
      <c r="E333" s="19">
        <f>VLOOKUP(MOD(A333,4),各职业基础配置!C$32:D$35,2,FALSE)</f>
        <v>1</v>
      </c>
      <c r="F333" s="19">
        <f>IF(A333&lt;900,INDEX(各职业基础配置!C$23:C$28,MOD(ROW(A333),4)+1),0)</f>
        <v>13</v>
      </c>
      <c r="G333" s="19">
        <f t="shared" si="57"/>
        <v>65</v>
      </c>
      <c r="H333" s="27">
        <f t="shared" si="58"/>
        <v>2</v>
      </c>
      <c r="I333" s="6" t="s">
        <v>164</v>
      </c>
      <c r="J333" s="23" t="str">
        <f>VLOOKUP(E333,各职业基础配置!$B$9:$C$12,2,FALSE)</f>
        <v>101|102|103|4201|105</v>
      </c>
      <c r="K333" s="18" t="str">
        <f>VLOOKUP(E333,各职业基础配置!$B$15:$C$18,2,FALSE)</f>
        <v>24|25|26|27</v>
      </c>
      <c r="L333" s="18" t="str">
        <f>VLOOKUP(E333,各职业基础配置!B:C,2,FALSE)</f>
        <v>[{24,1,1},{25,1,1},{26,1,1},{27,1,1},{1,1,1},{2,1,1},{3,1,1}]</v>
      </c>
      <c r="M333" s="18">
        <v>0</v>
      </c>
      <c r="N333" s="18">
        <f t="shared" si="59"/>
        <v>3</v>
      </c>
      <c r="O333" s="18">
        <f>SUMPRODUCT(P333:AI333,Sheet2!$B$3:$U$3)</f>
        <v>278803</v>
      </c>
      <c r="P333" s="18">
        <f>CEILING(INDEX([1]系统模型!$VD:$VD,MATCH(C333,[1]系统模型!$A:$A,0))*POWER(C333/220,3.8)-50+(1000-A333),1)</f>
        <v>5790</v>
      </c>
      <c r="Q333" s="18">
        <f>CEILING(INDEX([1]系统模型!$VE:$VE,MATCH(C333,[1]系统模型!$A:$A,0))*POWER(C333/220,4),1)</f>
        <v>893</v>
      </c>
      <c r="R333" s="18">
        <f>INT(INDEX([1]系统模型!$VF:$VF,MATCH(C333,[1]系统模型!$A:$A,0))*MAX(POWER(C333/180,4),0.5))</f>
        <v>52303</v>
      </c>
      <c r="S333" s="5">
        <v>1000</v>
      </c>
      <c r="T333" s="25">
        <v>0</v>
      </c>
      <c r="U333" s="25">
        <v>0</v>
      </c>
      <c r="V333" s="25">
        <v>0</v>
      </c>
      <c r="W333" s="25">
        <v>0</v>
      </c>
      <c r="X333" s="25">
        <f t="shared" si="60"/>
        <v>2615</v>
      </c>
      <c r="Y333" s="12">
        <v>0</v>
      </c>
      <c r="Z333" s="25">
        <v>100</v>
      </c>
      <c r="AA333" s="25">
        <v>150</v>
      </c>
      <c r="AB333" s="25">
        <v>0</v>
      </c>
      <c r="AC333" s="25">
        <v>0</v>
      </c>
      <c r="AD333" s="25">
        <v>0</v>
      </c>
      <c r="AE333" s="25">
        <f t="shared" si="61"/>
        <v>400</v>
      </c>
      <c r="AF333" s="25">
        <f t="shared" si="62"/>
        <v>400</v>
      </c>
      <c r="AG333" s="25">
        <v>0</v>
      </c>
      <c r="AH333" s="25">
        <f t="shared" si="63"/>
        <v>6250</v>
      </c>
      <c r="AI333" s="25">
        <f t="shared" si="64"/>
        <v>77</v>
      </c>
      <c r="AJ333" s="25">
        <v>1</v>
      </c>
      <c r="AK333" s="25">
        <v>1000</v>
      </c>
      <c r="AL333" s="25">
        <v>100</v>
      </c>
      <c r="AM333" s="26">
        <v>10</v>
      </c>
      <c r="AN333" s="26">
        <v>10</v>
      </c>
      <c r="AO333" s="22" t="s">
        <v>2211</v>
      </c>
      <c r="AP333" s="26">
        <v>0</v>
      </c>
      <c r="AQ333" s="26">
        <f t="shared" si="65"/>
        <v>670</v>
      </c>
      <c r="AR333" s="18" t="str">
        <f ca="1">CONCATENATE(OFFSET(Sheet1!$A$2,RANDBETWEEN(2,500),0,1,1),OFFSET(Sheet1!$A$2,RANDBETWEEN(2,500),RANDBETWEEN(1,5),1,1))</f>
        <v>布卢尔</v>
      </c>
      <c r="AS333">
        <f>SUMPRODUCT(P333:AI333,Sheet2!$B$3:$U$3)</f>
        <v>278803</v>
      </c>
    </row>
    <row r="334" spans="1:45" x14ac:dyDescent="0.15">
      <c r="A334" s="23">
        <v>333</v>
      </c>
      <c r="B334" s="18" t="s">
        <v>1964</v>
      </c>
      <c r="C334" s="18">
        <f t="shared" si="55"/>
        <v>200</v>
      </c>
      <c r="D334" s="19">
        <f t="shared" si="56"/>
        <v>3</v>
      </c>
      <c r="E334" s="19">
        <f>VLOOKUP(MOD(A334,4),各职业基础配置!C$32:D$35,2,FALSE)</f>
        <v>3</v>
      </c>
      <c r="F334" s="19">
        <f>IF(A334&lt;900,INDEX(各职业基础配置!C$23:C$28,MOD(ROW(A334),4)+1),0)</f>
        <v>14</v>
      </c>
      <c r="G334" s="19">
        <f t="shared" si="57"/>
        <v>65</v>
      </c>
      <c r="H334" s="27">
        <f t="shared" si="58"/>
        <v>2</v>
      </c>
      <c r="I334" s="6" t="s">
        <v>164</v>
      </c>
      <c r="J334" s="23" t="str">
        <f>VLOOKUP(E334,各职业基础配置!$B$9:$C$12,2,FALSE)</f>
        <v>106|107|108|4201|110</v>
      </c>
      <c r="K334" s="18" t="str">
        <f>VLOOKUP(E334,各职业基础配置!$B$15:$C$18,2,FALSE)</f>
        <v>20|21|22|23</v>
      </c>
      <c r="L334" s="18" t="str">
        <f>VLOOKUP(E334,各职业基础配置!B:C,2,FALSE)</f>
        <v>[{20,1,1},{21,1,1},{22,1,1},{23,1,1},{4,1,1},{5,1,1},{6,1,1}]</v>
      </c>
      <c r="M334" s="18">
        <v>0</v>
      </c>
      <c r="N334" s="18">
        <f t="shared" si="59"/>
        <v>7</v>
      </c>
      <c r="O334" s="18">
        <f>SUMPRODUCT(P334:AI334,Sheet2!$B$3:$U$3)</f>
        <v>278778</v>
      </c>
      <c r="P334" s="18">
        <f>CEILING(INDEX([1]系统模型!$VD:$VD,MATCH(C334,[1]系统模型!$A:$A,0))*POWER(C334/220,3.8)-50+(1000-A334),1)</f>
        <v>5789</v>
      </c>
      <c r="Q334" s="18">
        <f>CEILING(INDEX([1]系统模型!$VE:$VE,MATCH(C334,[1]系统模型!$A:$A,0))*POWER(C334/220,4),1)</f>
        <v>893</v>
      </c>
      <c r="R334" s="18">
        <f>INT(INDEX([1]系统模型!$VF:$VF,MATCH(C334,[1]系统模型!$A:$A,0))*MAX(POWER(C334/180,4),0.5))</f>
        <v>52303</v>
      </c>
      <c r="S334" s="5">
        <v>1000</v>
      </c>
      <c r="T334" s="25">
        <v>0</v>
      </c>
      <c r="U334" s="25">
        <v>0</v>
      </c>
      <c r="V334" s="25">
        <v>0</v>
      </c>
      <c r="W334" s="25">
        <v>0</v>
      </c>
      <c r="X334" s="25">
        <f t="shared" si="60"/>
        <v>2615</v>
      </c>
      <c r="Y334" s="12">
        <v>0</v>
      </c>
      <c r="Z334" s="25">
        <v>100</v>
      </c>
      <c r="AA334" s="25">
        <v>150</v>
      </c>
      <c r="AB334" s="25">
        <v>0</v>
      </c>
      <c r="AC334" s="25">
        <v>0</v>
      </c>
      <c r="AD334" s="25">
        <v>0</v>
      </c>
      <c r="AE334" s="25">
        <f t="shared" si="61"/>
        <v>400</v>
      </c>
      <c r="AF334" s="25">
        <f t="shared" si="62"/>
        <v>400</v>
      </c>
      <c r="AG334" s="25">
        <v>0</v>
      </c>
      <c r="AH334" s="25">
        <f t="shared" si="63"/>
        <v>6250</v>
      </c>
      <c r="AI334" s="25">
        <f t="shared" si="64"/>
        <v>77</v>
      </c>
      <c r="AJ334" s="25">
        <v>1</v>
      </c>
      <c r="AK334" s="25">
        <v>1000</v>
      </c>
      <c r="AL334" s="25">
        <v>100</v>
      </c>
      <c r="AM334" s="26">
        <v>10</v>
      </c>
      <c r="AN334" s="26">
        <v>10</v>
      </c>
      <c r="AO334" s="22" t="s">
        <v>2211</v>
      </c>
      <c r="AP334" s="26">
        <v>0</v>
      </c>
      <c r="AQ334" s="26">
        <f t="shared" si="65"/>
        <v>670</v>
      </c>
      <c r="AR334" s="18" t="str">
        <f ca="1">CONCATENATE(OFFSET(Sheet1!$A$2,RANDBETWEEN(2,500),0,1,1),OFFSET(Sheet1!$A$2,RANDBETWEEN(2,500),RANDBETWEEN(1,5),1,1))</f>
        <v>安东尼娅</v>
      </c>
      <c r="AS334">
        <f>SUMPRODUCT(P334:AI334,Sheet2!$B$3:$U$3)</f>
        <v>278778</v>
      </c>
    </row>
    <row r="335" spans="1:45" x14ac:dyDescent="0.15">
      <c r="A335" s="18">
        <v>334</v>
      </c>
      <c r="B335" s="18" t="s">
        <v>1965</v>
      </c>
      <c r="C335" s="18">
        <f t="shared" si="55"/>
        <v>200</v>
      </c>
      <c r="D335" s="19">
        <f t="shared" si="56"/>
        <v>2</v>
      </c>
      <c r="E335" s="19">
        <f>VLOOKUP(MOD(A335,4),各职业基础配置!C$32:D$35,2,FALSE)</f>
        <v>6</v>
      </c>
      <c r="F335" s="19">
        <f>IF(A335&lt;900,INDEX(各职业基础配置!C$23:C$28,MOD(ROW(A335),4)+1),0)</f>
        <v>16</v>
      </c>
      <c r="G335" s="19">
        <f t="shared" si="57"/>
        <v>65</v>
      </c>
      <c r="H335" s="27">
        <f t="shared" si="58"/>
        <v>2</v>
      </c>
      <c r="I335" s="6" t="s">
        <v>164</v>
      </c>
      <c r="J335" s="23" t="str">
        <f>VLOOKUP(E335,各职业基础配置!$B$9:$C$12,2,FALSE)</f>
        <v>111|112|113|4201|115</v>
      </c>
      <c r="K335" s="18" t="str">
        <f>VLOOKUP(E335,各职业基础配置!$B$15:$C$18,2,FALSE)</f>
        <v>32|33|34</v>
      </c>
      <c r="L335" s="18" t="str">
        <f>VLOOKUP(E335,各职业基础配置!B:C,2,FALSE)</f>
        <v>[{32,1,1},{33,1,1},{34,1,1},{35,1,1},{7,1,1},{8,1,1},{9,1,1}]</v>
      </c>
      <c r="M335" s="18">
        <v>0</v>
      </c>
      <c r="N335" s="18">
        <f t="shared" si="59"/>
        <v>7</v>
      </c>
      <c r="O335" s="18">
        <f>SUMPRODUCT(P335:AI335,Sheet2!$B$3:$U$3)</f>
        <v>278753</v>
      </c>
      <c r="P335" s="18">
        <f>CEILING(INDEX([1]系统模型!$VD:$VD,MATCH(C335,[1]系统模型!$A:$A,0))*POWER(C335/220,3.8)-50+(1000-A335),1)</f>
        <v>5788</v>
      </c>
      <c r="Q335" s="18">
        <f>CEILING(INDEX([1]系统模型!$VE:$VE,MATCH(C335,[1]系统模型!$A:$A,0))*POWER(C335/220,4),1)</f>
        <v>893</v>
      </c>
      <c r="R335" s="18">
        <f>INT(INDEX([1]系统模型!$VF:$VF,MATCH(C335,[1]系统模型!$A:$A,0))*MAX(POWER(C335/180,4),0.5))</f>
        <v>52303</v>
      </c>
      <c r="S335" s="5">
        <v>1000</v>
      </c>
      <c r="T335" s="25">
        <v>0</v>
      </c>
      <c r="U335" s="25">
        <v>0</v>
      </c>
      <c r="V335" s="25">
        <v>0</v>
      </c>
      <c r="W335" s="25">
        <v>0</v>
      </c>
      <c r="X335" s="25">
        <f t="shared" si="60"/>
        <v>2615</v>
      </c>
      <c r="Y335" s="12">
        <v>0</v>
      </c>
      <c r="Z335" s="25">
        <v>100</v>
      </c>
      <c r="AA335" s="25">
        <v>150</v>
      </c>
      <c r="AB335" s="25">
        <v>0</v>
      </c>
      <c r="AC335" s="25">
        <v>0</v>
      </c>
      <c r="AD335" s="25">
        <v>0</v>
      </c>
      <c r="AE335" s="25">
        <f t="shared" si="61"/>
        <v>400</v>
      </c>
      <c r="AF335" s="25">
        <f t="shared" si="62"/>
        <v>400</v>
      </c>
      <c r="AG335" s="25">
        <v>0</v>
      </c>
      <c r="AH335" s="25">
        <f t="shared" si="63"/>
        <v>6250</v>
      </c>
      <c r="AI335" s="25">
        <f t="shared" si="64"/>
        <v>77</v>
      </c>
      <c r="AJ335" s="25">
        <v>1</v>
      </c>
      <c r="AK335" s="25">
        <v>1000</v>
      </c>
      <c r="AL335" s="25">
        <v>100</v>
      </c>
      <c r="AM335" s="26">
        <v>10</v>
      </c>
      <c r="AN335" s="26">
        <v>10</v>
      </c>
      <c r="AO335" s="22" t="s">
        <v>2211</v>
      </c>
      <c r="AP335" s="26">
        <v>0</v>
      </c>
      <c r="AQ335" s="26">
        <f t="shared" si="65"/>
        <v>660</v>
      </c>
      <c r="AR335" s="18" t="str">
        <f ca="1">CONCATENATE(OFFSET(Sheet1!$A$2,RANDBETWEEN(2,500),0,1,1),OFFSET(Sheet1!$A$2,RANDBETWEEN(2,500),RANDBETWEEN(1,5),1,1))</f>
        <v>艾狄生</v>
      </c>
      <c r="AS335">
        <f>SUMPRODUCT(P335:AI335,Sheet2!$B$3:$U$3)</f>
        <v>278753</v>
      </c>
    </row>
    <row r="336" spans="1:45" x14ac:dyDescent="0.15">
      <c r="A336" s="18">
        <v>335</v>
      </c>
      <c r="B336" s="18" t="s">
        <v>1171</v>
      </c>
      <c r="C336" s="18">
        <f t="shared" si="55"/>
        <v>200</v>
      </c>
      <c r="D336" s="19">
        <f t="shared" si="56"/>
        <v>3</v>
      </c>
      <c r="E336" s="19">
        <f>VLOOKUP(MOD(A336,4),各职业基础配置!C$32:D$35,2,FALSE)</f>
        <v>9</v>
      </c>
      <c r="F336" s="19">
        <f>IF(A336&lt;900,INDEX(各职业基础配置!C$23:C$28,MOD(ROW(A336),4)+1),0)</f>
        <v>8</v>
      </c>
      <c r="G336" s="19">
        <f t="shared" si="57"/>
        <v>65</v>
      </c>
      <c r="H336" s="27">
        <f t="shared" si="58"/>
        <v>2</v>
      </c>
      <c r="I336" s="6" t="s">
        <v>164</v>
      </c>
      <c r="J336" s="23" t="str">
        <f>VLOOKUP(E336,各职业基础配置!$B$9:$C$12,2,FALSE)</f>
        <v>116|117|118|4201|120</v>
      </c>
      <c r="K336" s="18" t="str">
        <f>VLOOKUP(E336,各职业基础配置!$B$15:$C$18,2,FALSE)</f>
        <v>28|29|30|31</v>
      </c>
      <c r="L336" s="18" t="str">
        <f>VLOOKUP(E336,各职业基础配置!B:C,2,FALSE)</f>
        <v>[{28,1,1},{29,1,1},{30,1,1},{31,1,1},{10,1,1},{11,1,1},{12,1,1}]</v>
      </c>
      <c r="M336" s="18">
        <v>0</v>
      </c>
      <c r="N336" s="18">
        <f t="shared" si="59"/>
        <v>3</v>
      </c>
      <c r="O336" s="18">
        <f>SUMPRODUCT(P336:AI336,Sheet2!$B$3:$U$3)</f>
        <v>278728</v>
      </c>
      <c r="P336" s="18">
        <f>CEILING(INDEX([1]系统模型!$VD:$VD,MATCH(C336,[1]系统模型!$A:$A,0))*POWER(C336/220,3.8)-50+(1000-A336),1)</f>
        <v>5787</v>
      </c>
      <c r="Q336" s="18">
        <f>CEILING(INDEX([1]系统模型!$VE:$VE,MATCH(C336,[1]系统模型!$A:$A,0))*POWER(C336/220,4),1)</f>
        <v>893</v>
      </c>
      <c r="R336" s="18">
        <f>INT(INDEX([1]系统模型!$VF:$VF,MATCH(C336,[1]系统模型!$A:$A,0))*MAX(POWER(C336/180,4),0.5))</f>
        <v>52303</v>
      </c>
      <c r="S336" s="5">
        <v>1000</v>
      </c>
      <c r="T336" s="25">
        <v>0</v>
      </c>
      <c r="U336" s="25">
        <v>0</v>
      </c>
      <c r="V336" s="25">
        <v>0</v>
      </c>
      <c r="W336" s="25">
        <v>0</v>
      </c>
      <c r="X336" s="25">
        <f t="shared" si="60"/>
        <v>2615</v>
      </c>
      <c r="Y336" s="12">
        <v>0</v>
      </c>
      <c r="Z336" s="25">
        <v>100</v>
      </c>
      <c r="AA336" s="25">
        <v>150</v>
      </c>
      <c r="AB336" s="25">
        <v>0</v>
      </c>
      <c r="AC336" s="25">
        <v>0</v>
      </c>
      <c r="AD336" s="25">
        <v>0</v>
      </c>
      <c r="AE336" s="25">
        <f t="shared" si="61"/>
        <v>400</v>
      </c>
      <c r="AF336" s="25">
        <f t="shared" si="62"/>
        <v>400</v>
      </c>
      <c r="AG336" s="25">
        <v>0</v>
      </c>
      <c r="AH336" s="25">
        <f t="shared" si="63"/>
        <v>6250</v>
      </c>
      <c r="AI336" s="25">
        <f t="shared" si="64"/>
        <v>77</v>
      </c>
      <c r="AJ336" s="25">
        <v>1</v>
      </c>
      <c r="AK336" s="25">
        <v>1000</v>
      </c>
      <c r="AL336" s="25">
        <v>100</v>
      </c>
      <c r="AM336" s="26">
        <v>10</v>
      </c>
      <c r="AN336" s="26">
        <v>10</v>
      </c>
      <c r="AO336" s="22" t="s">
        <v>2211</v>
      </c>
      <c r="AP336" s="26">
        <v>0</v>
      </c>
      <c r="AQ336" s="26">
        <f t="shared" si="65"/>
        <v>660</v>
      </c>
      <c r="AR336" s="18" t="str">
        <f ca="1">CONCATENATE(OFFSET(Sheet1!$A$2,RANDBETWEEN(2,500),0,1,1),OFFSET(Sheet1!$A$2,RANDBETWEEN(2,500),RANDBETWEEN(1,5),1,1))</f>
        <v>贝洛克小嫣</v>
      </c>
      <c r="AS336">
        <f>SUMPRODUCT(P336:AI336,Sheet2!$B$3:$U$3)</f>
        <v>278728</v>
      </c>
    </row>
    <row r="337" spans="1:45" x14ac:dyDescent="0.15">
      <c r="A337" s="23">
        <v>336</v>
      </c>
      <c r="B337" s="18" t="s">
        <v>1966</v>
      </c>
      <c r="C337" s="18">
        <f t="shared" si="55"/>
        <v>200</v>
      </c>
      <c r="D337" s="19">
        <f t="shared" si="56"/>
        <v>2</v>
      </c>
      <c r="E337" s="19">
        <f>VLOOKUP(MOD(A337,4),各职业基础配置!C$32:D$35,2,FALSE)</f>
        <v>1</v>
      </c>
      <c r="F337" s="19">
        <f>IF(A337&lt;900,INDEX(各职业基础配置!C$23:C$28,MOD(ROW(A337),4)+1),0)</f>
        <v>13</v>
      </c>
      <c r="G337" s="19">
        <f t="shared" si="57"/>
        <v>65</v>
      </c>
      <c r="H337" s="27">
        <f t="shared" si="58"/>
        <v>2</v>
      </c>
      <c r="I337" s="6" t="s">
        <v>164</v>
      </c>
      <c r="J337" s="23" t="str">
        <f>VLOOKUP(E337,各职业基础配置!$B$9:$C$12,2,FALSE)</f>
        <v>101|102|103|4201|105</v>
      </c>
      <c r="K337" s="18" t="str">
        <f>VLOOKUP(E337,各职业基础配置!$B$15:$C$18,2,FALSE)</f>
        <v>24|25|26|27</v>
      </c>
      <c r="L337" s="18" t="str">
        <f>VLOOKUP(E337,各职业基础配置!B:C,2,FALSE)</f>
        <v>[{24,1,1},{25,1,1},{26,1,1},{27,1,1},{1,1,1},{2,1,1},{3,1,1}]</v>
      </c>
      <c r="M337" s="18">
        <v>0</v>
      </c>
      <c r="N337" s="18">
        <f t="shared" si="59"/>
        <v>3</v>
      </c>
      <c r="O337" s="18">
        <f>SUMPRODUCT(P337:AI337,Sheet2!$B$3:$U$3)</f>
        <v>278703</v>
      </c>
      <c r="P337" s="18">
        <f>CEILING(INDEX([1]系统模型!$VD:$VD,MATCH(C337,[1]系统模型!$A:$A,0))*POWER(C337/220,3.8)-50+(1000-A337),1)</f>
        <v>5786</v>
      </c>
      <c r="Q337" s="18">
        <f>CEILING(INDEX([1]系统模型!$VE:$VE,MATCH(C337,[1]系统模型!$A:$A,0))*POWER(C337/220,4),1)</f>
        <v>893</v>
      </c>
      <c r="R337" s="18">
        <f>INT(INDEX([1]系统模型!$VF:$VF,MATCH(C337,[1]系统模型!$A:$A,0))*MAX(POWER(C337/180,4),0.5))</f>
        <v>52303</v>
      </c>
      <c r="S337" s="5">
        <v>1000</v>
      </c>
      <c r="T337" s="25">
        <v>0</v>
      </c>
      <c r="U337" s="25">
        <v>0</v>
      </c>
      <c r="V337" s="25">
        <v>0</v>
      </c>
      <c r="W337" s="25">
        <v>0</v>
      </c>
      <c r="X337" s="25">
        <f t="shared" si="60"/>
        <v>2615</v>
      </c>
      <c r="Y337" s="12">
        <v>0</v>
      </c>
      <c r="Z337" s="25">
        <v>100</v>
      </c>
      <c r="AA337" s="25">
        <v>150</v>
      </c>
      <c r="AB337" s="25">
        <v>0</v>
      </c>
      <c r="AC337" s="25">
        <v>0</v>
      </c>
      <c r="AD337" s="25">
        <v>0</v>
      </c>
      <c r="AE337" s="25">
        <f t="shared" si="61"/>
        <v>400</v>
      </c>
      <c r="AF337" s="25">
        <f t="shared" si="62"/>
        <v>400</v>
      </c>
      <c r="AG337" s="25">
        <v>0</v>
      </c>
      <c r="AH337" s="25">
        <f t="shared" si="63"/>
        <v>6250</v>
      </c>
      <c r="AI337" s="25">
        <f t="shared" si="64"/>
        <v>77</v>
      </c>
      <c r="AJ337" s="25">
        <v>1</v>
      </c>
      <c r="AK337" s="25">
        <v>1000</v>
      </c>
      <c r="AL337" s="25">
        <v>100</v>
      </c>
      <c r="AM337" s="26">
        <v>10</v>
      </c>
      <c r="AN337" s="26">
        <v>10</v>
      </c>
      <c r="AO337" s="22" t="s">
        <v>2211</v>
      </c>
      <c r="AP337" s="26">
        <v>0</v>
      </c>
      <c r="AQ337" s="26">
        <f t="shared" si="65"/>
        <v>660</v>
      </c>
      <c r="AR337" s="18" t="str">
        <f ca="1">CONCATENATE(OFFSET(Sheet1!$A$2,RANDBETWEEN(2,500),0,1,1),OFFSET(Sheet1!$A$2,RANDBETWEEN(2,500),RANDBETWEEN(1,5),1,1))</f>
        <v>切斯特顿</v>
      </c>
      <c r="AS337">
        <f>SUMPRODUCT(P337:AI337,Sheet2!$B$3:$U$3)</f>
        <v>278703</v>
      </c>
    </row>
    <row r="338" spans="1:45" x14ac:dyDescent="0.15">
      <c r="A338" s="18">
        <v>337</v>
      </c>
      <c r="B338" s="18" t="s">
        <v>1134</v>
      </c>
      <c r="C338" s="18">
        <f t="shared" si="55"/>
        <v>200</v>
      </c>
      <c r="D338" s="19">
        <f t="shared" si="56"/>
        <v>3</v>
      </c>
      <c r="E338" s="19">
        <f>VLOOKUP(MOD(A338,4),各职业基础配置!C$32:D$35,2,FALSE)</f>
        <v>3</v>
      </c>
      <c r="F338" s="19">
        <f>IF(A338&lt;900,INDEX(各职业基础配置!C$23:C$28,MOD(ROW(A338),4)+1),0)</f>
        <v>14</v>
      </c>
      <c r="G338" s="19">
        <f t="shared" si="57"/>
        <v>65</v>
      </c>
      <c r="H338" s="27">
        <f t="shared" si="58"/>
        <v>2</v>
      </c>
      <c r="I338" s="6" t="s">
        <v>164</v>
      </c>
      <c r="J338" s="23" t="str">
        <f>VLOOKUP(E338,各职业基础配置!$B$9:$C$12,2,FALSE)</f>
        <v>106|107|108|4201|110</v>
      </c>
      <c r="K338" s="18" t="str">
        <f>VLOOKUP(E338,各职业基础配置!$B$15:$C$18,2,FALSE)</f>
        <v>20|21|22|23</v>
      </c>
      <c r="L338" s="18" t="str">
        <f>VLOOKUP(E338,各职业基础配置!B:C,2,FALSE)</f>
        <v>[{20,1,1},{21,1,1},{22,1,1},{23,1,1},{4,1,1},{5,1,1},{6,1,1}]</v>
      </c>
      <c r="M338" s="18">
        <v>0</v>
      </c>
      <c r="N338" s="18">
        <f t="shared" si="59"/>
        <v>7</v>
      </c>
      <c r="O338" s="18">
        <f>SUMPRODUCT(P338:AI338,Sheet2!$B$3:$U$3)</f>
        <v>278678</v>
      </c>
      <c r="P338" s="18">
        <f>CEILING(INDEX([1]系统模型!$VD:$VD,MATCH(C338,[1]系统模型!$A:$A,0))*POWER(C338/220,3.8)-50+(1000-A338),1)</f>
        <v>5785</v>
      </c>
      <c r="Q338" s="18">
        <f>CEILING(INDEX([1]系统模型!$VE:$VE,MATCH(C338,[1]系统模型!$A:$A,0))*POWER(C338/220,4),1)</f>
        <v>893</v>
      </c>
      <c r="R338" s="18">
        <f>INT(INDEX([1]系统模型!$VF:$VF,MATCH(C338,[1]系统模型!$A:$A,0))*MAX(POWER(C338/180,4),0.5))</f>
        <v>52303</v>
      </c>
      <c r="S338" s="5">
        <v>1000</v>
      </c>
      <c r="T338" s="25">
        <v>0</v>
      </c>
      <c r="U338" s="25">
        <v>0</v>
      </c>
      <c r="V338" s="25">
        <v>0</v>
      </c>
      <c r="W338" s="25">
        <v>0</v>
      </c>
      <c r="X338" s="25">
        <f t="shared" si="60"/>
        <v>2615</v>
      </c>
      <c r="Y338" s="12">
        <v>0</v>
      </c>
      <c r="Z338" s="25">
        <v>100</v>
      </c>
      <c r="AA338" s="25">
        <v>150</v>
      </c>
      <c r="AB338" s="25">
        <v>0</v>
      </c>
      <c r="AC338" s="25">
        <v>0</v>
      </c>
      <c r="AD338" s="25">
        <v>0</v>
      </c>
      <c r="AE338" s="25">
        <f t="shared" si="61"/>
        <v>400</v>
      </c>
      <c r="AF338" s="25">
        <f t="shared" si="62"/>
        <v>400</v>
      </c>
      <c r="AG338" s="25">
        <v>0</v>
      </c>
      <c r="AH338" s="25">
        <f t="shared" si="63"/>
        <v>6250</v>
      </c>
      <c r="AI338" s="25">
        <f t="shared" si="64"/>
        <v>77</v>
      </c>
      <c r="AJ338" s="25">
        <v>1</v>
      </c>
      <c r="AK338" s="25">
        <v>1000</v>
      </c>
      <c r="AL338" s="25">
        <v>100</v>
      </c>
      <c r="AM338" s="26">
        <v>10</v>
      </c>
      <c r="AN338" s="26">
        <v>10</v>
      </c>
      <c r="AO338" s="22" t="s">
        <v>2211</v>
      </c>
      <c r="AP338" s="26">
        <v>0</v>
      </c>
      <c r="AQ338" s="26">
        <f t="shared" si="65"/>
        <v>660</v>
      </c>
      <c r="AR338" s="18" t="str">
        <f ca="1">CONCATENATE(OFFSET(Sheet1!$A$2,RANDBETWEEN(2,500),0,1,1),OFFSET(Sheet1!$A$2,RANDBETWEEN(2,500),RANDBETWEEN(1,5),1,1))</f>
        <v>乔尔</v>
      </c>
      <c r="AS338">
        <f>SUMPRODUCT(P338:AI338,Sheet2!$B$3:$U$3)</f>
        <v>278678</v>
      </c>
    </row>
    <row r="339" spans="1:45" x14ac:dyDescent="0.15">
      <c r="A339" s="18">
        <v>338</v>
      </c>
      <c r="B339" s="18" t="s">
        <v>1377</v>
      </c>
      <c r="C339" s="18">
        <f t="shared" si="55"/>
        <v>199</v>
      </c>
      <c r="D339" s="19">
        <f t="shared" si="56"/>
        <v>2</v>
      </c>
      <c r="E339" s="19">
        <f>VLOOKUP(MOD(A339,4),各职业基础配置!C$32:D$35,2,FALSE)</f>
        <v>6</v>
      </c>
      <c r="F339" s="19">
        <f>IF(A339&lt;900,INDEX(各职业基础配置!C$23:C$28,MOD(ROW(A339),4)+1),0)</f>
        <v>16</v>
      </c>
      <c r="G339" s="19">
        <f t="shared" si="57"/>
        <v>63</v>
      </c>
      <c r="H339" s="27">
        <f t="shared" si="58"/>
        <v>2</v>
      </c>
      <c r="I339" s="6" t="s">
        <v>164</v>
      </c>
      <c r="J339" s="23" t="str">
        <f>VLOOKUP(E339,各职业基础配置!$B$9:$C$12,2,FALSE)</f>
        <v>111|112|113|4201|115</v>
      </c>
      <c r="K339" s="18" t="str">
        <f>VLOOKUP(E339,各职业基础配置!$B$15:$C$18,2,FALSE)</f>
        <v>32|33|34</v>
      </c>
      <c r="L339" s="18" t="str">
        <f>VLOOKUP(E339,各职业基础配置!B:C,2,FALSE)</f>
        <v>[{32,1,1},{33,1,1},{34,1,1},{35,1,1},{7,1,1},{8,1,1},{9,1,1}]</v>
      </c>
      <c r="M339" s="18">
        <v>0</v>
      </c>
      <c r="N339" s="18">
        <f t="shared" si="59"/>
        <v>7</v>
      </c>
      <c r="O339" s="18">
        <f>SUMPRODUCT(P339:AI339,Sheet2!$B$3:$U$3)</f>
        <v>265890</v>
      </c>
      <c r="P339" s="18">
        <f>CEILING(INDEX([1]系统模型!$VD:$VD,MATCH(C339,[1]系统模型!$A:$A,0))*POWER(C339/220,3.8)-50+(1000-A339),1)</f>
        <v>5577</v>
      </c>
      <c r="Q339" s="18">
        <f>CEILING(INDEX([1]系统模型!$VE:$VE,MATCH(C339,[1]系统模型!$A:$A,0))*POWER(C339/220,4),1)</f>
        <v>814</v>
      </c>
      <c r="R339" s="18">
        <f>INT(INDEX([1]系统模型!$VF:$VF,MATCH(C339,[1]系统模型!$A:$A,0))*MAX(POWER(C339/180,4),0.5))</f>
        <v>47240</v>
      </c>
      <c r="S339" s="5">
        <v>1000</v>
      </c>
      <c r="T339" s="25">
        <v>0</v>
      </c>
      <c r="U339" s="25">
        <v>0</v>
      </c>
      <c r="V339" s="25">
        <v>0</v>
      </c>
      <c r="W339" s="25">
        <v>0</v>
      </c>
      <c r="X339" s="25">
        <f t="shared" si="60"/>
        <v>2362</v>
      </c>
      <c r="Y339" s="12">
        <v>0</v>
      </c>
      <c r="Z339" s="25">
        <v>100</v>
      </c>
      <c r="AA339" s="25">
        <v>150</v>
      </c>
      <c r="AB339" s="25">
        <v>0</v>
      </c>
      <c r="AC339" s="25">
        <v>0</v>
      </c>
      <c r="AD339" s="25">
        <v>0</v>
      </c>
      <c r="AE339" s="25">
        <f t="shared" si="61"/>
        <v>398</v>
      </c>
      <c r="AF339" s="25">
        <f t="shared" si="62"/>
        <v>398</v>
      </c>
      <c r="AG339" s="25">
        <v>0</v>
      </c>
      <c r="AH339" s="25">
        <f t="shared" si="63"/>
        <v>6175</v>
      </c>
      <c r="AI339" s="25">
        <f t="shared" si="64"/>
        <v>74</v>
      </c>
      <c r="AJ339" s="25">
        <v>1</v>
      </c>
      <c r="AK339" s="25">
        <v>1000</v>
      </c>
      <c r="AL339" s="25">
        <v>100</v>
      </c>
      <c r="AM339" s="26">
        <v>10</v>
      </c>
      <c r="AN339" s="26">
        <v>10</v>
      </c>
      <c r="AO339" s="22" t="s">
        <v>2211</v>
      </c>
      <c r="AP339" s="26">
        <v>0</v>
      </c>
      <c r="AQ339" s="26">
        <f t="shared" si="65"/>
        <v>660</v>
      </c>
      <c r="AR339" s="18" t="str">
        <f ca="1">CONCATENATE(OFFSET(Sheet1!$A$2,RANDBETWEEN(2,500),0,1,1),OFFSET(Sheet1!$A$2,RANDBETWEEN(2,500),RANDBETWEEN(1,5),1,1))</f>
        <v>埃玛小可</v>
      </c>
      <c r="AS339">
        <f>SUMPRODUCT(P339:AI339,Sheet2!$B$3:$U$3)</f>
        <v>265890</v>
      </c>
    </row>
    <row r="340" spans="1:45" x14ac:dyDescent="0.15">
      <c r="A340" s="23">
        <v>339</v>
      </c>
      <c r="B340" s="18" t="s">
        <v>560</v>
      </c>
      <c r="C340" s="18">
        <f t="shared" si="55"/>
        <v>199</v>
      </c>
      <c r="D340" s="19">
        <f t="shared" si="56"/>
        <v>3</v>
      </c>
      <c r="E340" s="19">
        <f>VLOOKUP(MOD(A340,4),各职业基础配置!C$32:D$35,2,FALSE)</f>
        <v>9</v>
      </c>
      <c r="F340" s="19">
        <f>IF(A340&lt;900,INDEX(各职业基础配置!C$23:C$28,MOD(ROW(A340),4)+1),0)</f>
        <v>8</v>
      </c>
      <c r="G340" s="19">
        <f t="shared" si="57"/>
        <v>63</v>
      </c>
      <c r="H340" s="27">
        <f t="shared" si="58"/>
        <v>2</v>
      </c>
      <c r="I340" s="6" t="s">
        <v>164</v>
      </c>
      <c r="J340" s="23" t="str">
        <f>VLOOKUP(E340,各职业基础配置!$B$9:$C$12,2,FALSE)</f>
        <v>116|117|118|4201|120</v>
      </c>
      <c r="K340" s="18" t="str">
        <f>VLOOKUP(E340,各职业基础配置!$B$15:$C$18,2,FALSE)</f>
        <v>28|29|30|31</v>
      </c>
      <c r="L340" s="18" t="str">
        <f>VLOOKUP(E340,各职业基础配置!B:C,2,FALSE)</f>
        <v>[{28,1,1},{29,1,1},{30,1,1},{31,1,1},{10,1,1},{11,1,1},{12,1,1}]</v>
      </c>
      <c r="M340" s="18">
        <v>0</v>
      </c>
      <c r="N340" s="18">
        <f t="shared" si="59"/>
        <v>3</v>
      </c>
      <c r="O340" s="18">
        <f>SUMPRODUCT(P340:AI340,Sheet2!$B$3:$U$3)</f>
        <v>265865</v>
      </c>
      <c r="P340" s="18">
        <f>CEILING(INDEX([1]系统模型!$VD:$VD,MATCH(C340,[1]系统模型!$A:$A,0))*POWER(C340/220,3.8)-50+(1000-A340),1)</f>
        <v>5576</v>
      </c>
      <c r="Q340" s="18">
        <f>CEILING(INDEX([1]系统模型!$VE:$VE,MATCH(C340,[1]系统模型!$A:$A,0))*POWER(C340/220,4),1)</f>
        <v>814</v>
      </c>
      <c r="R340" s="18">
        <f>INT(INDEX([1]系统模型!$VF:$VF,MATCH(C340,[1]系统模型!$A:$A,0))*MAX(POWER(C340/180,4),0.5))</f>
        <v>47240</v>
      </c>
      <c r="S340" s="5">
        <v>1000</v>
      </c>
      <c r="T340" s="25">
        <v>0</v>
      </c>
      <c r="U340" s="25">
        <v>0</v>
      </c>
      <c r="V340" s="25">
        <v>0</v>
      </c>
      <c r="W340" s="25">
        <v>0</v>
      </c>
      <c r="X340" s="25">
        <f t="shared" si="60"/>
        <v>2362</v>
      </c>
      <c r="Y340" s="12">
        <v>0</v>
      </c>
      <c r="Z340" s="25">
        <v>100</v>
      </c>
      <c r="AA340" s="25">
        <v>150</v>
      </c>
      <c r="AB340" s="25">
        <v>0</v>
      </c>
      <c r="AC340" s="25">
        <v>0</v>
      </c>
      <c r="AD340" s="25">
        <v>0</v>
      </c>
      <c r="AE340" s="25">
        <f t="shared" si="61"/>
        <v>398</v>
      </c>
      <c r="AF340" s="25">
        <f t="shared" si="62"/>
        <v>398</v>
      </c>
      <c r="AG340" s="25">
        <v>0</v>
      </c>
      <c r="AH340" s="25">
        <f t="shared" si="63"/>
        <v>6175</v>
      </c>
      <c r="AI340" s="25">
        <f t="shared" si="64"/>
        <v>74</v>
      </c>
      <c r="AJ340" s="25">
        <v>1</v>
      </c>
      <c r="AK340" s="25">
        <v>1000</v>
      </c>
      <c r="AL340" s="25">
        <v>100</v>
      </c>
      <c r="AM340" s="26">
        <v>10</v>
      </c>
      <c r="AN340" s="26">
        <v>10</v>
      </c>
      <c r="AO340" s="22" t="s">
        <v>2211</v>
      </c>
      <c r="AP340" s="26">
        <v>0</v>
      </c>
      <c r="AQ340" s="26">
        <f t="shared" si="65"/>
        <v>660</v>
      </c>
      <c r="AR340" s="18" t="str">
        <f ca="1">CONCATENATE(OFFSET(Sheet1!$A$2,RANDBETWEEN(2,500),0,1,1),OFFSET(Sheet1!$A$2,RANDBETWEEN(2,500),RANDBETWEEN(1,5),1,1))</f>
        <v>高尔德寻梦</v>
      </c>
      <c r="AS340">
        <f>SUMPRODUCT(P340:AI340,Sheet2!$B$3:$U$3)</f>
        <v>265865</v>
      </c>
    </row>
    <row r="341" spans="1:45" x14ac:dyDescent="0.15">
      <c r="A341" s="18">
        <v>340</v>
      </c>
      <c r="B341" s="18" t="s">
        <v>429</v>
      </c>
      <c r="C341" s="18">
        <f t="shared" si="55"/>
        <v>199</v>
      </c>
      <c r="D341" s="19">
        <f t="shared" si="56"/>
        <v>2</v>
      </c>
      <c r="E341" s="19">
        <f>VLOOKUP(MOD(A341,4),各职业基础配置!C$32:D$35,2,FALSE)</f>
        <v>1</v>
      </c>
      <c r="F341" s="19">
        <f>IF(A341&lt;900,INDEX(各职业基础配置!C$23:C$28,MOD(ROW(A341),4)+1),0)</f>
        <v>13</v>
      </c>
      <c r="G341" s="19">
        <f t="shared" si="57"/>
        <v>63</v>
      </c>
      <c r="H341" s="27">
        <f t="shared" si="58"/>
        <v>2</v>
      </c>
      <c r="I341" s="6" t="s">
        <v>164</v>
      </c>
      <c r="J341" s="23" t="str">
        <f>VLOOKUP(E341,各职业基础配置!$B$9:$C$12,2,FALSE)</f>
        <v>101|102|103|4201|105</v>
      </c>
      <c r="K341" s="18" t="str">
        <f>VLOOKUP(E341,各职业基础配置!$B$15:$C$18,2,FALSE)</f>
        <v>24|25|26|27</v>
      </c>
      <c r="L341" s="18" t="str">
        <f>VLOOKUP(E341,各职业基础配置!B:C,2,FALSE)</f>
        <v>[{24,1,1},{25,1,1},{26,1,1},{27,1,1},{1,1,1},{2,1,1},{3,1,1}]</v>
      </c>
      <c r="M341" s="18">
        <v>0</v>
      </c>
      <c r="N341" s="18">
        <f t="shared" si="59"/>
        <v>3</v>
      </c>
      <c r="O341" s="18">
        <f>SUMPRODUCT(P341:AI341,Sheet2!$B$3:$U$3)</f>
        <v>265840</v>
      </c>
      <c r="P341" s="18">
        <f>CEILING(INDEX([1]系统模型!$VD:$VD,MATCH(C341,[1]系统模型!$A:$A,0))*POWER(C341/220,3.8)-50+(1000-A341),1)</f>
        <v>5575</v>
      </c>
      <c r="Q341" s="18">
        <f>CEILING(INDEX([1]系统模型!$VE:$VE,MATCH(C341,[1]系统模型!$A:$A,0))*POWER(C341/220,4),1)</f>
        <v>814</v>
      </c>
      <c r="R341" s="18">
        <f>INT(INDEX([1]系统模型!$VF:$VF,MATCH(C341,[1]系统模型!$A:$A,0))*MAX(POWER(C341/180,4),0.5))</f>
        <v>47240</v>
      </c>
      <c r="S341" s="5">
        <v>1000</v>
      </c>
      <c r="T341" s="25">
        <v>0</v>
      </c>
      <c r="U341" s="25">
        <v>0</v>
      </c>
      <c r="V341" s="25">
        <v>0</v>
      </c>
      <c r="W341" s="25">
        <v>0</v>
      </c>
      <c r="X341" s="25">
        <f t="shared" si="60"/>
        <v>2362</v>
      </c>
      <c r="Y341" s="12">
        <v>0</v>
      </c>
      <c r="Z341" s="25">
        <v>100</v>
      </c>
      <c r="AA341" s="25">
        <v>150</v>
      </c>
      <c r="AB341" s="25">
        <v>0</v>
      </c>
      <c r="AC341" s="25">
        <v>0</v>
      </c>
      <c r="AD341" s="25">
        <v>0</v>
      </c>
      <c r="AE341" s="25">
        <f t="shared" si="61"/>
        <v>398</v>
      </c>
      <c r="AF341" s="25">
        <f t="shared" si="62"/>
        <v>398</v>
      </c>
      <c r="AG341" s="25">
        <v>0</v>
      </c>
      <c r="AH341" s="25">
        <f t="shared" si="63"/>
        <v>6175</v>
      </c>
      <c r="AI341" s="25">
        <f t="shared" si="64"/>
        <v>74</v>
      </c>
      <c r="AJ341" s="25">
        <v>1</v>
      </c>
      <c r="AK341" s="25">
        <v>1000</v>
      </c>
      <c r="AL341" s="25">
        <v>100</v>
      </c>
      <c r="AM341" s="26">
        <v>10</v>
      </c>
      <c r="AN341" s="26">
        <v>10</v>
      </c>
      <c r="AO341" s="22" t="s">
        <v>2211</v>
      </c>
      <c r="AP341" s="26">
        <v>0</v>
      </c>
      <c r="AQ341" s="26">
        <f t="shared" si="65"/>
        <v>660</v>
      </c>
      <c r="AR341" s="18" t="str">
        <f ca="1">CONCATENATE(OFFSET(Sheet1!$A$2,RANDBETWEEN(2,500),0,1,1),OFFSET(Sheet1!$A$2,RANDBETWEEN(2,500),RANDBETWEEN(1,5),1,1))</f>
        <v>埃文思</v>
      </c>
      <c r="AS341">
        <f>SUMPRODUCT(P341:AI341,Sheet2!$B$3:$U$3)</f>
        <v>265840</v>
      </c>
    </row>
    <row r="342" spans="1:45" x14ac:dyDescent="0.15">
      <c r="A342" s="18">
        <v>341</v>
      </c>
      <c r="B342" s="18" t="s">
        <v>477</v>
      </c>
      <c r="C342" s="18">
        <f t="shared" si="55"/>
        <v>199</v>
      </c>
      <c r="D342" s="19">
        <f t="shared" si="56"/>
        <v>3</v>
      </c>
      <c r="E342" s="19">
        <f>VLOOKUP(MOD(A342,4),各职业基础配置!C$32:D$35,2,FALSE)</f>
        <v>3</v>
      </c>
      <c r="F342" s="19">
        <f>IF(A342&lt;900,INDEX(各职业基础配置!C$23:C$28,MOD(ROW(A342),4)+1),0)</f>
        <v>14</v>
      </c>
      <c r="G342" s="19">
        <f t="shared" si="57"/>
        <v>63</v>
      </c>
      <c r="H342" s="27">
        <f t="shared" si="58"/>
        <v>2</v>
      </c>
      <c r="I342" s="6" t="s">
        <v>164</v>
      </c>
      <c r="J342" s="23" t="str">
        <f>VLOOKUP(E342,各职业基础配置!$B$9:$C$12,2,FALSE)</f>
        <v>106|107|108|4201|110</v>
      </c>
      <c r="K342" s="18" t="str">
        <f>VLOOKUP(E342,各职业基础配置!$B$15:$C$18,2,FALSE)</f>
        <v>20|21|22|23</v>
      </c>
      <c r="L342" s="18" t="str">
        <f>VLOOKUP(E342,各职业基础配置!B:C,2,FALSE)</f>
        <v>[{20,1,1},{21,1,1},{22,1,1},{23,1,1},{4,1,1},{5,1,1},{6,1,1}]</v>
      </c>
      <c r="M342" s="18">
        <v>0</v>
      </c>
      <c r="N342" s="18">
        <f t="shared" si="59"/>
        <v>7</v>
      </c>
      <c r="O342" s="18">
        <f>SUMPRODUCT(P342:AI342,Sheet2!$B$3:$U$3)</f>
        <v>265815</v>
      </c>
      <c r="P342" s="18">
        <f>CEILING(INDEX([1]系统模型!$VD:$VD,MATCH(C342,[1]系统模型!$A:$A,0))*POWER(C342/220,3.8)-50+(1000-A342),1)</f>
        <v>5574</v>
      </c>
      <c r="Q342" s="18">
        <f>CEILING(INDEX([1]系统模型!$VE:$VE,MATCH(C342,[1]系统模型!$A:$A,0))*POWER(C342/220,4),1)</f>
        <v>814</v>
      </c>
      <c r="R342" s="18">
        <f>INT(INDEX([1]系统模型!$VF:$VF,MATCH(C342,[1]系统模型!$A:$A,0))*MAX(POWER(C342/180,4),0.5))</f>
        <v>47240</v>
      </c>
      <c r="S342" s="5">
        <v>1000</v>
      </c>
      <c r="T342" s="25">
        <v>0</v>
      </c>
      <c r="U342" s="25">
        <v>0</v>
      </c>
      <c r="V342" s="25">
        <v>0</v>
      </c>
      <c r="W342" s="25">
        <v>0</v>
      </c>
      <c r="X342" s="25">
        <f t="shared" si="60"/>
        <v>2362</v>
      </c>
      <c r="Y342" s="12">
        <v>0</v>
      </c>
      <c r="Z342" s="25">
        <v>100</v>
      </c>
      <c r="AA342" s="25">
        <v>150</v>
      </c>
      <c r="AB342" s="25">
        <v>0</v>
      </c>
      <c r="AC342" s="25">
        <v>0</v>
      </c>
      <c r="AD342" s="25">
        <v>0</v>
      </c>
      <c r="AE342" s="25">
        <f t="shared" si="61"/>
        <v>398</v>
      </c>
      <c r="AF342" s="25">
        <f t="shared" si="62"/>
        <v>398</v>
      </c>
      <c r="AG342" s="25">
        <v>0</v>
      </c>
      <c r="AH342" s="25">
        <f t="shared" si="63"/>
        <v>6175</v>
      </c>
      <c r="AI342" s="25">
        <f t="shared" si="64"/>
        <v>74</v>
      </c>
      <c r="AJ342" s="25">
        <v>1</v>
      </c>
      <c r="AK342" s="25">
        <v>1000</v>
      </c>
      <c r="AL342" s="25">
        <v>100</v>
      </c>
      <c r="AM342" s="26">
        <v>10</v>
      </c>
      <c r="AN342" s="26">
        <v>10</v>
      </c>
      <c r="AO342" s="22" t="s">
        <v>2211</v>
      </c>
      <c r="AP342" s="26">
        <v>0</v>
      </c>
      <c r="AQ342" s="26">
        <f t="shared" si="65"/>
        <v>660</v>
      </c>
      <c r="AR342" s="18" t="str">
        <f ca="1">CONCATENATE(OFFSET(Sheet1!$A$2,RANDBETWEEN(2,500),0,1,1),OFFSET(Sheet1!$A$2,RANDBETWEEN(2,500),RANDBETWEEN(1,5),1,1))</f>
        <v>埃拉玛德琳</v>
      </c>
      <c r="AS342">
        <f>SUMPRODUCT(P342:AI342,Sheet2!$B$3:$U$3)</f>
        <v>265815</v>
      </c>
    </row>
    <row r="343" spans="1:45" x14ac:dyDescent="0.15">
      <c r="A343" s="23">
        <v>342</v>
      </c>
      <c r="B343" s="18" t="s">
        <v>1967</v>
      </c>
      <c r="C343" s="18">
        <f t="shared" si="55"/>
        <v>199</v>
      </c>
      <c r="D343" s="19">
        <f t="shared" si="56"/>
        <v>2</v>
      </c>
      <c r="E343" s="19">
        <f>VLOOKUP(MOD(A343,4),各职业基础配置!C$32:D$35,2,FALSE)</f>
        <v>6</v>
      </c>
      <c r="F343" s="19">
        <f>IF(A343&lt;900,INDEX(各职业基础配置!C$23:C$28,MOD(ROW(A343),4)+1),0)</f>
        <v>16</v>
      </c>
      <c r="G343" s="19">
        <f t="shared" si="57"/>
        <v>63</v>
      </c>
      <c r="H343" s="27">
        <f t="shared" si="58"/>
        <v>2</v>
      </c>
      <c r="I343" s="6" t="s">
        <v>164</v>
      </c>
      <c r="J343" s="23" t="str">
        <f>VLOOKUP(E343,各职业基础配置!$B$9:$C$12,2,FALSE)</f>
        <v>111|112|113|4201|115</v>
      </c>
      <c r="K343" s="18" t="str">
        <f>VLOOKUP(E343,各职业基础配置!$B$15:$C$18,2,FALSE)</f>
        <v>32|33|34</v>
      </c>
      <c r="L343" s="18" t="str">
        <f>VLOOKUP(E343,各职业基础配置!B:C,2,FALSE)</f>
        <v>[{32,1,1},{33,1,1},{34,1,1},{35,1,1},{7,1,1},{8,1,1},{9,1,1}]</v>
      </c>
      <c r="M343" s="18">
        <v>0</v>
      </c>
      <c r="N343" s="18">
        <f t="shared" si="59"/>
        <v>7</v>
      </c>
      <c r="O343" s="18">
        <f>SUMPRODUCT(P343:AI343,Sheet2!$B$3:$U$3)</f>
        <v>265790</v>
      </c>
      <c r="P343" s="18">
        <f>CEILING(INDEX([1]系统模型!$VD:$VD,MATCH(C343,[1]系统模型!$A:$A,0))*POWER(C343/220,3.8)-50+(1000-A343),1)</f>
        <v>5573</v>
      </c>
      <c r="Q343" s="18">
        <f>CEILING(INDEX([1]系统模型!$VE:$VE,MATCH(C343,[1]系统模型!$A:$A,0))*POWER(C343/220,4),1)</f>
        <v>814</v>
      </c>
      <c r="R343" s="18">
        <f>INT(INDEX([1]系统模型!$VF:$VF,MATCH(C343,[1]系统模型!$A:$A,0))*MAX(POWER(C343/180,4),0.5))</f>
        <v>47240</v>
      </c>
      <c r="S343" s="5">
        <v>1000</v>
      </c>
      <c r="T343" s="25">
        <v>0</v>
      </c>
      <c r="U343" s="25">
        <v>0</v>
      </c>
      <c r="V343" s="25">
        <v>0</v>
      </c>
      <c r="W343" s="25">
        <v>0</v>
      </c>
      <c r="X343" s="25">
        <f t="shared" si="60"/>
        <v>2362</v>
      </c>
      <c r="Y343" s="12">
        <v>0</v>
      </c>
      <c r="Z343" s="25">
        <v>100</v>
      </c>
      <c r="AA343" s="25">
        <v>150</v>
      </c>
      <c r="AB343" s="25">
        <v>0</v>
      </c>
      <c r="AC343" s="25">
        <v>0</v>
      </c>
      <c r="AD343" s="25">
        <v>0</v>
      </c>
      <c r="AE343" s="25">
        <f t="shared" si="61"/>
        <v>398</v>
      </c>
      <c r="AF343" s="25">
        <f t="shared" si="62"/>
        <v>398</v>
      </c>
      <c r="AG343" s="25">
        <v>0</v>
      </c>
      <c r="AH343" s="25">
        <f t="shared" si="63"/>
        <v>6175</v>
      </c>
      <c r="AI343" s="25">
        <f t="shared" si="64"/>
        <v>74</v>
      </c>
      <c r="AJ343" s="25">
        <v>1</v>
      </c>
      <c r="AK343" s="25">
        <v>1000</v>
      </c>
      <c r="AL343" s="25">
        <v>100</v>
      </c>
      <c r="AM343" s="26">
        <v>10</v>
      </c>
      <c r="AN343" s="26">
        <v>10</v>
      </c>
      <c r="AO343" s="22" t="s">
        <v>2211</v>
      </c>
      <c r="AP343" s="26">
        <v>0</v>
      </c>
      <c r="AQ343" s="26">
        <f t="shared" si="65"/>
        <v>660</v>
      </c>
      <c r="AR343" s="18" t="str">
        <f ca="1">CONCATENATE(OFFSET(Sheet1!$A$2,RANDBETWEEN(2,500),0,1,1),OFFSET(Sheet1!$A$2,RANDBETWEEN(2,500),RANDBETWEEN(1,5),1,1))</f>
        <v>贝尔</v>
      </c>
      <c r="AS343">
        <f>SUMPRODUCT(P343:AI343,Sheet2!$B$3:$U$3)</f>
        <v>265790</v>
      </c>
    </row>
    <row r="344" spans="1:45" x14ac:dyDescent="0.15">
      <c r="A344" s="18">
        <v>343</v>
      </c>
      <c r="B344" s="18" t="s">
        <v>1968</v>
      </c>
      <c r="C344" s="18">
        <f t="shared" si="55"/>
        <v>199</v>
      </c>
      <c r="D344" s="19">
        <f t="shared" si="56"/>
        <v>3</v>
      </c>
      <c r="E344" s="19">
        <f>VLOOKUP(MOD(A344,4),各职业基础配置!C$32:D$35,2,FALSE)</f>
        <v>9</v>
      </c>
      <c r="F344" s="19">
        <f>IF(A344&lt;900,INDEX(各职业基础配置!C$23:C$28,MOD(ROW(A344),4)+1),0)</f>
        <v>8</v>
      </c>
      <c r="G344" s="19">
        <f t="shared" si="57"/>
        <v>63</v>
      </c>
      <c r="H344" s="27">
        <f t="shared" si="58"/>
        <v>2</v>
      </c>
      <c r="I344" s="6" t="s">
        <v>164</v>
      </c>
      <c r="J344" s="23" t="str">
        <f>VLOOKUP(E344,各职业基础配置!$B$9:$C$12,2,FALSE)</f>
        <v>116|117|118|4201|120</v>
      </c>
      <c r="K344" s="18" t="str">
        <f>VLOOKUP(E344,各职业基础配置!$B$15:$C$18,2,FALSE)</f>
        <v>28|29|30|31</v>
      </c>
      <c r="L344" s="18" t="str">
        <f>VLOOKUP(E344,各职业基础配置!B:C,2,FALSE)</f>
        <v>[{28,1,1},{29,1,1},{30,1,1},{31,1,1},{10,1,1},{11,1,1},{12,1,1}]</v>
      </c>
      <c r="M344" s="18">
        <v>0</v>
      </c>
      <c r="N344" s="18">
        <f t="shared" si="59"/>
        <v>3</v>
      </c>
      <c r="O344" s="18">
        <f>SUMPRODUCT(P344:AI344,Sheet2!$B$3:$U$3)</f>
        <v>265765</v>
      </c>
      <c r="P344" s="18">
        <f>CEILING(INDEX([1]系统模型!$VD:$VD,MATCH(C344,[1]系统模型!$A:$A,0))*POWER(C344/220,3.8)-50+(1000-A344),1)</f>
        <v>5572</v>
      </c>
      <c r="Q344" s="18">
        <f>CEILING(INDEX([1]系统模型!$VE:$VE,MATCH(C344,[1]系统模型!$A:$A,0))*POWER(C344/220,4),1)</f>
        <v>814</v>
      </c>
      <c r="R344" s="18">
        <f>INT(INDEX([1]系统模型!$VF:$VF,MATCH(C344,[1]系统模型!$A:$A,0))*MAX(POWER(C344/180,4),0.5))</f>
        <v>47240</v>
      </c>
      <c r="S344" s="5">
        <v>1000</v>
      </c>
      <c r="T344" s="25">
        <v>0</v>
      </c>
      <c r="U344" s="25">
        <v>0</v>
      </c>
      <c r="V344" s="25">
        <v>0</v>
      </c>
      <c r="W344" s="25">
        <v>0</v>
      </c>
      <c r="X344" s="25">
        <f t="shared" si="60"/>
        <v>2362</v>
      </c>
      <c r="Y344" s="12">
        <v>0</v>
      </c>
      <c r="Z344" s="25">
        <v>100</v>
      </c>
      <c r="AA344" s="25">
        <v>150</v>
      </c>
      <c r="AB344" s="25">
        <v>0</v>
      </c>
      <c r="AC344" s="25">
        <v>0</v>
      </c>
      <c r="AD344" s="25">
        <v>0</v>
      </c>
      <c r="AE344" s="25">
        <f t="shared" si="61"/>
        <v>398</v>
      </c>
      <c r="AF344" s="25">
        <f t="shared" si="62"/>
        <v>398</v>
      </c>
      <c r="AG344" s="25">
        <v>0</v>
      </c>
      <c r="AH344" s="25">
        <f t="shared" si="63"/>
        <v>6175</v>
      </c>
      <c r="AI344" s="25">
        <f t="shared" si="64"/>
        <v>74</v>
      </c>
      <c r="AJ344" s="25">
        <v>1</v>
      </c>
      <c r="AK344" s="25">
        <v>1000</v>
      </c>
      <c r="AL344" s="25">
        <v>100</v>
      </c>
      <c r="AM344" s="26">
        <v>10</v>
      </c>
      <c r="AN344" s="26">
        <v>10</v>
      </c>
      <c r="AO344" s="22" t="s">
        <v>2211</v>
      </c>
      <c r="AP344" s="26">
        <v>0</v>
      </c>
      <c r="AQ344" s="26">
        <f t="shared" si="65"/>
        <v>660</v>
      </c>
      <c r="AR344" s="18" t="str">
        <f ca="1">CONCATENATE(OFFSET(Sheet1!$A$2,RANDBETWEEN(2,500),0,1,1),OFFSET(Sheet1!$A$2,RANDBETWEEN(2,500),RANDBETWEEN(1,5),1,1))</f>
        <v>赫德森</v>
      </c>
      <c r="AS344">
        <f>SUMPRODUCT(P344:AI344,Sheet2!$B$3:$U$3)</f>
        <v>265765</v>
      </c>
    </row>
    <row r="345" spans="1:45" x14ac:dyDescent="0.15">
      <c r="A345" s="18">
        <v>344</v>
      </c>
      <c r="B345" s="18" t="s">
        <v>1165</v>
      </c>
      <c r="C345" s="18">
        <f t="shared" si="55"/>
        <v>199</v>
      </c>
      <c r="D345" s="19">
        <f t="shared" si="56"/>
        <v>2</v>
      </c>
      <c r="E345" s="19">
        <f>VLOOKUP(MOD(A345,4),各职业基础配置!C$32:D$35,2,FALSE)</f>
        <v>1</v>
      </c>
      <c r="F345" s="19">
        <f>IF(A345&lt;900,INDEX(各职业基础配置!C$23:C$28,MOD(ROW(A345),4)+1),0)</f>
        <v>13</v>
      </c>
      <c r="G345" s="19">
        <f t="shared" si="57"/>
        <v>63</v>
      </c>
      <c r="H345" s="27">
        <f t="shared" si="58"/>
        <v>2</v>
      </c>
      <c r="I345" s="6" t="s">
        <v>164</v>
      </c>
      <c r="J345" s="23" t="str">
        <f>VLOOKUP(E345,各职业基础配置!$B$9:$C$12,2,FALSE)</f>
        <v>101|102|103|4201|105</v>
      </c>
      <c r="K345" s="18" t="str">
        <f>VLOOKUP(E345,各职业基础配置!$B$15:$C$18,2,FALSE)</f>
        <v>24|25|26|27</v>
      </c>
      <c r="L345" s="18" t="str">
        <f>VLOOKUP(E345,各职业基础配置!B:C,2,FALSE)</f>
        <v>[{24,1,1},{25,1,1},{26,1,1},{27,1,1},{1,1,1},{2,1,1},{3,1,1}]</v>
      </c>
      <c r="M345" s="18">
        <v>0</v>
      </c>
      <c r="N345" s="18">
        <f t="shared" si="59"/>
        <v>3</v>
      </c>
      <c r="O345" s="18">
        <f>SUMPRODUCT(P345:AI345,Sheet2!$B$3:$U$3)</f>
        <v>265740</v>
      </c>
      <c r="P345" s="18">
        <f>CEILING(INDEX([1]系统模型!$VD:$VD,MATCH(C345,[1]系统模型!$A:$A,0))*POWER(C345/220,3.8)-50+(1000-A345),1)</f>
        <v>5571</v>
      </c>
      <c r="Q345" s="18">
        <f>CEILING(INDEX([1]系统模型!$VE:$VE,MATCH(C345,[1]系统模型!$A:$A,0))*POWER(C345/220,4),1)</f>
        <v>814</v>
      </c>
      <c r="R345" s="18">
        <f>INT(INDEX([1]系统模型!$VF:$VF,MATCH(C345,[1]系统模型!$A:$A,0))*MAX(POWER(C345/180,4),0.5))</f>
        <v>47240</v>
      </c>
      <c r="S345" s="5">
        <v>1000</v>
      </c>
      <c r="T345" s="25">
        <v>0</v>
      </c>
      <c r="U345" s="25">
        <v>0</v>
      </c>
      <c r="V345" s="25">
        <v>0</v>
      </c>
      <c r="W345" s="25">
        <v>0</v>
      </c>
      <c r="X345" s="25">
        <f t="shared" si="60"/>
        <v>2362</v>
      </c>
      <c r="Y345" s="12">
        <v>0</v>
      </c>
      <c r="Z345" s="25">
        <v>100</v>
      </c>
      <c r="AA345" s="25">
        <v>150</v>
      </c>
      <c r="AB345" s="25">
        <v>0</v>
      </c>
      <c r="AC345" s="25">
        <v>0</v>
      </c>
      <c r="AD345" s="25">
        <v>0</v>
      </c>
      <c r="AE345" s="25">
        <f t="shared" si="61"/>
        <v>398</v>
      </c>
      <c r="AF345" s="25">
        <f t="shared" si="62"/>
        <v>398</v>
      </c>
      <c r="AG345" s="25">
        <v>0</v>
      </c>
      <c r="AH345" s="25">
        <f t="shared" si="63"/>
        <v>6175</v>
      </c>
      <c r="AI345" s="25">
        <f t="shared" si="64"/>
        <v>74</v>
      </c>
      <c r="AJ345" s="25">
        <v>1</v>
      </c>
      <c r="AK345" s="25">
        <v>1000</v>
      </c>
      <c r="AL345" s="25">
        <v>100</v>
      </c>
      <c r="AM345" s="26">
        <v>10</v>
      </c>
      <c r="AN345" s="26">
        <v>10</v>
      </c>
      <c r="AO345" s="22" t="s">
        <v>2211</v>
      </c>
      <c r="AP345" s="26">
        <v>0</v>
      </c>
      <c r="AQ345" s="26">
        <f t="shared" si="65"/>
        <v>650</v>
      </c>
      <c r="AR345" s="18" t="str">
        <f ca="1">CONCATENATE(OFFSET(Sheet1!$A$2,RANDBETWEEN(2,500),0,1,1),OFFSET(Sheet1!$A$2,RANDBETWEEN(2,500),RANDBETWEEN(1,5),1,1))</f>
        <v>布朗瑞伊</v>
      </c>
      <c r="AS345">
        <f>SUMPRODUCT(P345:AI345,Sheet2!$B$3:$U$3)</f>
        <v>265740</v>
      </c>
    </row>
    <row r="346" spans="1:45" x14ac:dyDescent="0.15">
      <c r="A346" s="23">
        <v>345</v>
      </c>
      <c r="B346" s="18" t="s">
        <v>1294</v>
      </c>
      <c r="C346" s="18">
        <f t="shared" si="55"/>
        <v>198</v>
      </c>
      <c r="D346" s="19">
        <f t="shared" si="56"/>
        <v>3</v>
      </c>
      <c r="E346" s="19">
        <f>VLOOKUP(MOD(A346,4),各职业基础配置!C$32:D$35,2,FALSE)</f>
        <v>3</v>
      </c>
      <c r="F346" s="19">
        <f>IF(A346&lt;900,INDEX(各职业基础配置!C$23:C$28,MOD(ROW(A346),4)+1),0)</f>
        <v>14</v>
      </c>
      <c r="G346" s="19">
        <f t="shared" si="57"/>
        <v>61</v>
      </c>
      <c r="H346" s="27">
        <f t="shared" si="58"/>
        <v>2</v>
      </c>
      <c r="I346" s="6" t="s">
        <v>164</v>
      </c>
      <c r="J346" s="23" t="str">
        <f>VLOOKUP(E346,各职业基础配置!$B$9:$C$12,2,FALSE)</f>
        <v>106|107|108|4201|110</v>
      </c>
      <c r="K346" s="18" t="str">
        <f>VLOOKUP(E346,各职业基础配置!$B$15:$C$18,2,FALSE)</f>
        <v>20|21|22|23</v>
      </c>
      <c r="L346" s="18" t="str">
        <f>VLOOKUP(E346,各职业基础配置!B:C,2,FALSE)</f>
        <v>[{20,1,1},{21,1,1},{22,1,1},{23,1,1},{4,1,1},{5,1,1},{6,1,1}]</v>
      </c>
      <c r="M346" s="18">
        <v>0</v>
      </c>
      <c r="N346" s="18">
        <f t="shared" si="59"/>
        <v>7</v>
      </c>
      <c r="O346" s="18">
        <f>SUMPRODUCT(P346:AI346,Sheet2!$B$3:$U$3)</f>
        <v>259718</v>
      </c>
      <c r="P346" s="18">
        <f>CEILING(INDEX([1]系统模型!$VD:$VD,MATCH(C346,[1]系统模型!$A:$A,0))*POWER(C346/220,3.8)-50+(1000-A346),1)</f>
        <v>5427</v>
      </c>
      <c r="Q346" s="18">
        <f>CEILING(INDEX([1]系统模型!$VE:$VE,MATCH(C346,[1]系统模型!$A:$A,0))*POWER(C346/220,4),1)</f>
        <v>791</v>
      </c>
      <c r="R346" s="18">
        <f>INT(INDEX([1]系统模型!$VF:$VF,MATCH(C346,[1]系统模型!$A:$A,0))*MAX(POWER(C346/180,4),0.5))</f>
        <v>45918</v>
      </c>
      <c r="S346" s="5">
        <v>1000</v>
      </c>
      <c r="T346" s="25">
        <v>0</v>
      </c>
      <c r="U346" s="25">
        <v>0</v>
      </c>
      <c r="V346" s="25">
        <v>0</v>
      </c>
      <c r="W346" s="25">
        <v>0</v>
      </c>
      <c r="X346" s="25">
        <f t="shared" si="60"/>
        <v>2295</v>
      </c>
      <c r="Y346" s="12">
        <v>0</v>
      </c>
      <c r="Z346" s="25">
        <v>100</v>
      </c>
      <c r="AA346" s="25">
        <v>150</v>
      </c>
      <c r="AB346" s="25">
        <v>0</v>
      </c>
      <c r="AC346" s="25">
        <v>0</v>
      </c>
      <c r="AD346" s="25">
        <v>0</v>
      </c>
      <c r="AE346" s="25">
        <f t="shared" si="61"/>
        <v>396</v>
      </c>
      <c r="AF346" s="25">
        <f t="shared" si="62"/>
        <v>396</v>
      </c>
      <c r="AG346" s="25">
        <v>0</v>
      </c>
      <c r="AH346" s="25">
        <f t="shared" si="63"/>
        <v>6100</v>
      </c>
      <c r="AI346" s="25">
        <f t="shared" si="64"/>
        <v>72</v>
      </c>
      <c r="AJ346" s="25">
        <v>1</v>
      </c>
      <c r="AK346" s="25">
        <v>1000</v>
      </c>
      <c r="AL346" s="25">
        <v>100</v>
      </c>
      <c r="AM346" s="26">
        <v>10</v>
      </c>
      <c r="AN346" s="26">
        <v>10</v>
      </c>
      <c r="AO346" s="22" t="s">
        <v>2211</v>
      </c>
      <c r="AP346" s="26">
        <v>0</v>
      </c>
      <c r="AQ346" s="26">
        <f t="shared" si="65"/>
        <v>650</v>
      </c>
      <c r="AR346" s="18" t="str">
        <f ca="1">CONCATENATE(OFFSET(Sheet1!$A$2,RANDBETWEEN(2,500),0,1,1),OFFSET(Sheet1!$A$2,RANDBETWEEN(2,500),RANDBETWEEN(1,5),1,1))</f>
        <v>戈尔德</v>
      </c>
      <c r="AS346">
        <f>SUMPRODUCT(P346:AI346,Sheet2!$B$3:$U$3)</f>
        <v>259718</v>
      </c>
    </row>
    <row r="347" spans="1:45" x14ac:dyDescent="0.15">
      <c r="A347" s="18">
        <v>346</v>
      </c>
      <c r="B347" s="18" t="s">
        <v>1080</v>
      </c>
      <c r="C347" s="18">
        <f t="shared" si="55"/>
        <v>198</v>
      </c>
      <c r="D347" s="19">
        <f t="shared" si="56"/>
        <v>2</v>
      </c>
      <c r="E347" s="19">
        <f>VLOOKUP(MOD(A347,4),各职业基础配置!C$32:D$35,2,FALSE)</f>
        <v>6</v>
      </c>
      <c r="F347" s="19">
        <f>IF(A347&lt;900,INDEX(各职业基础配置!C$23:C$28,MOD(ROW(A347),4)+1),0)</f>
        <v>16</v>
      </c>
      <c r="G347" s="19">
        <f t="shared" si="57"/>
        <v>61</v>
      </c>
      <c r="H347" s="27">
        <f t="shared" si="58"/>
        <v>2</v>
      </c>
      <c r="I347" s="6" t="s">
        <v>164</v>
      </c>
      <c r="J347" s="23" t="str">
        <f>VLOOKUP(E347,各职业基础配置!$B$9:$C$12,2,FALSE)</f>
        <v>111|112|113|4201|115</v>
      </c>
      <c r="K347" s="18" t="str">
        <f>VLOOKUP(E347,各职业基础配置!$B$15:$C$18,2,FALSE)</f>
        <v>32|33|34</v>
      </c>
      <c r="L347" s="18" t="str">
        <f>VLOOKUP(E347,各职业基础配置!B:C,2,FALSE)</f>
        <v>[{32,1,1},{33,1,1},{34,1,1},{35,1,1},{7,1,1},{8,1,1},{9,1,1}]</v>
      </c>
      <c r="M347" s="18">
        <v>0</v>
      </c>
      <c r="N347" s="18">
        <f t="shared" si="59"/>
        <v>7</v>
      </c>
      <c r="O347" s="18">
        <f>SUMPRODUCT(P347:AI347,Sheet2!$B$3:$U$3)</f>
        <v>259693</v>
      </c>
      <c r="P347" s="18">
        <f>CEILING(INDEX([1]系统模型!$VD:$VD,MATCH(C347,[1]系统模型!$A:$A,0))*POWER(C347/220,3.8)-50+(1000-A347),1)</f>
        <v>5426</v>
      </c>
      <c r="Q347" s="18">
        <f>CEILING(INDEX([1]系统模型!$VE:$VE,MATCH(C347,[1]系统模型!$A:$A,0))*POWER(C347/220,4),1)</f>
        <v>791</v>
      </c>
      <c r="R347" s="18">
        <f>INT(INDEX([1]系统模型!$VF:$VF,MATCH(C347,[1]系统模型!$A:$A,0))*MAX(POWER(C347/180,4),0.5))</f>
        <v>45918</v>
      </c>
      <c r="S347" s="5">
        <v>1000</v>
      </c>
      <c r="T347" s="25">
        <v>0</v>
      </c>
      <c r="U347" s="25">
        <v>0</v>
      </c>
      <c r="V347" s="25">
        <v>0</v>
      </c>
      <c r="W347" s="25">
        <v>0</v>
      </c>
      <c r="X347" s="25">
        <f t="shared" si="60"/>
        <v>2295</v>
      </c>
      <c r="Y347" s="12">
        <v>0</v>
      </c>
      <c r="Z347" s="25">
        <v>100</v>
      </c>
      <c r="AA347" s="25">
        <v>150</v>
      </c>
      <c r="AB347" s="25">
        <v>0</v>
      </c>
      <c r="AC347" s="25">
        <v>0</v>
      </c>
      <c r="AD347" s="25">
        <v>0</v>
      </c>
      <c r="AE347" s="25">
        <f t="shared" si="61"/>
        <v>396</v>
      </c>
      <c r="AF347" s="25">
        <f t="shared" si="62"/>
        <v>396</v>
      </c>
      <c r="AG347" s="25">
        <v>0</v>
      </c>
      <c r="AH347" s="25">
        <f t="shared" si="63"/>
        <v>6100</v>
      </c>
      <c r="AI347" s="25">
        <f t="shared" si="64"/>
        <v>72</v>
      </c>
      <c r="AJ347" s="25">
        <v>1</v>
      </c>
      <c r="AK347" s="25">
        <v>1000</v>
      </c>
      <c r="AL347" s="25">
        <v>100</v>
      </c>
      <c r="AM347" s="26">
        <v>10</v>
      </c>
      <c r="AN347" s="26">
        <v>10</v>
      </c>
      <c r="AO347" s="22" t="s">
        <v>2211</v>
      </c>
      <c r="AP347" s="26">
        <v>0</v>
      </c>
      <c r="AQ347" s="26">
        <f t="shared" si="65"/>
        <v>650</v>
      </c>
      <c r="AR347" s="18" t="str">
        <f ca="1">CONCATENATE(OFFSET(Sheet1!$A$2,RANDBETWEEN(2,500),0,1,1),OFFSET(Sheet1!$A$2,RANDBETWEEN(2,500),RANDBETWEEN(1,5),1,1))</f>
        <v>艾登</v>
      </c>
      <c r="AS347">
        <f>SUMPRODUCT(P347:AI347,Sheet2!$B$3:$U$3)</f>
        <v>259693</v>
      </c>
    </row>
    <row r="348" spans="1:45" x14ac:dyDescent="0.15">
      <c r="A348" s="18">
        <v>347</v>
      </c>
      <c r="B348" s="18" t="s">
        <v>1359</v>
      </c>
      <c r="C348" s="18">
        <f t="shared" si="55"/>
        <v>198</v>
      </c>
      <c r="D348" s="19">
        <f t="shared" si="56"/>
        <v>3</v>
      </c>
      <c r="E348" s="19">
        <f>VLOOKUP(MOD(A348,4),各职业基础配置!C$32:D$35,2,FALSE)</f>
        <v>9</v>
      </c>
      <c r="F348" s="19">
        <f>IF(A348&lt;900,INDEX(各职业基础配置!C$23:C$28,MOD(ROW(A348),4)+1),0)</f>
        <v>8</v>
      </c>
      <c r="G348" s="19">
        <f t="shared" si="57"/>
        <v>61</v>
      </c>
      <c r="H348" s="27">
        <f t="shared" si="58"/>
        <v>2</v>
      </c>
      <c r="I348" s="6" t="s">
        <v>164</v>
      </c>
      <c r="J348" s="23" t="str">
        <f>VLOOKUP(E348,各职业基础配置!$B$9:$C$12,2,FALSE)</f>
        <v>116|117|118|4201|120</v>
      </c>
      <c r="K348" s="18" t="str">
        <f>VLOOKUP(E348,各职业基础配置!$B$15:$C$18,2,FALSE)</f>
        <v>28|29|30|31</v>
      </c>
      <c r="L348" s="18" t="str">
        <f>VLOOKUP(E348,各职业基础配置!B:C,2,FALSE)</f>
        <v>[{28,1,1},{29,1,1},{30,1,1},{31,1,1},{10,1,1},{11,1,1},{12,1,1}]</v>
      </c>
      <c r="M348" s="18">
        <v>0</v>
      </c>
      <c r="N348" s="18">
        <f t="shared" si="59"/>
        <v>3</v>
      </c>
      <c r="O348" s="18">
        <f>SUMPRODUCT(P348:AI348,Sheet2!$B$3:$U$3)</f>
        <v>259668</v>
      </c>
      <c r="P348" s="18">
        <f>CEILING(INDEX([1]系统模型!$VD:$VD,MATCH(C348,[1]系统模型!$A:$A,0))*POWER(C348/220,3.8)-50+(1000-A348),1)</f>
        <v>5425</v>
      </c>
      <c r="Q348" s="18">
        <f>CEILING(INDEX([1]系统模型!$VE:$VE,MATCH(C348,[1]系统模型!$A:$A,0))*POWER(C348/220,4),1)</f>
        <v>791</v>
      </c>
      <c r="R348" s="18">
        <f>INT(INDEX([1]系统模型!$VF:$VF,MATCH(C348,[1]系统模型!$A:$A,0))*MAX(POWER(C348/180,4),0.5))</f>
        <v>45918</v>
      </c>
      <c r="S348" s="5">
        <v>1000</v>
      </c>
      <c r="T348" s="25">
        <v>0</v>
      </c>
      <c r="U348" s="25">
        <v>0</v>
      </c>
      <c r="V348" s="25">
        <v>0</v>
      </c>
      <c r="W348" s="25">
        <v>0</v>
      </c>
      <c r="X348" s="25">
        <f t="shared" si="60"/>
        <v>2295</v>
      </c>
      <c r="Y348" s="12">
        <v>0</v>
      </c>
      <c r="Z348" s="25">
        <v>100</v>
      </c>
      <c r="AA348" s="25">
        <v>150</v>
      </c>
      <c r="AB348" s="25">
        <v>0</v>
      </c>
      <c r="AC348" s="25">
        <v>0</v>
      </c>
      <c r="AD348" s="25">
        <v>0</v>
      </c>
      <c r="AE348" s="25">
        <f t="shared" si="61"/>
        <v>396</v>
      </c>
      <c r="AF348" s="25">
        <f t="shared" si="62"/>
        <v>396</v>
      </c>
      <c r="AG348" s="25">
        <v>0</v>
      </c>
      <c r="AH348" s="25">
        <f t="shared" si="63"/>
        <v>6100</v>
      </c>
      <c r="AI348" s="25">
        <f t="shared" si="64"/>
        <v>72</v>
      </c>
      <c r="AJ348" s="25">
        <v>1</v>
      </c>
      <c r="AK348" s="25">
        <v>1000</v>
      </c>
      <c r="AL348" s="25">
        <v>100</v>
      </c>
      <c r="AM348" s="26">
        <v>10</v>
      </c>
      <c r="AN348" s="26">
        <v>10</v>
      </c>
      <c r="AO348" s="22" t="s">
        <v>2211</v>
      </c>
      <c r="AP348" s="26">
        <v>0</v>
      </c>
      <c r="AQ348" s="26">
        <f t="shared" si="65"/>
        <v>650</v>
      </c>
      <c r="AR348" s="18" t="str">
        <f ca="1">CONCATENATE(OFFSET(Sheet1!$A$2,RANDBETWEEN(2,500),0,1,1),OFFSET(Sheet1!$A$2,RANDBETWEEN(2,500),RANDBETWEEN(1,5),1,1))</f>
        <v>赫克利斯</v>
      </c>
      <c r="AS348">
        <f>SUMPRODUCT(P348:AI348,Sheet2!$B$3:$U$3)</f>
        <v>259668</v>
      </c>
    </row>
    <row r="349" spans="1:45" x14ac:dyDescent="0.15">
      <c r="A349" s="23">
        <v>348</v>
      </c>
      <c r="B349" s="18" t="s">
        <v>998</v>
      </c>
      <c r="C349" s="18">
        <f t="shared" si="55"/>
        <v>198</v>
      </c>
      <c r="D349" s="19">
        <f t="shared" si="56"/>
        <v>2</v>
      </c>
      <c r="E349" s="19">
        <f>VLOOKUP(MOD(A349,4),各职业基础配置!C$32:D$35,2,FALSE)</f>
        <v>1</v>
      </c>
      <c r="F349" s="19">
        <f>IF(A349&lt;900,INDEX(各职业基础配置!C$23:C$28,MOD(ROW(A349),4)+1),0)</f>
        <v>13</v>
      </c>
      <c r="G349" s="19">
        <f t="shared" si="57"/>
        <v>61</v>
      </c>
      <c r="H349" s="27">
        <f t="shared" si="58"/>
        <v>2</v>
      </c>
      <c r="I349" s="6" t="s">
        <v>164</v>
      </c>
      <c r="J349" s="23" t="str">
        <f>VLOOKUP(E349,各职业基础配置!$B$9:$C$12,2,FALSE)</f>
        <v>101|102|103|4201|105</v>
      </c>
      <c r="K349" s="18" t="str">
        <f>VLOOKUP(E349,各职业基础配置!$B$15:$C$18,2,FALSE)</f>
        <v>24|25|26|27</v>
      </c>
      <c r="L349" s="18" t="str">
        <f>VLOOKUP(E349,各职业基础配置!B:C,2,FALSE)</f>
        <v>[{24,1,1},{25,1,1},{26,1,1},{27,1,1},{1,1,1},{2,1,1},{3,1,1}]</v>
      </c>
      <c r="M349" s="18">
        <v>0</v>
      </c>
      <c r="N349" s="18">
        <f t="shared" si="59"/>
        <v>3</v>
      </c>
      <c r="O349" s="18">
        <f>SUMPRODUCT(P349:AI349,Sheet2!$B$3:$U$3)</f>
        <v>259643</v>
      </c>
      <c r="P349" s="18">
        <f>CEILING(INDEX([1]系统模型!$VD:$VD,MATCH(C349,[1]系统模型!$A:$A,0))*POWER(C349/220,3.8)-50+(1000-A349),1)</f>
        <v>5424</v>
      </c>
      <c r="Q349" s="18">
        <f>CEILING(INDEX([1]系统模型!$VE:$VE,MATCH(C349,[1]系统模型!$A:$A,0))*POWER(C349/220,4),1)</f>
        <v>791</v>
      </c>
      <c r="R349" s="18">
        <f>INT(INDEX([1]系统模型!$VF:$VF,MATCH(C349,[1]系统模型!$A:$A,0))*MAX(POWER(C349/180,4),0.5))</f>
        <v>45918</v>
      </c>
      <c r="S349" s="5">
        <v>1000</v>
      </c>
      <c r="T349" s="25">
        <v>0</v>
      </c>
      <c r="U349" s="25">
        <v>0</v>
      </c>
      <c r="V349" s="25">
        <v>0</v>
      </c>
      <c r="W349" s="25">
        <v>0</v>
      </c>
      <c r="X349" s="25">
        <f t="shared" si="60"/>
        <v>2295</v>
      </c>
      <c r="Y349" s="12">
        <v>0</v>
      </c>
      <c r="Z349" s="25">
        <v>100</v>
      </c>
      <c r="AA349" s="25">
        <v>150</v>
      </c>
      <c r="AB349" s="25">
        <v>0</v>
      </c>
      <c r="AC349" s="25">
        <v>0</v>
      </c>
      <c r="AD349" s="25">
        <v>0</v>
      </c>
      <c r="AE349" s="25">
        <f t="shared" si="61"/>
        <v>396</v>
      </c>
      <c r="AF349" s="25">
        <f t="shared" si="62"/>
        <v>396</v>
      </c>
      <c r="AG349" s="25">
        <v>0</v>
      </c>
      <c r="AH349" s="25">
        <f t="shared" si="63"/>
        <v>6100</v>
      </c>
      <c r="AI349" s="25">
        <f t="shared" si="64"/>
        <v>72</v>
      </c>
      <c r="AJ349" s="25">
        <v>1</v>
      </c>
      <c r="AK349" s="25">
        <v>1000</v>
      </c>
      <c r="AL349" s="25">
        <v>100</v>
      </c>
      <c r="AM349" s="26">
        <v>10</v>
      </c>
      <c r="AN349" s="26">
        <v>10</v>
      </c>
      <c r="AO349" s="22" t="s">
        <v>2211</v>
      </c>
      <c r="AP349" s="26">
        <v>0</v>
      </c>
      <c r="AQ349" s="26">
        <f t="shared" si="65"/>
        <v>650</v>
      </c>
      <c r="AR349" s="18" t="str">
        <f ca="1">CONCATENATE(OFFSET(Sheet1!$A$2,RANDBETWEEN(2,500),0,1,1),OFFSET(Sheet1!$A$2,RANDBETWEEN(2,500),RANDBETWEEN(1,5),1,1))</f>
        <v>柯林斯</v>
      </c>
      <c r="AS349">
        <f>SUMPRODUCT(P349:AI349,Sheet2!$B$3:$U$3)</f>
        <v>259643</v>
      </c>
    </row>
    <row r="350" spans="1:45" x14ac:dyDescent="0.15">
      <c r="A350" s="18">
        <v>349</v>
      </c>
      <c r="B350" s="18" t="s">
        <v>1969</v>
      </c>
      <c r="C350" s="18">
        <f t="shared" si="55"/>
        <v>198</v>
      </c>
      <c r="D350" s="19">
        <f t="shared" si="56"/>
        <v>3</v>
      </c>
      <c r="E350" s="19">
        <f>VLOOKUP(MOD(A350,4),各职业基础配置!C$32:D$35,2,FALSE)</f>
        <v>3</v>
      </c>
      <c r="F350" s="19">
        <f>IF(A350&lt;900,INDEX(各职业基础配置!C$23:C$28,MOD(ROW(A350),4)+1),0)</f>
        <v>14</v>
      </c>
      <c r="G350" s="19">
        <f t="shared" si="57"/>
        <v>61</v>
      </c>
      <c r="H350" s="27">
        <f t="shared" si="58"/>
        <v>2</v>
      </c>
      <c r="I350" s="6" t="s">
        <v>164</v>
      </c>
      <c r="J350" s="23" t="str">
        <f>VLOOKUP(E350,各职业基础配置!$B$9:$C$12,2,FALSE)</f>
        <v>106|107|108|4201|110</v>
      </c>
      <c r="K350" s="18" t="str">
        <f>VLOOKUP(E350,各职业基础配置!$B$15:$C$18,2,FALSE)</f>
        <v>20|21|22|23</v>
      </c>
      <c r="L350" s="18" t="str">
        <f>VLOOKUP(E350,各职业基础配置!B:C,2,FALSE)</f>
        <v>[{20,1,1},{21,1,1},{22,1,1},{23,1,1},{4,1,1},{5,1,1},{6,1,1}]</v>
      </c>
      <c r="M350" s="18">
        <v>0</v>
      </c>
      <c r="N350" s="18">
        <f t="shared" si="59"/>
        <v>7</v>
      </c>
      <c r="O350" s="18">
        <f>SUMPRODUCT(P350:AI350,Sheet2!$B$3:$U$3)</f>
        <v>259618</v>
      </c>
      <c r="P350" s="18">
        <f>CEILING(INDEX([1]系统模型!$VD:$VD,MATCH(C350,[1]系统模型!$A:$A,0))*POWER(C350/220,3.8)-50+(1000-A350),1)</f>
        <v>5423</v>
      </c>
      <c r="Q350" s="18">
        <f>CEILING(INDEX([1]系统模型!$VE:$VE,MATCH(C350,[1]系统模型!$A:$A,0))*POWER(C350/220,4),1)</f>
        <v>791</v>
      </c>
      <c r="R350" s="18">
        <f>INT(INDEX([1]系统模型!$VF:$VF,MATCH(C350,[1]系统模型!$A:$A,0))*MAX(POWER(C350/180,4),0.5))</f>
        <v>45918</v>
      </c>
      <c r="S350" s="5">
        <v>1000</v>
      </c>
      <c r="T350" s="25">
        <v>0</v>
      </c>
      <c r="U350" s="25">
        <v>0</v>
      </c>
      <c r="V350" s="25">
        <v>0</v>
      </c>
      <c r="W350" s="25">
        <v>0</v>
      </c>
      <c r="X350" s="25">
        <f t="shared" si="60"/>
        <v>2295</v>
      </c>
      <c r="Y350" s="12">
        <v>0</v>
      </c>
      <c r="Z350" s="25">
        <v>100</v>
      </c>
      <c r="AA350" s="25">
        <v>150</v>
      </c>
      <c r="AB350" s="25">
        <v>0</v>
      </c>
      <c r="AC350" s="25">
        <v>0</v>
      </c>
      <c r="AD350" s="25">
        <v>0</v>
      </c>
      <c r="AE350" s="25">
        <f t="shared" si="61"/>
        <v>396</v>
      </c>
      <c r="AF350" s="25">
        <f t="shared" si="62"/>
        <v>396</v>
      </c>
      <c r="AG350" s="25">
        <v>0</v>
      </c>
      <c r="AH350" s="25">
        <f t="shared" si="63"/>
        <v>6100</v>
      </c>
      <c r="AI350" s="25">
        <f t="shared" si="64"/>
        <v>72</v>
      </c>
      <c r="AJ350" s="25">
        <v>1</v>
      </c>
      <c r="AK350" s="25">
        <v>1000</v>
      </c>
      <c r="AL350" s="25">
        <v>100</v>
      </c>
      <c r="AM350" s="26">
        <v>10</v>
      </c>
      <c r="AN350" s="26">
        <v>10</v>
      </c>
      <c r="AO350" s="22" t="s">
        <v>2211</v>
      </c>
      <c r="AP350" s="26">
        <v>0</v>
      </c>
      <c r="AQ350" s="26">
        <f t="shared" si="65"/>
        <v>650</v>
      </c>
      <c r="AR350" s="18" t="str">
        <f ca="1">CONCATENATE(OFFSET(Sheet1!$A$2,RANDBETWEEN(2,500),0,1,1),OFFSET(Sheet1!$A$2,RANDBETWEEN(2,500),RANDBETWEEN(1,5),1,1))</f>
        <v>比利</v>
      </c>
      <c r="AS350">
        <f>SUMPRODUCT(P350:AI350,Sheet2!$B$3:$U$3)</f>
        <v>259618</v>
      </c>
    </row>
    <row r="351" spans="1:45" x14ac:dyDescent="0.15">
      <c r="A351" s="18">
        <v>350</v>
      </c>
      <c r="B351" s="18" t="s">
        <v>1348</v>
      </c>
      <c r="C351" s="18">
        <f t="shared" si="55"/>
        <v>198</v>
      </c>
      <c r="D351" s="19">
        <f t="shared" si="56"/>
        <v>2</v>
      </c>
      <c r="E351" s="19">
        <f>VLOOKUP(MOD(A351,4),各职业基础配置!C$32:D$35,2,FALSE)</f>
        <v>6</v>
      </c>
      <c r="F351" s="19">
        <f>IF(A351&lt;900,INDEX(各职业基础配置!C$23:C$28,MOD(ROW(A351),4)+1),0)</f>
        <v>16</v>
      </c>
      <c r="G351" s="19">
        <f t="shared" si="57"/>
        <v>61</v>
      </c>
      <c r="H351" s="27">
        <f t="shared" si="58"/>
        <v>2</v>
      </c>
      <c r="I351" s="6" t="s">
        <v>164</v>
      </c>
      <c r="J351" s="23" t="str">
        <f>VLOOKUP(E351,各职业基础配置!$B$9:$C$12,2,FALSE)</f>
        <v>111|112|113|4201|115</v>
      </c>
      <c r="K351" s="18" t="str">
        <f>VLOOKUP(E351,各职业基础配置!$B$15:$C$18,2,FALSE)</f>
        <v>32|33|34</v>
      </c>
      <c r="L351" s="18" t="str">
        <f>VLOOKUP(E351,各职业基础配置!B:C,2,FALSE)</f>
        <v>[{32,1,1},{33,1,1},{34,1,1},{35,1,1},{7,1,1},{8,1,1},{9,1,1}]</v>
      </c>
      <c r="M351" s="18">
        <v>0</v>
      </c>
      <c r="N351" s="18">
        <f t="shared" si="59"/>
        <v>7</v>
      </c>
      <c r="O351" s="18">
        <f>SUMPRODUCT(P351:AI351,Sheet2!$B$3:$U$3)</f>
        <v>259593</v>
      </c>
      <c r="P351" s="18">
        <f>CEILING(INDEX([1]系统模型!$VD:$VD,MATCH(C351,[1]系统模型!$A:$A,0))*POWER(C351/220,3.8)-50+(1000-A351),1)</f>
        <v>5422</v>
      </c>
      <c r="Q351" s="18">
        <f>CEILING(INDEX([1]系统模型!$VE:$VE,MATCH(C351,[1]系统模型!$A:$A,0))*POWER(C351/220,4),1)</f>
        <v>791</v>
      </c>
      <c r="R351" s="18">
        <f>INT(INDEX([1]系统模型!$VF:$VF,MATCH(C351,[1]系统模型!$A:$A,0))*MAX(POWER(C351/180,4),0.5))</f>
        <v>45918</v>
      </c>
      <c r="S351" s="5">
        <v>1000</v>
      </c>
      <c r="T351" s="25">
        <v>0</v>
      </c>
      <c r="U351" s="25">
        <v>0</v>
      </c>
      <c r="V351" s="25">
        <v>0</v>
      </c>
      <c r="W351" s="25">
        <v>0</v>
      </c>
      <c r="X351" s="25">
        <f t="shared" si="60"/>
        <v>2295</v>
      </c>
      <c r="Y351" s="12">
        <v>0</v>
      </c>
      <c r="Z351" s="25">
        <v>100</v>
      </c>
      <c r="AA351" s="25">
        <v>150</v>
      </c>
      <c r="AB351" s="25">
        <v>0</v>
      </c>
      <c r="AC351" s="25">
        <v>0</v>
      </c>
      <c r="AD351" s="25">
        <v>0</v>
      </c>
      <c r="AE351" s="25">
        <f t="shared" si="61"/>
        <v>396</v>
      </c>
      <c r="AF351" s="25">
        <f t="shared" si="62"/>
        <v>396</v>
      </c>
      <c r="AG351" s="25">
        <v>0</v>
      </c>
      <c r="AH351" s="25">
        <f t="shared" si="63"/>
        <v>6100</v>
      </c>
      <c r="AI351" s="25">
        <f t="shared" si="64"/>
        <v>72</v>
      </c>
      <c r="AJ351" s="25">
        <v>1</v>
      </c>
      <c r="AK351" s="25">
        <v>1000</v>
      </c>
      <c r="AL351" s="25">
        <v>100</v>
      </c>
      <c r="AM351" s="26">
        <v>10</v>
      </c>
      <c r="AN351" s="26">
        <v>10</v>
      </c>
      <c r="AO351" s="22" t="s">
        <v>2211</v>
      </c>
      <c r="AP351" s="26">
        <v>0</v>
      </c>
      <c r="AQ351" s="26">
        <f t="shared" si="65"/>
        <v>650</v>
      </c>
      <c r="AR351" s="18" t="str">
        <f ca="1">CONCATENATE(OFFSET(Sheet1!$A$2,RANDBETWEEN(2,500),0,1,1),OFFSET(Sheet1!$A$2,RANDBETWEEN(2,500),RANDBETWEEN(1,5),1,1))</f>
        <v>张伯伦诺维雅</v>
      </c>
      <c r="AS351">
        <f>SUMPRODUCT(P351:AI351,Sheet2!$B$3:$U$3)</f>
        <v>259593</v>
      </c>
    </row>
    <row r="352" spans="1:45" x14ac:dyDescent="0.15">
      <c r="A352" s="23">
        <v>351</v>
      </c>
      <c r="B352" s="18" t="s">
        <v>895</v>
      </c>
      <c r="C352" s="18">
        <f t="shared" si="55"/>
        <v>198</v>
      </c>
      <c r="D352" s="19">
        <f t="shared" si="56"/>
        <v>3</v>
      </c>
      <c r="E352" s="19">
        <f>VLOOKUP(MOD(A352,4),各职业基础配置!C$32:D$35,2,FALSE)</f>
        <v>9</v>
      </c>
      <c r="F352" s="19">
        <f>IF(A352&lt;900,INDEX(各职业基础配置!C$23:C$28,MOD(ROW(A352),4)+1),0)</f>
        <v>8</v>
      </c>
      <c r="G352" s="19">
        <f t="shared" si="57"/>
        <v>61</v>
      </c>
      <c r="H352" s="27">
        <f t="shared" si="58"/>
        <v>2</v>
      </c>
      <c r="I352" s="6" t="s">
        <v>164</v>
      </c>
      <c r="J352" s="23" t="str">
        <f>VLOOKUP(E352,各职业基础配置!$B$9:$C$12,2,FALSE)</f>
        <v>116|117|118|4201|120</v>
      </c>
      <c r="K352" s="18" t="str">
        <f>VLOOKUP(E352,各职业基础配置!$B$15:$C$18,2,FALSE)</f>
        <v>28|29|30|31</v>
      </c>
      <c r="L352" s="18" t="str">
        <f>VLOOKUP(E352,各职业基础配置!B:C,2,FALSE)</f>
        <v>[{28,1,1},{29,1,1},{30,1,1},{31,1,1},{10,1,1},{11,1,1},{12,1,1}]</v>
      </c>
      <c r="M352" s="18">
        <v>0</v>
      </c>
      <c r="N352" s="18">
        <f t="shared" si="59"/>
        <v>3</v>
      </c>
      <c r="O352" s="18">
        <f>SUMPRODUCT(P352:AI352,Sheet2!$B$3:$U$3)</f>
        <v>259568</v>
      </c>
      <c r="P352" s="18">
        <f>CEILING(INDEX([1]系统模型!$VD:$VD,MATCH(C352,[1]系统模型!$A:$A,0))*POWER(C352/220,3.8)-50+(1000-A352),1)</f>
        <v>5421</v>
      </c>
      <c r="Q352" s="18">
        <f>CEILING(INDEX([1]系统模型!$VE:$VE,MATCH(C352,[1]系统模型!$A:$A,0))*POWER(C352/220,4),1)</f>
        <v>791</v>
      </c>
      <c r="R352" s="18">
        <f>INT(INDEX([1]系统模型!$VF:$VF,MATCH(C352,[1]系统模型!$A:$A,0))*MAX(POWER(C352/180,4),0.5))</f>
        <v>45918</v>
      </c>
      <c r="S352" s="5">
        <v>1000</v>
      </c>
      <c r="T352" s="25">
        <v>0</v>
      </c>
      <c r="U352" s="25">
        <v>0</v>
      </c>
      <c r="V352" s="25">
        <v>0</v>
      </c>
      <c r="W352" s="25">
        <v>0</v>
      </c>
      <c r="X352" s="25">
        <f t="shared" si="60"/>
        <v>2295</v>
      </c>
      <c r="Y352" s="12">
        <v>0</v>
      </c>
      <c r="Z352" s="25">
        <v>100</v>
      </c>
      <c r="AA352" s="25">
        <v>150</v>
      </c>
      <c r="AB352" s="25">
        <v>0</v>
      </c>
      <c r="AC352" s="25">
        <v>0</v>
      </c>
      <c r="AD352" s="25">
        <v>0</v>
      </c>
      <c r="AE352" s="25">
        <f t="shared" si="61"/>
        <v>396</v>
      </c>
      <c r="AF352" s="25">
        <f t="shared" si="62"/>
        <v>396</v>
      </c>
      <c r="AG352" s="25">
        <v>0</v>
      </c>
      <c r="AH352" s="25">
        <f t="shared" si="63"/>
        <v>6100</v>
      </c>
      <c r="AI352" s="25">
        <f t="shared" si="64"/>
        <v>72</v>
      </c>
      <c r="AJ352" s="25">
        <v>1</v>
      </c>
      <c r="AK352" s="25">
        <v>1000</v>
      </c>
      <c r="AL352" s="25">
        <v>100</v>
      </c>
      <c r="AM352" s="26">
        <v>10</v>
      </c>
      <c r="AN352" s="26">
        <v>10</v>
      </c>
      <c r="AO352" s="22" t="s">
        <v>2211</v>
      </c>
      <c r="AP352" s="26">
        <v>0</v>
      </c>
      <c r="AQ352" s="26">
        <f t="shared" si="65"/>
        <v>650</v>
      </c>
      <c r="AR352" s="18" t="str">
        <f ca="1">CONCATENATE(OFFSET(Sheet1!$A$2,RANDBETWEEN(2,500),0,1,1),OFFSET(Sheet1!$A$2,RANDBETWEEN(2,500),RANDBETWEEN(1,5),1,1))</f>
        <v>嘉利</v>
      </c>
      <c r="AS352">
        <f>SUMPRODUCT(P352:AI352,Sheet2!$B$3:$U$3)</f>
        <v>259568</v>
      </c>
    </row>
    <row r="353" spans="1:45" x14ac:dyDescent="0.15">
      <c r="A353" s="18">
        <v>352</v>
      </c>
      <c r="B353" s="18" t="s">
        <v>1970</v>
      </c>
      <c r="C353" s="18">
        <f t="shared" si="55"/>
        <v>197</v>
      </c>
      <c r="D353" s="19">
        <f t="shared" si="56"/>
        <v>2</v>
      </c>
      <c r="E353" s="19">
        <f>VLOOKUP(MOD(A353,4),各职业基础配置!C$32:D$35,2,FALSE)</f>
        <v>1</v>
      </c>
      <c r="F353" s="19">
        <f>IF(A353&lt;900,INDEX(各职业基础配置!C$23:C$28,MOD(ROW(A353),4)+1),0)</f>
        <v>13</v>
      </c>
      <c r="G353" s="19">
        <f t="shared" si="57"/>
        <v>59</v>
      </c>
      <c r="H353" s="27">
        <f t="shared" si="58"/>
        <v>2</v>
      </c>
      <c r="I353" s="6" t="s">
        <v>164</v>
      </c>
      <c r="J353" s="23" t="str">
        <f>VLOOKUP(E353,各职业基础配置!$B$9:$C$12,2,FALSE)</f>
        <v>101|102|103|4201|105</v>
      </c>
      <c r="K353" s="18" t="str">
        <f>VLOOKUP(E353,各职业基础配置!$B$15:$C$18,2,FALSE)</f>
        <v>24|25|26|27</v>
      </c>
      <c r="L353" s="18" t="str">
        <f>VLOOKUP(E353,各职业基础配置!B:C,2,FALSE)</f>
        <v>[{24,1,1},{25,1,1},{26,1,1},{27,1,1},{1,1,1},{2,1,1},{3,1,1}]</v>
      </c>
      <c r="M353" s="18">
        <v>0</v>
      </c>
      <c r="N353" s="18">
        <f t="shared" si="59"/>
        <v>3</v>
      </c>
      <c r="O353" s="18">
        <f>SUMPRODUCT(P353:AI353,Sheet2!$B$3:$U$3)</f>
        <v>254684</v>
      </c>
      <c r="P353" s="18">
        <f>CEILING(INDEX([1]系统模型!$VD:$VD,MATCH(C353,[1]系统模型!$A:$A,0))*POWER(C353/220,3.8)-50+(1000-A353),1)</f>
        <v>5317</v>
      </c>
      <c r="Q353" s="18">
        <f>CEILING(INDEX([1]系统模型!$VE:$VE,MATCH(C353,[1]系统模型!$A:$A,0))*POWER(C353/220,4),1)</f>
        <v>769</v>
      </c>
      <c r="R353" s="18">
        <f>INT(INDEX([1]系统模型!$VF:$VF,MATCH(C353,[1]系统模型!$A:$A,0))*MAX(POWER(C353/180,4),0.5))</f>
        <v>44709</v>
      </c>
      <c r="S353" s="5">
        <v>1000</v>
      </c>
      <c r="T353" s="25">
        <v>0</v>
      </c>
      <c r="U353" s="25">
        <v>0</v>
      </c>
      <c r="V353" s="25">
        <v>0</v>
      </c>
      <c r="W353" s="25">
        <v>0</v>
      </c>
      <c r="X353" s="25">
        <f t="shared" si="60"/>
        <v>2235</v>
      </c>
      <c r="Y353" s="12">
        <v>0</v>
      </c>
      <c r="Z353" s="25">
        <v>100</v>
      </c>
      <c r="AA353" s="25">
        <v>150</v>
      </c>
      <c r="AB353" s="25">
        <v>0</v>
      </c>
      <c r="AC353" s="25">
        <v>0</v>
      </c>
      <c r="AD353" s="25">
        <v>0</v>
      </c>
      <c r="AE353" s="25">
        <f t="shared" si="61"/>
        <v>394</v>
      </c>
      <c r="AF353" s="25">
        <f t="shared" si="62"/>
        <v>394</v>
      </c>
      <c r="AG353" s="25">
        <v>0</v>
      </c>
      <c r="AH353" s="25">
        <f t="shared" si="63"/>
        <v>6025</v>
      </c>
      <c r="AI353" s="25">
        <f t="shared" si="64"/>
        <v>70</v>
      </c>
      <c r="AJ353" s="25">
        <v>1</v>
      </c>
      <c r="AK353" s="25">
        <v>1000</v>
      </c>
      <c r="AL353" s="25">
        <v>100</v>
      </c>
      <c r="AM353" s="26">
        <v>10</v>
      </c>
      <c r="AN353" s="26">
        <v>10</v>
      </c>
      <c r="AO353" s="22" t="s">
        <v>2211</v>
      </c>
      <c r="AP353" s="26">
        <v>0</v>
      </c>
      <c r="AQ353" s="26">
        <f t="shared" si="65"/>
        <v>650</v>
      </c>
      <c r="AR353" s="18" t="str">
        <f ca="1">CONCATENATE(OFFSET(Sheet1!$A$2,RANDBETWEEN(2,500),0,1,1),OFFSET(Sheet1!$A$2,RANDBETWEEN(2,500),RANDBETWEEN(1,5),1,1))</f>
        <v>克里斯托弗妮可</v>
      </c>
      <c r="AS353">
        <f>SUMPRODUCT(P353:AI353,Sheet2!$B$3:$U$3)</f>
        <v>254684</v>
      </c>
    </row>
    <row r="354" spans="1:45" x14ac:dyDescent="0.15">
      <c r="A354" s="18">
        <v>353</v>
      </c>
      <c r="B354" s="18" t="s">
        <v>1149</v>
      </c>
      <c r="C354" s="18">
        <f t="shared" si="55"/>
        <v>197</v>
      </c>
      <c r="D354" s="19">
        <f t="shared" si="56"/>
        <v>3</v>
      </c>
      <c r="E354" s="19">
        <f>VLOOKUP(MOD(A354,4),各职业基础配置!C$32:D$35,2,FALSE)</f>
        <v>3</v>
      </c>
      <c r="F354" s="19">
        <f>IF(A354&lt;900,INDEX(各职业基础配置!C$23:C$28,MOD(ROW(A354),4)+1),0)</f>
        <v>14</v>
      </c>
      <c r="G354" s="19">
        <f t="shared" si="57"/>
        <v>59</v>
      </c>
      <c r="H354" s="27">
        <f t="shared" si="58"/>
        <v>2</v>
      </c>
      <c r="I354" s="6" t="s">
        <v>164</v>
      </c>
      <c r="J354" s="23" t="str">
        <f>VLOOKUP(E354,各职业基础配置!$B$9:$C$12,2,FALSE)</f>
        <v>106|107|108|4201|110</v>
      </c>
      <c r="K354" s="18" t="str">
        <f>VLOOKUP(E354,各职业基础配置!$B$15:$C$18,2,FALSE)</f>
        <v>20|21|22|23</v>
      </c>
      <c r="L354" s="18" t="str">
        <f>VLOOKUP(E354,各职业基础配置!B:C,2,FALSE)</f>
        <v>[{20,1,1},{21,1,1},{22,1,1},{23,1,1},{4,1,1},{5,1,1},{6,1,1}]</v>
      </c>
      <c r="M354" s="18">
        <v>0</v>
      </c>
      <c r="N354" s="18">
        <f t="shared" si="59"/>
        <v>7</v>
      </c>
      <c r="O354" s="18">
        <f>SUMPRODUCT(P354:AI354,Sheet2!$B$3:$U$3)</f>
        <v>254659</v>
      </c>
      <c r="P354" s="18">
        <f>CEILING(INDEX([1]系统模型!$VD:$VD,MATCH(C354,[1]系统模型!$A:$A,0))*POWER(C354/220,3.8)-50+(1000-A354),1)</f>
        <v>5316</v>
      </c>
      <c r="Q354" s="18">
        <f>CEILING(INDEX([1]系统模型!$VE:$VE,MATCH(C354,[1]系统模型!$A:$A,0))*POWER(C354/220,4),1)</f>
        <v>769</v>
      </c>
      <c r="R354" s="18">
        <f>INT(INDEX([1]系统模型!$VF:$VF,MATCH(C354,[1]系统模型!$A:$A,0))*MAX(POWER(C354/180,4),0.5))</f>
        <v>44709</v>
      </c>
      <c r="S354" s="5">
        <v>1000</v>
      </c>
      <c r="T354" s="25">
        <v>0</v>
      </c>
      <c r="U354" s="25">
        <v>0</v>
      </c>
      <c r="V354" s="25">
        <v>0</v>
      </c>
      <c r="W354" s="25">
        <v>0</v>
      </c>
      <c r="X354" s="25">
        <f t="shared" si="60"/>
        <v>2235</v>
      </c>
      <c r="Y354" s="12">
        <v>0</v>
      </c>
      <c r="Z354" s="25">
        <v>100</v>
      </c>
      <c r="AA354" s="25">
        <v>150</v>
      </c>
      <c r="AB354" s="25">
        <v>0</v>
      </c>
      <c r="AC354" s="25">
        <v>0</v>
      </c>
      <c r="AD354" s="25">
        <v>0</v>
      </c>
      <c r="AE354" s="25">
        <f t="shared" si="61"/>
        <v>394</v>
      </c>
      <c r="AF354" s="25">
        <f t="shared" si="62"/>
        <v>394</v>
      </c>
      <c r="AG354" s="25">
        <v>0</v>
      </c>
      <c r="AH354" s="25">
        <f t="shared" si="63"/>
        <v>6025</v>
      </c>
      <c r="AI354" s="25">
        <f t="shared" si="64"/>
        <v>70</v>
      </c>
      <c r="AJ354" s="25">
        <v>1</v>
      </c>
      <c r="AK354" s="25">
        <v>1000</v>
      </c>
      <c r="AL354" s="25">
        <v>100</v>
      </c>
      <c r="AM354" s="26">
        <v>10</v>
      </c>
      <c r="AN354" s="26">
        <v>10</v>
      </c>
      <c r="AO354" s="22" t="s">
        <v>2211</v>
      </c>
      <c r="AP354" s="26">
        <v>0</v>
      </c>
      <c r="AQ354" s="26">
        <f t="shared" si="65"/>
        <v>640</v>
      </c>
      <c r="AR354" s="18" t="str">
        <f ca="1">CONCATENATE(OFFSET(Sheet1!$A$2,RANDBETWEEN(2,500),0,1,1),OFFSET(Sheet1!$A$2,RANDBETWEEN(2,500),RANDBETWEEN(1,5),1,1))</f>
        <v>卡罗琳</v>
      </c>
      <c r="AS354">
        <f>SUMPRODUCT(P354:AI354,Sheet2!$B$3:$U$3)</f>
        <v>254659</v>
      </c>
    </row>
    <row r="355" spans="1:45" x14ac:dyDescent="0.15">
      <c r="A355" s="23">
        <v>354</v>
      </c>
      <c r="B355" s="18" t="s">
        <v>1015</v>
      </c>
      <c r="C355" s="18">
        <f t="shared" si="55"/>
        <v>197</v>
      </c>
      <c r="D355" s="19">
        <f t="shared" si="56"/>
        <v>2</v>
      </c>
      <c r="E355" s="19">
        <f>VLOOKUP(MOD(A355,4),各职业基础配置!C$32:D$35,2,FALSE)</f>
        <v>6</v>
      </c>
      <c r="F355" s="19">
        <f>IF(A355&lt;900,INDEX(各职业基础配置!C$23:C$28,MOD(ROW(A355),4)+1),0)</f>
        <v>16</v>
      </c>
      <c r="G355" s="19">
        <f t="shared" si="57"/>
        <v>59</v>
      </c>
      <c r="H355" s="27">
        <f t="shared" si="58"/>
        <v>2</v>
      </c>
      <c r="I355" s="6" t="s">
        <v>164</v>
      </c>
      <c r="J355" s="23" t="str">
        <f>VLOOKUP(E355,各职业基础配置!$B$9:$C$12,2,FALSE)</f>
        <v>111|112|113|4201|115</v>
      </c>
      <c r="K355" s="18" t="str">
        <f>VLOOKUP(E355,各职业基础配置!$B$15:$C$18,2,FALSE)</f>
        <v>32|33|34</v>
      </c>
      <c r="L355" s="18" t="str">
        <f>VLOOKUP(E355,各职业基础配置!B:C,2,FALSE)</f>
        <v>[{32,1,1},{33,1,1},{34,1,1},{35,1,1},{7,1,1},{8,1,1},{9,1,1}]</v>
      </c>
      <c r="M355" s="18">
        <v>0</v>
      </c>
      <c r="N355" s="18">
        <f t="shared" si="59"/>
        <v>7</v>
      </c>
      <c r="O355" s="18">
        <f>SUMPRODUCT(P355:AI355,Sheet2!$B$3:$U$3)</f>
        <v>254634</v>
      </c>
      <c r="P355" s="18">
        <f>CEILING(INDEX([1]系统模型!$VD:$VD,MATCH(C355,[1]系统模型!$A:$A,0))*POWER(C355/220,3.8)-50+(1000-A355),1)</f>
        <v>5315</v>
      </c>
      <c r="Q355" s="18">
        <f>CEILING(INDEX([1]系统模型!$VE:$VE,MATCH(C355,[1]系统模型!$A:$A,0))*POWER(C355/220,4),1)</f>
        <v>769</v>
      </c>
      <c r="R355" s="18">
        <f>INT(INDEX([1]系统模型!$VF:$VF,MATCH(C355,[1]系统模型!$A:$A,0))*MAX(POWER(C355/180,4),0.5))</f>
        <v>44709</v>
      </c>
      <c r="S355" s="5">
        <v>1000</v>
      </c>
      <c r="T355" s="25">
        <v>0</v>
      </c>
      <c r="U355" s="25">
        <v>0</v>
      </c>
      <c r="V355" s="25">
        <v>0</v>
      </c>
      <c r="W355" s="25">
        <v>0</v>
      </c>
      <c r="X355" s="25">
        <f t="shared" si="60"/>
        <v>2235</v>
      </c>
      <c r="Y355" s="12">
        <v>0</v>
      </c>
      <c r="Z355" s="25">
        <v>100</v>
      </c>
      <c r="AA355" s="25">
        <v>150</v>
      </c>
      <c r="AB355" s="25">
        <v>0</v>
      </c>
      <c r="AC355" s="25">
        <v>0</v>
      </c>
      <c r="AD355" s="25">
        <v>0</v>
      </c>
      <c r="AE355" s="25">
        <f t="shared" si="61"/>
        <v>394</v>
      </c>
      <c r="AF355" s="25">
        <f t="shared" si="62"/>
        <v>394</v>
      </c>
      <c r="AG355" s="25">
        <v>0</v>
      </c>
      <c r="AH355" s="25">
        <f t="shared" si="63"/>
        <v>6025</v>
      </c>
      <c r="AI355" s="25">
        <f t="shared" si="64"/>
        <v>70</v>
      </c>
      <c r="AJ355" s="25">
        <v>1</v>
      </c>
      <c r="AK355" s="25">
        <v>1000</v>
      </c>
      <c r="AL355" s="25">
        <v>100</v>
      </c>
      <c r="AM355" s="26">
        <v>10</v>
      </c>
      <c r="AN355" s="26">
        <v>10</v>
      </c>
      <c r="AO355" s="22" t="s">
        <v>2211</v>
      </c>
      <c r="AP355" s="26">
        <v>0</v>
      </c>
      <c r="AQ355" s="26">
        <f t="shared" si="65"/>
        <v>640</v>
      </c>
      <c r="AR355" s="18" t="str">
        <f ca="1">CONCATENATE(OFFSET(Sheet1!$A$2,RANDBETWEEN(2,500),0,1,1),OFFSET(Sheet1!$A$2,RANDBETWEEN(2,500),RANDBETWEEN(1,5),1,1))</f>
        <v>巴尼</v>
      </c>
      <c r="AS355">
        <f>SUMPRODUCT(P355:AI355,Sheet2!$B$3:$U$3)</f>
        <v>254634</v>
      </c>
    </row>
    <row r="356" spans="1:45" x14ac:dyDescent="0.15">
      <c r="A356" s="18">
        <v>355</v>
      </c>
      <c r="B356" s="18" t="s">
        <v>1971</v>
      </c>
      <c r="C356" s="18">
        <f t="shared" si="55"/>
        <v>197</v>
      </c>
      <c r="D356" s="19">
        <f t="shared" si="56"/>
        <v>3</v>
      </c>
      <c r="E356" s="19">
        <f>VLOOKUP(MOD(A356,4),各职业基础配置!C$32:D$35,2,FALSE)</f>
        <v>9</v>
      </c>
      <c r="F356" s="19">
        <f>IF(A356&lt;900,INDEX(各职业基础配置!C$23:C$28,MOD(ROW(A356),4)+1),0)</f>
        <v>8</v>
      </c>
      <c r="G356" s="19">
        <f t="shared" si="57"/>
        <v>59</v>
      </c>
      <c r="H356" s="27">
        <f t="shared" si="58"/>
        <v>2</v>
      </c>
      <c r="I356" s="6" t="s">
        <v>164</v>
      </c>
      <c r="J356" s="23" t="str">
        <f>VLOOKUP(E356,各职业基础配置!$B$9:$C$12,2,FALSE)</f>
        <v>116|117|118|4201|120</v>
      </c>
      <c r="K356" s="18" t="str">
        <f>VLOOKUP(E356,各职业基础配置!$B$15:$C$18,2,FALSE)</f>
        <v>28|29|30|31</v>
      </c>
      <c r="L356" s="18" t="str">
        <f>VLOOKUP(E356,各职业基础配置!B:C,2,FALSE)</f>
        <v>[{28,1,1},{29,1,1},{30,1,1},{31,1,1},{10,1,1},{11,1,1},{12,1,1}]</v>
      </c>
      <c r="M356" s="18">
        <v>0</v>
      </c>
      <c r="N356" s="18">
        <f t="shared" si="59"/>
        <v>3</v>
      </c>
      <c r="O356" s="18">
        <f>SUMPRODUCT(P356:AI356,Sheet2!$B$3:$U$3)</f>
        <v>254609</v>
      </c>
      <c r="P356" s="18">
        <f>CEILING(INDEX([1]系统模型!$VD:$VD,MATCH(C356,[1]系统模型!$A:$A,0))*POWER(C356/220,3.8)-50+(1000-A356),1)</f>
        <v>5314</v>
      </c>
      <c r="Q356" s="18">
        <f>CEILING(INDEX([1]系统模型!$VE:$VE,MATCH(C356,[1]系统模型!$A:$A,0))*POWER(C356/220,4),1)</f>
        <v>769</v>
      </c>
      <c r="R356" s="18">
        <f>INT(INDEX([1]系统模型!$VF:$VF,MATCH(C356,[1]系统模型!$A:$A,0))*MAX(POWER(C356/180,4),0.5))</f>
        <v>44709</v>
      </c>
      <c r="S356" s="5">
        <v>1000</v>
      </c>
      <c r="T356" s="25">
        <v>0</v>
      </c>
      <c r="U356" s="25">
        <v>0</v>
      </c>
      <c r="V356" s="25">
        <v>0</v>
      </c>
      <c r="W356" s="25">
        <v>0</v>
      </c>
      <c r="X356" s="25">
        <f t="shared" si="60"/>
        <v>2235</v>
      </c>
      <c r="Y356" s="12">
        <v>0</v>
      </c>
      <c r="Z356" s="25">
        <v>100</v>
      </c>
      <c r="AA356" s="25">
        <v>150</v>
      </c>
      <c r="AB356" s="25">
        <v>0</v>
      </c>
      <c r="AC356" s="25">
        <v>0</v>
      </c>
      <c r="AD356" s="25">
        <v>0</v>
      </c>
      <c r="AE356" s="25">
        <f t="shared" si="61"/>
        <v>394</v>
      </c>
      <c r="AF356" s="25">
        <f t="shared" si="62"/>
        <v>394</v>
      </c>
      <c r="AG356" s="25">
        <v>0</v>
      </c>
      <c r="AH356" s="25">
        <f t="shared" si="63"/>
        <v>6025</v>
      </c>
      <c r="AI356" s="25">
        <f t="shared" si="64"/>
        <v>70</v>
      </c>
      <c r="AJ356" s="25">
        <v>1</v>
      </c>
      <c r="AK356" s="25">
        <v>1000</v>
      </c>
      <c r="AL356" s="25">
        <v>100</v>
      </c>
      <c r="AM356" s="26">
        <v>10</v>
      </c>
      <c r="AN356" s="26">
        <v>10</v>
      </c>
      <c r="AO356" s="22" t="s">
        <v>2211</v>
      </c>
      <c r="AP356" s="26">
        <v>0</v>
      </c>
      <c r="AQ356" s="26">
        <f t="shared" si="65"/>
        <v>640</v>
      </c>
      <c r="AR356" s="18" t="str">
        <f ca="1">CONCATENATE(OFFSET(Sheet1!$A$2,RANDBETWEEN(2,500),0,1,1),OFFSET(Sheet1!$A$2,RANDBETWEEN(2,500),RANDBETWEEN(1,5),1,1))</f>
        <v>夏洛特玛蒂娜</v>
      </c>
      <c r="AS356">
        <f>SUMPRODUCT(P356:AI356,Sheet2!$B$3:$U$3)</f>
        <v>254609</v>
      </c>
    </row>
    <row r="357" spans="1:45" x14ac:dyDescent="0.15">
      <c r="A357" s="18">
        <v>356</v>
      </c>
      <c r="B357" s="18" t="s">
        <v>261</v>
      </c>
      <c r="C357" s="18">
        <f t="shared" si="55"/>
        <v>197</v>
      </c>
      <c r="D357" s="19">
        <f t="shared" si="56"/>
        <v>2</v>
      </c>
      <c r="E357" s="19">
        <f>VLOOKUP(MOD(A357,4),各职业基础配置!C$32:D$35,2,FALSE)</f>
        <v>1</v>
      </c>
      <c r="F357" s="19">
        <f>IF(A357&lt;900,INDEX(各职业基础配置!C$23:C$28,MOD(ROW(A357),4)+1),0)</f>
        <v>13</v>
      </c>
      <c r="G357" s="19">
        <f t="shared" si="57"/>
        <v>59</v>
      </c>
      <c r="H357" s="27">
        <f t="shared" si="58"/>
        <v>2</v>
      </c>
      <c r="I357" s="6" t="s">
        <v>164</v>
      </c>
      <c r="J357" s="23" t="str">
        <f>VLOOKUP(E357,各职业基础配置!$B$9:$C$12,2,FALSE)</f>
        <v>101|102|103|4201|105</v>
      </c>
      <c r="K357" s="18" t="str">
        <f>VLOOKUP(E357,各职业基础配置!$B$15:$C$18,2,FALSE)</f>
        <v>24|25|26|27</v>
      </c>
      <c r="L357" s="18" t="str">
        <f>VLOOKUP(E357,各职业基础配置!B:C,2,FALSE)</f>
        <v>[{24,1,1},{25,1,1},{26,1,1},{27,1,1},{1,1,1},{2,1,1},{3,1,1}]</v>
      </c>
      <c r="M357" s="18">
        <v>0</v>
      </c>
      <c r="N357" s="18">
        <f t="shared" si="59"/>
        <v>3</v>
      </c>
      <c r="O357" s="18">
        <f>SUMPRODUCT(P357:AI357,Sheet2!$B$3:$U$3)</f>
        <v>254584</v>
      </c>
      <c r="P357" s="18">
        <f>CEILING(INDEX([1]系统模型!$VD:$VD,MATCH(C357,[1]系统模型!$A:$A,0))*POWER(C357/220,3.8)-50+(1000-A357),1)</f>
        <v>5313</v>
      </c>
      <c r="Q357" s="18">
        <f>CEILING(INDEX([1]系统模型!$VE:$VE,MATCH(C357,[1]系统模型!$A:$A,0))*POWER(C357/220,4),1)</f>
        <v>769</v>
      </c>
      <c r="R357" s="18">
        <f>INT(INDEX([1]系统模型!$VF:$VF,MATCH(C357,[1]系统模型!$A:$A,0))*MAX(POWER(C357/180,4),0.5))</f>
        <v>44709</v>
      </c>
      <c r="S357" s="5">
        <v>1000</v>
      </c>
      <c r="T357" s="25">
        <v>0</v>
      </c>
      <c r="U357" s="25">
        <v>0</v>
      </c>
      <c r="V357" s="25">
        <v>0</v>
      </c>
      <c r="W357" s="25">
        <v>0</v>
      </c>
      <c r="X357" s="25">
        <f t="shared" si="60"/>
        <v>2235</v>
      </c>
      <c r="Y357" s="12">
        <v>0</v>
      </c>
      <c r="Z357" s="25">
        <v>100</v>
      </c>
      <c r="AA357" s="25">
        <v>150</v>
      </c>
      <c r="AB357" s="25">
        <v>0</v>
      </c>
      <c r="AC357" s="25">
        <v>0</v>
      </c>
      <c r="AD357" s="25">
        <v>0</v>
      </c>
      <c r="AE357" s="25">
        <f t="shared" si="61"/>
        <v>394</v>
      </c>
      <c r="AF357" s="25">
        <f t="shared" si="62"/>
        <v>394</v>
      </c>
      <c r="AG357" s="25">
        <v>0</v>
      </c>
      <c r="AH357" s="25">
        <f t="shared" si="63"/>
        <v>6025</v>
      </c>
      <c r="AI357" s="25">
        <f t="shared" si="64"/>
        <v>70</v>
      </c>
      <c r="AJ357" s="25">
        <v>1</v>
      </c>
      <c r="AK357" s="25">
        <v>1000</v>
      </c>
      <c r="AL357" s="25">
        <v>100</v>
      </c>
      <c r="AM357" s="26">
        <v>10</v>
      </c>
      <c r="AN357" s="26">
        <v>10</v>
      </c>
      <c r="AO357" s="22" t="s">
        <v>2211</v>
      </c>
      <c r="AP357" s="26">
        <v>0</v>
      </c>
      <c r="AQ357" s="26">
        <f t="shared" si="65"/>
        <v>640</v>
      </c>
      <c r="AR357" s="18" t="str">
        <f ca="1">CONCATENATE(OFFSET(Sheet1!$A$2,RANDBETWEEN(2,500),0,1,1),OFFSET(Sheet1!$A$2,RANDBETWEEN(2,500),RANDBETWEEN(1,5),1,1))</f>
        <v>弗雷德</v>
      </c>
      <c r="AS357">
        <f>SUMPRODUCT(P357:AI357,Sheet2!$B$3:$U$3)</f>
        <v>254584</v>
      </c>
    </row>
    <row r="358" spans="1:45" x14ac:dyDescent="0.15">
      <c r="A358" s="23">
        <v>357</v>
      </c>
      <c r="B358" s="18" t="s">
        <v>1027</v>
      </c>
      <c r="C358" s="18">
        <f t="shared" si="55"/>
        <v>197</v>
      </c>
      <c r="D358" s="19">
        <f t="shared" si="56"/>
        <v>3</v>
      </c>
      <c r="E358" s="19">
        <f>VLOOKUP(MOD(A358,4),各职业基础配置!C$32:D$35,2,FALSE)</f>
        <v>3</v>
      </c>
      <c r="F358" s="19">
        <f>IF(A358&lt;900,INDEX(各职业基础配置!C$23:C$28,MOD(ROW(A358),4)+1),0)</f>
        <v>14</v>
      </c>
      <c r="G358" s="19">
        <f t="shared" si="57"/>
        <v>59</v>
      </c>
      <c r="H358" s="27">
        <f t="shared" si="58"/>
        <v>2</v>
      </c>
      <c r="I358" s="6" t="s">
        <v>164</v>
      </c>
      <c r="J358" s="23" t="str">
        <f>VLOOKUP(E358,各职业基础配置!$B$9:$C$12,2,FALSE)</f>
        <v>106|107|108|4201|110</v>
      </c>
      <c r="K358" s="18" t="str">
        <f>VLOOKUP(E358,各职业基础配置!$B$15:$C$18,2,FALSE)</f>
        <v>20|21|22|23</v>
      </c>
      <c r="L358" s="18" t="str">
        <f>VLOOKUP(E358,各职业基础配置!B:C,2,FALSE)</f>
        <v>[{20,1,1},{21,1,1},{22,1,1},{23,1,1},{4,1,1},{5,1,1},{6,1,1}]</v>
      </c>
      <c r="M358" s="18">
        <v>0</v>
      </c>
      <c r="N358" s="18">
        <f t="shared" si="59"/>
        <v>7</v>
      </c>
      <c r="O358" s="18">
        <f>SUMPRODUCT(P358:AI358,Sheet2!$B$3:$U$3)</f>
        <v>254559</v>
      </c>
      <c r="P358" s="18">
        <f>CEILING(INDEX([1]系统模型!$VD:$VD,MATCH(C358,[1]系统模型!$A:$A,0))*POWER(C358/220,3.8)-50+(1000-A358),1)</f>
        <v>5312</v>
      </c>
      <c r="Q358" s="18">
        <f>CEILING(INDEX([1]系统模型!$VE:$VE,MATCH(C358,[1]系统模型!$A:$A,0))*POWER(C358/220,4),1)</f>
        <v>769</v>
      </c>
      <c r="R358" s="18">
        <f>INT(INDEX([1]系统模型!$VF:$VF,MATCH(C358,[1]系统模型!$A:$A,0))*MAX(POWER(C358/180,4),0.5))</f>
        <v>44709</v>
      </c>
      <c r="S358" s="5">
        <v>1000</v>
      </c>
      <c r="T358" s="25">
        <v>0</v>
      </c>
      <c r="U358" s="25">
        <v>0</v>
      </c>
      <c r="V358" s="25">
        <v>0</v>
      </c>
      <c r="W358" s="25">
        <v>0</v>
      </c>
      <c r="X358" s="25">
        <f t="shared" si="60"/>
        <v>2235</v>
      </c>
      <c r="Y358" s="12">
        <v>0</v>
      </c>
      <c r="Z358" s="25">
        <v>100</v>
      </c>
      <c r="AA358" s="25">
        <v>150</v>
      </c>
      <c r="AB358" s="25">
        <v>0</v>
      </c>
      <c r="AC358" s="25">
        <v>0</v>
      </c>
      <c r="AD358" s="25">
        <v>0</v>
      </c>
      <c r="AE358" s="25">
        <f t="shared" si="61"/>
        <v>394</v>
      </c>
      <c r="AF358" s="25">
        <f t="shared" si="62"/>
        <v>394</v>
      </c>
      <c r="AG358" s="25">
        <v>0</v>
      </c>
      <c r="AH358" s="25">
        <f t="shared" si="63"/>
        <v>6025</v>
      </c>
      <c r="AI358" s="25">
        <f t="shared" si="64"/>
        <v>70</v>
      </c>
      <c r="AJ358" s="25">
        <v>1</v>
      </c>
      <c r="AK358" s="25">
        <v>1000</v>
      </c>
      <c r="AL358" s="25">
        <v>100</v>
      </c>
      <c r="AM358" s="26">
        <v>10</v>
      </c>
      <c r="AN358" s="26">
        <v>10</v>
      </c>
      <c r="AO358" s="22" t="s">
        <v>2211</v>
      </c>
      <c r="AP358" s="26">
        <v>0</v>
      </c>
      <c r="AQ358" s="26">
        <f t="shared" si="65"/>
        <v>640</v>
      </c>
      <c r="AR358" s="18" t="str">
        <f ca="1">CONCATENATE(OFFSET(Sheet1!$A$2,RANDBETWEEN(2,500),0,1,1),OFFSET(Sheet1!$A$2,RANDBETWEEN(2,500),RANDBETWEEN(1,5),1,1))</f>
        <v>考珀</v>
      </c>
      <c r="AS358">
        <f>SUMPRODUCT(P358:AI358,Sheet2!$B$3:$U$3)</f>
        <v>254559</v>
      </c>
    </row>
    <row r="359" spans="1:45" x14ac:dyDescent="0.15">
      <c r="A359" s="18">
        <v>358</v>
      </c>
      <c r="B359" s="18" t="s">
        <v>1073</v>
      </c>
      <c r="C359" s="18">
        <f t="shared" si="55"/>
        <v>197</v>
      </c>
      <c r="D359" s="19">
        <f t="shared" si="56"/>
        <v>2</v>
      </c>
      <c r="E359" s="19">
        <f>VLOOKUP(MOD(A359,4),各职业基础配置!C$32:D$35,2,FALSE)</f>
        <v>6</v>
      </c>
      <c r="F359" s="19">
        <f>IF(A359&lt;900,INDEX(各职业基础配置!C$23:C$28,MOD(ROW(A359),4)+1),0)</f>
        <v>16</v>
      </c>
      <c r="G359" s="19">
        <f t="shared" si="57"/>
        <v>59</v>
      </c>
      <c r="H359" s="27">
        <f t="shared" si="58"/>
        <v>2</v>
      </c>
      <c r="I359" s="6" t="s">
        <v>164</v>
      </c>
      <c r="J359" s="23" t="str">
        <f>VLOOKUP(E359,各职业基础配置!$B$9:$C$12,2,FALSE)</f>
        <v>111|112|113|4201|115</v>
      </c>
      <c r="K359" s="18" t="str">
        <f>VLOOKUP(E359,各职业基础配置!$B$15:$C$18,2,FALSE)</f>
        <v>32|33|34</v>
      </c>
      <c r="L359" s="18" t="str">
        <f>VLOOKUP(E359,各职业基础配置!B:C,2,FALSE)</f>
        <v>[{32,1,1},{33,1,1},{34,1,1},{35,1,1},{7,1,1},{8,1,1},{9,1,1}]</v>
      </c>
      <c r="M359" s="18">
        <v>0</v>
      </c>
      <c r="N359" s="18">
        <f t="shared" si="59"/>
        <v>7</v>
      </c>
      <c r="O359" s="18">
        <f>SUMPRODUCT(P359:AI359,Sheet2!$B$3:$U$3)</f>
        <v>254534</v>
      </c>
      <c r="P359" s="18">
        <f>CEILING(INDEX([1]系统模型!$VD:$VD,MATCH(C359,[1]系统模型!$A:$A,0))*POWER(C359/220,3.8)-50+(1000-A359),1)</f>
        <v>5311</v>
      </c>
      <c r="Q359" s="18">
        <f>CEILING(INDEX([1]系统模型!$VE:$VE,MATCH(C359,[1]系统模型!$A:$A,0))*POWER(C359/220,4),1)</f>
        <v>769</v>
      </c>
      <c r="R359" s="18">
        <f>INT(INDEX([1]系统模型!$VF:$VF,MATCH(C359,[1]系统模型!$A:$A,0))*MAX(POWER(C359/180,4),0.5))</f>
        <v>44709</v>
      </c>
      <c r="S359" s="5">
        <v>1000</v>
      </c>
      <c r="T359" s="25">
        <v>0</v>
      </c>
      <c r="U359" s="25">
        <v>0</v>
      </c>
      <c r="V359" s="25">
        <v>0</v>
      </c>
      <c r="W359" s="25">
        <v>0</v>
      </c>
      <c r="X359" s="25">
        <f t="shared" si="60"/>
        <v>2235</v>
      </c>
      <c r="Y359" s="12">
        <v>0</v>
      </c>
      <c r="Z359" s="25">
        <v>100</v>
      </c>
      <c r="AA359" s="25">
        <v>150</v>
      </c>
      <c r="AB359" s="25">
        <v>0</v>
      </c>
      <c r="AC359" s="25">
        <v>0</v>
      </c>
      <c r="AD359" s="25">
        <v>0</v>
      </c>
      <c r="AE359" s="25">
        <f t="shared" si="61"/>
        <v>394</v>
      </c>
      <c r="AF359" s="25">
        <f t="shared" si="62"/>
        <v>394</v>
      </c>
      <c r="AG359" s="25">
        <v>0</v>
      </c>
      <c r="AH359" s="25">
        <f t="shared" si="63"/>
        <v>6025</v>
      </c>
      <c r="AI359" s="25">
        <f t="shared" si="64"/>
        <v>70</v>
      </c>
      <c r="AJ359" s="25">
        <v>1</v>
      </c>
      <c r="AK359" s="25">
        <v>1000</v>
      </c>
      <c r="AL359" s="25">
        <v>100</v>
      </c>
      <c r="AM359" s="26">
        <v>10</v>
      </c>
      <c r="AN359" s="26">
        <v>10</v>
      </c>
      <c r="AO359" s="22" t="s">
        <v>2211</v>
      </c>
      <c r="AP359" s="26">
        <v>0</v>
      </c>
      <c r="AQ359" s="26">
        <f t="shared" si="65"/>
        <v>640</v>
      </c>
      <c r="AR359" s="18" t="str">
        <f ca="1">CONCATENATE(OFFSET(Sheet1!$A$2,RANDBETWEEN(2,500),0,1,1),OFFSET(Sheet1!$A$2,RANDBETWEEN(2,500),RANDBETWEEN(1,5),1,1))</f>
        <v>巴雷特</v>
      </c>
      <c r="AS359">
        <f>SUMPRODUCT(P359:AI359,Sheet2!$B$3:$U$3)</f>
        <v>254534</v>
      </c>
    </row>
    <row r="360" spans="1:45" x14ac:dyDescent="0.15">
      <c r="A360" s="18">
        <v>359</v>
      </c>
      <c r="B360" s="18" t="s">
        <v>1972</v>
      </c>
      <c r="C360" s="18">
        <f t="shared" si="55"/>
        <v>196</v>
      </c>
      <c r="D360" s="19">
        <f t="shared" si="56"/>
        <v>3</v>
      </c>
      <c r="E360" s="19">
        <f>VLOOKUP(MOD(A360,4),各职业基础配置!C$32:D$35,2,FALSE)</f>
        <v>9</v>
      </c>
      <c r="F360" s="19">
        <f>IF(A360&lt;900,INDEX(各职业基础配置!C$23:C$28,MOD(ROW(A360),4)+1),0)</f>
        <v>8</v>
      </c>
      <c r="G360" s="19">
        <f t="shared" si="57"/>
        <v>58</v>
      </c>
      <c r="H360" s="27">
        <f t="shared" si="58"/>
        <v>2</v>
      </c>
      <c r="I360" s="6" t="s">
        <v>164</v>
      </c>
      <c r="J360" s="23" t="str">
        <f>VLOOKUP(E360,各职业基础配置!$B$9:$C$12,2,FALSE)</f>
        <v>116|117|118|4201|120</v>
      </c>
      <c r="K360" s="18" t="str">
        <f>VLOOKUP(E360,各职业基础配置!$B$15:$C$18,2,FALSE)</f>
        <v>28|29|30|31</v>
      </c>
      <c r="L360" s="18" t="str">
        <f>VLOOKUP(E360,各职业基础配置!B:C,2,FALSE)</f>
        <v>[{28,1,1},{29,1,1},{30,1,1},{31,1,1},{10,1,1},{11,1,1},{12,1,1}]</v>
      </c>
      <c r="M360" s="18">
        <v>0</v>
      </c>
      <c r="N360" s="18">
        <f t="shared" si="59"/>
        <v>3</v>
      </c>
      <c r="O360" s="18">
        <f>SUMPRODUCT(P360:AI360,Sheet2!$B$3:$U$3)</f>
        <v>249717</v>
      </c>
      <c r="P360" s="18">
        <f>CEILING(INDEX([1]系统模型!$VD:$VD,MATCH(C360,[1]系统模型!$A:$A,0))*POWER(C360/220,3.8)-50+(1000-A360),1)</f>
        <v>5203</v>
      </c>
      <c r="Q360" s="18">
        <f>CEILING(INDEX([1]系统模型!$VE:$VE,MATCH(C360,[1]系统模型!$A:$A,0))*POWER(C360/220,4),1)</f>
        <v>748</v>
      </c>
      <c r="R360" s="18">
        <f>INT(INDEX([1]系统模型!$VF:$VF,MATCH(C360,[1]系统模型!$A:$A,0))*MAX(POWER(C360/180,4),0.5))</f>
        <v>43617</v>
      </c>
      <c r="S360" s="5">
        <v>1000</v>
      </c>
      <c r="T360" s="25">
        <v>0</v>
      </c>
      <c r="U360" s="25">
        <v>0</v>
      </c>
      <c r="V360" s="25">
        <v>0</v>
      </c>
      <c r="W360" s="25">
        <v>0</v>
      </c>
      <c r="X360" s="25">
        <f t="shared" si="60"/>
        <v>2180</v>
      </c>
      <c r="Y360" s="12">
        <v>0</v>
      </c>
      <c r="Z360" s="25">
        <v>100</v>
      </c>
      <c r="AA360" s="25">
        <v>150</v>
      </c>
      <c r="AB360" s="25">
        <v>0</v>
      </c>
      <c r="AC360" s="25">
        <v>0</v>
      </c>
      <c r="AD360" s="25">
        <v>0</v>
      </c>
      <c r="AE360" s="25">
        <f t="shared" si="61"/>
        <v>392</v>
      </c>
      <c r="AF360" s="25">
        <f t="shared" si="62"/>
        <v>392</v>
      </c>
      <c r="AG360" s="25">
        <v>0</v>
      </c>
      <c r="AH360" s="25">
        <f t="shared" si="63"/>
        <v>5950</v>
      </c>
      <c r="AI360" s="25">
        <f t="shared" si="64"/>
        <v>69</v>
      </c>
      <c r="AJ360" s="25">
        <v>1</v>
      </c>
      <c r="AK360" s="25">
        <v>1000</v>
      </c>
      <c r="AL360" s="25">
        <v>100</v>
      </c>
      <c r="AM360" s="26">
        <v>10</v>
      </c>
      <c r="AN360" s="26">
        <v>10</v>
      </c>
      <c r="AO360" s="22" t="s">
        <v>2211</v>
      </c>
      <c r="AP360" s="26">
        <v>0</v>
      </c>
      <c r="AQ360" s="26">
        <f t="shared" si="65"/>
        <v>640</v>
      </c>
      <c r="AR360" s="18" t="str">
        <f ca="1">CONCATENATE(OFFSET(Sheet1!$A$2,RANDBETWEEN(2,500),0,1,1),OFFSET(Sheet1!$A$2,RANDBETWEEN(2,500),RANDBETWEEN(1,5),1,1))</f>
        <v>道格拉斯</v>
      </c>
      <c r="AS360">
        <f>SUMPRODUCT(P360:AI360,Sheet2!$B$3:$U$3)</f>
        <v>249717</v>
      </c>
    </row>
    <row r="361" spans="1:45" x14ac:dyDescent="0.15">
      <c r="A361" s="23">
        <v>360</v>
      </c>
      <c r="B361" s="18" t="s">
        <v>1973</v>
      </c>
      <c r="C361" s="18">
        <f t="shared" si="55"/>
        <v>196</v>
      </c>
      <c r="D361" s="19">
        <f t="shared" si="56"/>
        <v>2</v>
      </c>
      <c r="E361" s="19">
        <f>VLOOKUP(MOD(A361,4),各职业基础配置!C$32:D$35,2,FALSE)</f>
        <v>1</v>
      </c>
      <c r="F361" s="19">
        <f>IF(A361&lt;900,INDEX(各职业基础配置!C$23:C$28,MOD(ROW(A361),4)+1),0)</f>
        <v>13</v>
      </c>
      <c r="G361" s="19">
        <f t="shared" si="57"/>
        <v>58</v>
      </c>
      <c r="H361" s="27">
        <f t="shared" si="58"/>
        <v>2</v>
      </c>
      <c r="I361" s="6" t="s">
        <v>164</v>
      </c>
      <c r="J361" s="23" t="str">
        <f>VLOOKUP(E361,各职业基础配置!$B$9:$C$12,2,FALSE)</f>
        <v>101|102|103|4201|105</v>
      </c>
      <c r="K361" s="18" t="str">
        <f>VLOOKUP(E361,各职业基础配置!$B$15:$C$18,2,FALSE)</f>
        <v>24|25|26|27</v>
      </c>
      <c r="L361" s="18" t="str">
        <f>VLOOKUP(E361,各职业基础配置!B:C,2,FALSE)</f>
        <v>[{24,1,1},{25,1,1},{26,1,1},{27,1,1},{1,1,1},{2,1,1},{3,1,1}]</v>
      </c>
      <c r="M361" s="18">
        <v>0</v>
      </c>
      <c r="N361" s="18">
        <f t="shared" si="59"/>
        <v>3</v>
      </c>
      <c r="O361" s="18">
        <f>SUMPRODUCT(P361:AI361,Sheet2!$B$3:$U$3)</f>
        <v>249692</v>
      </c>
      <c r="P361" s="18">
        <f>CEILING(INDEX([1]系统模型!$VD:$VD,MATCH(C361,[1]系统模型!$A:$A,0))*POWER(C361/220,3.8)-50+(1000-A361),1)</f>
        <v>5202</v>
      </c>
      <c r="Q361" s="18">
        <f>CEILING(INDEX([1]系统模型!$VE:$VE,MATCH(C361,[1]系统模型!$A:$A,0))*POWER(C361/220,4),1)</f>
        <v>748</v>
      </c>
      <c r="R361" s="18">
        <f>INT(INDEX([1]系统模型!$VF:$VF,MATCH(C361,[1]系统模型!$A:$A,0))*MAX(POWER(C361/180,4),0.5))</f>
        <v>43617</v>
      </c>
      <c r="S361" s="5">
        <v>1000</v>
      </c>
      <c r="T361" s="25">
        <v>0</v>
      </c>
      <c r="U361" s="25">
        <v>0</v>
      </c>
      <c r="V361" s="25">
        <v>0</v>
      </c>
      <c r="W361" s="25">
        <v>0</v>
      </c>
      <c r="X361" s="25">
        <f t="shared" si="60"/>
        <v>2180</v>
      </c>
      <c r="Y361" s="12">
        <v>0</v>
      </c>
      <c r="Z361" s="25">
        <v>100</v>
      </c>
      <c r="AA361" s="25">
        <v>150</v>
      </c>
      <c r="AB361" s="25">
        <v>0</v>
      </c>
      <c r="AC361" s="25">
        <v>0</v>
      </c>
      <c r="AD361" s="25">
        <v>0</v>
      </c>
      <c r="AE361" s="25">
        <f t="shared" si="61"/>
        <v>392</v>
      </c>
      <c r="AF361" s="25">
        <f t="shared" si="62"/>
        <v>392</v>
      </c>
      <c r="AG361" s="25">
        <v>0</v>
      </c>
      <c r="AH361" s="25">
        <f t="shared" si="63"/>
        <v>5950</v>
      </c>
      <c r="AI361" s="25">
        <f t="shared" si="64"/>
        <v>69</v>
      </c>
      <c r="AJ361" s="25">
        <v>1</v>
      </c>
      <c r="AK361" s="25">
        <v>1000</v>
      </c>
      <c r="AL361" s="25">
        <v>100</v>
      </c>
      <c r="AM361" s="26">
        <v>10</v>
      </c>
      <c r="AN361" s="26">
        <v>10</v>
      </c>
      <c r="AO361" s="22" t="s">
        <v>2211</v>
      </c>
      <c r="AP361" s="26">
        <v>0</v>
      </c>
      <c r="AQ361" s="26">
        <f t="shared" si="65"/>
        <v>640</v>
      </c>
      <c r="AR361" s="18" t="str">
        <f ca="1">CONCATENATE(OFFSET(Sheet1!$A$2,RANDBETWEEN(2,500),0,1,1),OFFSET(Sheet1!$A$2,RANDBETWEEN(2,500),RANDBETWEEN(1,5),1,1))</f>
        <v>白壁德</v>
      </c>
      <c r="AS361">
        <f>SUMPRODUCT(P361:AI361,Sheet2!$B$3:$U$3)</f>
        <v>249692</v>
      </c>
    </row>
    <row r="362" spans="1:45" x14ac:dyDescent="0.15">
      <c r="A362" s="18">
        <v>361</v>
      </c>
      <c r="B362" s="18" t="s">
        <v>1216</v>
      </c>
      <c r="C362" s="18">
        <f t="shared" si="55"/>
        <v>196</v>
      </c>
      <c r="D362" s="19">
        <f t="shared" si="56"/>
        <v>3</v>
      </c>
      <c r="E362" s="19">
        <f>VLOOKUP(MOD(A362,4),各职业基础配置!C$32:D$35,2,FALSE)</f>
        <v>3</v>
      </c>
      <c r="F362" s="19">
        <f>IF(A362&lt;900,INDEX(各职业基础配置!C$23:C$28,MOD(ROW(A362),4)+1),0)</f>
        <v>14</v>
      </c>
      <c r="G362" s="19">
        <f t="shared" si="57"/>
        <v>58</v>
      </c>
      <c r="H362" s="27">
        <f t="shared" si="58"/>
        <v>2</v>
      </c>
      <c r="I362" s="6" t="s">
        <v>164</v>
      </c>
      <c r="J362" s="23" t="str">
        <f>VLOOKUP(E362,各职业基础配置!$B$9:$C$12,2,FALSE)</f>
        <v>106|107|108|4201|110</v>
      </c>
      <c r="K362" s="18" t="str">
        <f>VLOOKUP(E362,各职业基础配置!$B$15:$C$18,2,FALSE)</f>
        <v>20|21|22|23</v>
      </c>
      <c r="L362" s="18" t="str">
        <f>VLOOKUP(E362,各职业基础配置!B:C,2,FALSE)</f>
        <v>[{20,1,1},{21,1,1},{22,1,1},{23,1,1},{4,1,1},{5,1,1},{6,1,1}]</v>
      </c>
      <c r="M362" s="18">
        <v>0</v>
      </c>
      <c r="N362" s="18">
        <f t="shared" si="59"/>
        <v>7</v>
      </c>
      <c r="O362" s="18">
        <f>SUMPRODUCT(P362:AI362,Sheet2!$B$3:$U$3)</f>
        <v>249667</v>
      </c>
      <c r="P362" s="18">
        <f>CEILING(INDEX([1]系统模型!$VD:$VD,MATCH(C362,[1]系统模型!$A:$A,0))*POWER(C362/220,3.8)-50+(1000-A362),1)</f>
        <v>5201</v>
      </c>
      <c r="Q362" s="18">
        <f>CEILING(INDEX([1]系统模型!$VE:$VE,MATCH(C362,[1]系统模型!$A:$A,0))*POWER(C362/220,4),1)</f>
        <v>748</v>
      </c>
      <c r="R362" s="18">
        <f>INT(INDEX([1]系统模型!$VF:$VF,MATCH(C362,[1]系统模型!$A:$A,0))*MAX(POWER(C362/180,4),0.5))</f>
        <v>43617</v>
      </c>
      <c r="S362" s="5">
        <v>1000</v>
      </c>
      <c r="T362" s="25">
        <v>0</v>
      </c>
      <c r="U362" s="25">
        <v>0</v>
      </c>
      <c r="V362" s="25">
        <v>0</v>
      </c>
      <c r="W362" s="25">
        <v>0</v>
      </c>
      <c r="X362" s="25">
        <f t="shared" si="60"/>
        <v>2180</v>
      </c>
      <c r="Y362" s="12">
        <v>0</v>
      </c>
      <c r="Z362" s="25">
        <v>100</v>
      </c>
      <c r="AA362" s="25">
        <v>150</v>
      </c>
      <c r="AB362" s="25">
        <v>0</v>
      </c>
      <c r="AC362" s="25">
        <v>0</v>
      </c>
      <c r="AD362" s="25">
        <v>0</v>
      </c>
      <c r="AE362" s="25">
        <f t="shared" si="61"/>
        <v>392</v>
      </c>
      <c r="AF362" s="25">
        <f t="shared" si="62"/>
        <v>392</v>
      </c>
      <c r="AG362" s="25">
        <v>0</v>
      </c>
      <c r="AH362" s="25">
        <f t="shared" si="63"/>
        <v>5950</v>
      </c>
      <c r="AI362" s="25">
        <f t="shared" si="64"/>
        <v>69</v>
      </c>
      <c r="AJ362" s="25">
        <v>1</v>
      </c>
      <c r="AK362" s="25">
        <v>1000</v>
      </c>
      <c r="AL362" s="25">
        <v>100</v>
      </c>
      <c r="AM362" s="26">
        <v>10</v>
      </c>
      <c r="AN362" s="26">
        <v>10</v>
      </c>
      <c r="AO362" s="22" t="s">
        <v>2211</v>
      </c>
      <c r="AP362" s="26">
        <v>0</v>
      </c>
      <c r="AQ362" s="26">
        <f t="shared" si="65"/>
        <v>640</v>
      </c>
      <c r="AR362" s="18" t="str">
        <f ca="1">CONCATENATE(OFFSET(Sheet1!$A$2,RANDBETWEEN(2,500),0,1,1),OFFSET(Sheet1!$A$2,RANDBETWEEN(2,500),RANDBETWEEN(1,5),1,1))</f>
        <v>道尔顿</v>
      </c>
      <c r="AS362">
        <f>SUMPRODUCT(P362:AI362,Sheet2!$B$3:$U$3)</f>
        <v>249667</v>
      </c>
    </row>
    <row r="363" spans="1:45" x14ac:dyDescent="0.15">
      <c r="A363" s="18">
        <v>362</v>
      </c>
      <c r="B363" s="18" t="s">
        <v>1080</v>
      </c>
      <c r="C363" s="18">
        <f t="shared" si="55"/>
        <v>196</v>
      </c>
      <c r="D363" s="19">
        <f t="shared" si="56"/>
        <v>2</v>
      </c>
      <c r="E363" s="19">
        <f>VLOOKUP(MOD(A363,4),各职业基础配置!C$32:D$35,2,FALSE)</f>
        <v>6</v>
      </c>
      <c r="F363" s="19">
        <f>IF(A363&lt;900,INDEX(各职业基础配置!C$23:C$28,MOD(ROW(A363),4)+1),0)</f>
        <v>16</v>
      </c>
      <c r="G363" s="19">
        <f t="shared" si="57"/>
        <v>58</v>
      </c>
      <c r="H363" s="27">
        <f t="shared" si="58"/>
        <v>2</v>
      </c>
      <c r="I363" s="6" t="s">
        <v>164</v>
      </c>
      <c r="J363" s="23" t="str">
        <f>VLOOKUP(E363,各职业基础配置!$B$9:$C$12,2,FALSE)</f>
        <v>111|112|113|4201|115</v>
      </c>
      <c r="K363" s="18" t="str">
        <f>VLOOKUP(E363,各职业基础配置!$B$15:$C$18,2,FALSE)</f>
        <v>32|33|34</v>
      </c>
      <c r="L363" s="18" t="str">
        <f>VLOOKUP(E363,各职业基础配置!B:C,2,FALSE)</f>
        <v>[{32,1,1},{33,1,1},{34,1,1},{35,1,1},{7,1,1},{8,1,1},{9,1,1}]</v>
      </c>
      <c r="M363" s="18">
        <v>0</v>
      </c>
      <c r="N363" s="18">
        <f t="shared" si="59"/>
        <v>7</v>
      </c>
      <c r="O363" s="18">
        <f>SUMPRODUCT(P363:AI363,Sheet2!$B$3:$U$3)</f>
        <v>249642</v>
      </c>
      <c r="P363" s="18">
        <f>CEILING(INDEX([1]系统模型!$VD:$VD,MATCH(C363,[1]系统模型!$A:$A,0))*POWER(C363/220,3.8)-50+(1000-A363),1)</f>
        <v>5200</v>
      </c>
      <c r="Q363" s="18">
        <f>CEILING(INDEX([1]系统模型!$VE:$VE,MATCH(C363,[1]系统模型!$A:$A,0))*POWER(C363/220,4),1)</f>
        <v>748</v>
      </c>
      <c r="R363" s="18">
        <f>INT(INDEX([1]系统模型!$VF:$VF,MATCH(C363,[1]系统模型!$A:$A,0))*MAX(POWER(C363/180,4),0.5))</f>
        <v>43617</v>
      </c>
      <c r="S363" s="5">
        <v>1000</v>
      </c>
      <c r="T363" s="25">
        <v>0</v>
      </c>
      <c r="U363" s="25">
        <v>0</v>
      </c>
      <c r="V363" s="25">
        <v>0</v>
      </c>
      <c r="W363" s="25">
        <v>0</v>
      </c>
      <c r="X363" s="25">
        <f t="shared" si="60"/>
        <v>2180</v>
      </c>
      <c r="Y363" s="12">
        <v>0</v>
      </c>
      <c r="Z363" s="25">
        <v>100</v>
      </c>
      <c r="AA363" s="25">
        <v>150</v>
      </c>
      <c r="AB363" s="25">
        <v>0</v>
      </c>
      <c r="AC363" s="25">
        <v>0</v>
      </c>
      <c r="AD363" s="25">
        <v>0</v>
      </c>
      <c r="AE363" s="25">
        <f t="shared" si="61"/>
        <v>392</v>
      </c>
      <c r="AF363" s="25">
        <f t="shared" si="62"/>
        <v>392</v>
      </c>
      <c r="AG363" s="25">
        <v>0</v>
      </c>
      <c r="AH363" s="25">
        <f t="shared" si="63"/>
        <v>5950</v>
      </c>
      <c r="AI363" s="25">
        <f t="shared" si="64"/>
        <v>69</v>
      </c>
      <c r="AJ363" s="25">
        <v>1</v>
      </c>
      <c r="AK363" s="25">
        <v>1000</v>
      </c>
      <c r="AL363" s="25">
        <v>100</v>
      </c>
      <c r="AM363" s="26">
        <v>10</v>
      </c>
      <c r="AN363" s="26">
        <v>10</v>
      </c>
      <c r="AO363" s="22" t="s">
        <v>2211</v>
      </c>
      <c r="AP363" s="26">
        <v>0</v>
      </c>
      <c r="AQ363" s="26">
        <f t="shared" si="65"/>
        <v>640</v>
      </c>
      <c r="AR363" s="18" t="str">
        <f ca="1">CONCATENATE(OFFSET(Sheet1!$A$2,RANDBETWEEN(2,500),0,1,1),OFFSET(Sheet1!$A$2,RANDBETWEEN(2,500),RANDBETWEEN(1,5),1,1))</f>
        <v>埃米迷糊</v>
      </c>
      <c r="AS363">
        <f>SUMPRODUCT(P363:AI363,Sheet2!$B$3:$U$3)</f>
        <v>249642</v>
      </c>
    </row>
    <row r="364" spans="1:45" x14ac:dyDescent="0.15">
      <c r="A364" s="23">
        <v>363</v>
      </c>
      <c r="B364" s="18" t="s">
        <v>1974</v>
      </c>
      <c r="C364" s="18">
        <f t="shared" si="55"/>
        <v>196</v>
      </c>
      <c r="D364" s="19">
        <f t="shared" si="56"/>
        <v>3</v>
      </c>
      <c r="E364" s="19">
        <f>VLOOKUP(MOD(A364,4),各职业基础配置!C$32:D$35,2,FALSE)</f>
        <v>9</v>
      </c>
      <c r="F364" s="19">
        <f>IF(A364&lt;900,INDEX(各职业基础配置!C$23:C$28,MOD(ROW(A364),4)+1),0)</f>
        <v>8</v>
      </c>
      <c r="G364" s="19">
        <f t="shared" si="57"/>
        <v>58</v>
      </c>
      <c r="H364" s="27">
        <f t="shared" si="58"/>
        <v>2</v>
      </c>
      <c r="I364" s="6" t="s">
        <v>164</v>
      </c>
      <c r="J364" s="23" t="str">
        <f>VLOOKUP(E364,各职业基础配置!$B$9:$C$12,2,FALSE)</f>
        <v>116|117|118|4201|120</v>
      </c>
      <c r="K364" s="18" t="str">
        <f>VLOOKUP(E364,各职业基础配置!$B$15:$C$18,2,FALSE)</f>
        <v>28|29|30|31</v>
      </c>
      <c r="L364" s="18" t="str">
        <f>VLOOKUP(E364,各职业基础配置!B:C,2,FALSE)</f>
        <v>[{28,1,1},{29,1,1},{30,1,1},{31,1,1},{10,1,1},{11,1,1},{12,1,1}]</v>
      </c>
      <c r="M364" s="18">
        <v>0</v>
      </c>
      <c r="N364" s="18">
        <f t="shared" si="59"/>
        <v>3</v>
      </c>
      <c r="O364" s="18">
        <f>SUMPRODUCT(P364:AI364,Sheet2!$B$3:$U$3)</f>
        <v>249617</v>
      </c>
      <c r="P364" s="18">
        <f>CEILING(INDEX([1]系统模型!$VD:$VD,MATCH(C364,[1]系统模型!$A:$A,0))*POWER(C364/220,3.8)-50+(1000-A364),1)</f>
        <v>5199</v>
      </c>
      <c r="Q364" s="18">
        <f>CEILING(INDEX([1]系统模型!$VE:$VE,MATCH(C364,[1]系统模型!$A:$A,0))*POWER(C364/220,4),1)</f>
        <v>748</v>
      </c>
      <c r="R364" s="18">
        <f>INT(INDEX([1]系统模型!$VF:$VF,MATCH(C364,[1]系统模型!$A:$A,0))*MAX(POWER(C364/180,4),0.5))</f>
        <v>43617</v>
      </c>
      <c r="S364" s="5">
        <v>1000</v>
      </c>
      <c r="T364" s="25">
        <v>0</v>
      </c>
      <c r="U364" s="25">
        <v>0</v>
      </c>
      <c r="V364" s="25">
        <v>0</v>
      </c>
      <c r="W364" s="25">
        <v>0</v>
      </c>
      <c r="X364" s="25">
        <f t="shared" si="60"/>
        <v>2180</v>
      </c>
      <c r="Y364" s="12">
        <v>0</v>
      </c>
      <c r="Z364" s="25">
        <v>100</v>
      </c>
      <c r="AA364" s="25">
        <v>150</v>
      </c>
      <c r="AB364" s="25">
        <v>0</v>
      </c>
      <c r="AC364" s="25">
        <v>0</v>
      </c>
      <c r="AD364" s="25">
        <v>0</v>
      </c>
      <c r="AE364" s="25">
        <f t="shared" si="61"/>
        <v>392</v>
      </c>
      <c r="AF364" s="25">
        <f t="shared" si="62"/>
        <v>392</v>
      </c>
      <c r="AG364" s="25">
        <v>0</v>
      </c>
      <c r="AH364" s="25">
        <f t="shared" si="63"/>
        <v>5950</v>
      </c>
      <c r="AI364" s="25">
        <f t="shared" si="64"/>
        <v>69</v>
      </c>
      <c r="AJ364" s="25">
        <v>1</v>
      </c>
      <c r="AK364" s="25">
        <v>1000</v>
      </c>
      <c r="AL364" s="25">
        <v>100</v>
      </c>
      <c r="AM364" s="26">
        <v>10</v>
      </c>
      <c r="AN364" s="26">
        <v>10</v>
      </c>
      <c r="AO364" s="22" t="s">
        <v>2211</v>
      </c>
      <c r="AP364" s="26">
        <v>0</v>
      </c>
      <c r="AQ364" s="26">
        <f t="shared" si="65"/>
        <v>630</v>
      </c>
      <c r="AR364" s="18" t="str">
        <f ca="1">CONCATENATE(OFFSET(Sheet1!$A$2,RANDBETWEEN(2,500),0,1,1),OFFSET(Sheet1!$A$2,RANDBETWEEN(2,500),RANDBETWEEN(1,5),1,1))</f>
        <v>欧内斯特梵妮</v>
      </c>
      <c r="AS364">
        <f>SUMPRODUCT(P364:AI364,Sheet2!$B$3:$U$3)</f>
        <v>249617</v>
      </c>
    </row>
    <row r="365" spans="1:45" x14ac:dyDescent="0.15">
      <c r="A365" s="18">
        <v>364</v>
      </c>
      <c r="B365" s="18" t="s">
        <v>1348</v>
      </c>
      <c r="C365" s="18">
        <f t="shared" si="55"/>
        <v>196</v>
      </c>
      <c r="D365" s="19">
        <f t="shared" si="56"/>
        <v>2</v>
      </c>
      <c r="E365" s="19">
        <f>VLOOKUP(MOD(A365,4),各职业基础配置!C$32:D$35,2,FALSE)</f>
        <v>1</v>
      </c>
      <c r="F365" s="19">
        <f>IF(A365&lt;900,INDEX(各职业基础配置!C$23:C$28,MOD(ROW(A365),4)+1),0)</f>
        <v>13</v>
      </c>
      <c r="G365" s="19">
        <f t="shared" si="57"/>
        <v>58</v>
      </c>
      <c r="H365" s="27">
        <f t="shared" si="58"/>
        <v>2</v>
      </c>
      <c r="I365" s="6" t="s">
        <v>164</v>
      </c>
      <c r="J365" s="23" t="str">
        <f>VLOOKUP(E365,各职业基础配置!$B$9:$C$12,2,FALSE)</f>
        <v>101|102|103|4201|105</v>
      </c>
      <c r="K365" s="18" t="str">
        <f>VLOOKUP(E365,各职业基础配置!$B$15:$C$18,2,FALSE)</f>
        <v>24|25|26|27</v>
      </c>
      <c r="L365" s="18" t="str">
        <f>VLOOKUP(E365,各职业基础配置!B:C,2,FALSE)</f>
        <v>[{24,1,1},{25,1,1},{26,1,1},{27,1,1},{1,1,1},{2,1,1},{3,1,1}]</v>
      </c>
      <c r="M365" s="18">
        <v>0</v>
      </c>
      <c r="N365" s="18">
        <f t="shared" si="59"/>
        <v>3</v>
      </c>
      <c r="O365" s="18">
        <f>SUMPRODUCT(P365:AI365,Sheet2!$B$3:$U$3)</f>
        <v>249592</v>
      </c>
      <c r="P365" s="18">
        <f>CEILING(INDEX([1]系统模型!$VD:$VD,MATCH(C365,[1]系统模型!$A:$A,0))*POWER(C365/220,3.8)-50+(1000-A365),1)</f>
        <v>5198</v>
      </c>
      <c r="Q365" s="18">
        <f>CEILING(INDEX([1]系统模型!$VE:$VE,MATCH(C365,[1]系统模型!$A:$A,0))*POWER(C365/220,4),1)</f>
        <v>748</v>
      </c>
      <c r="R365" s="18">
        <f>INT(INDEX([1]系统模型!$VF:$VF,MATCH(C365,[1]系统模型!$A:$A,0))*MAX(POWER(C365/180,4),0.5))</f>
        <v>43617</v>
      </c>
      <c r="S365" s="5">
        <v>1000</v>
      </c>
      <c r="T365" s="25">
        <v>0</v>
      </c>
      <c r="U365" s="25">
        <v>0</v>
      </c>
      <c r="V365" s="25">
        <v>0</v>
      </c>
      <c r="W365" s="25">
        <v>0</v>
      </c>
      <c r="X365" s="25">
        <f t="shared" si="60"/>
        <v>2180</v>
      </c>
      <c r="Y365" s="12">
        <v>0</v>
      </c>
      <c r="Z365" s="25">
        <v>100</v>
      </c>
      <c r="AA365" s="25">
        <v>150</v>
      </c>
      <c r="AB365" s="25">
        <v>0</v>
      </c>
      <c r="AC365" s="25">
        <v>0</v>
      </c>
      <c r="AD365" s="25">
        <v>0</v>
      </c>
      <c r="AE365" s="25">
        <f t="shared" si="61"/>
        <v>392</v>
      </c>
      <c r="AF365" s="25">
        <f t="shared" si="62"/>
        <v>392</v>
      </c>
      <c r="AG365" s="25">
        <v>0</v>
      </c>
      <c r="AH365" s="25">
        <f t="shared" si="63"/>
        <v>5950</v>
      </c>
      <c r="AI365" s="25">
        <f t="shared" si="64"/>
        <v>69</v>
      </c>
      <c r="AJ365" s="25">
        <v>1</v>
      </c>
      <c r="AK365" s="25">
        <v>1000</v>
      </c>
      <c r="AL365" s="25">
        <v>100</v>
      </c>
      <c r="AM365" s="26">
        <v>10</v>
      </c>
      <c r="AN365" s="26">
        <v>10</v>
      </c>
      <c r="AO365" s="22" t="s">
        <v>2211</v>
      </c>
      <c r="AP365" s="26">
        <v>0</v>
      </c>
      <c r="AQ365" s="26">
        <f t="shared" si="65"/>
        <v>630</v>
      </c>
      <c r="AR365" s="18" t="str">
        <f ca="1">CONCATENATE(OFFSET(Sheet1!$A$2,RANDBETWEEN(2,500),0,1,1),OFFSET(Sheet1!$A$2,RANDBETWEEN(2,500),RANDBETWEEN(1,5),1,1))</f>
        <v>科南西莱斯特</v>
      </c>
      <c r="AS365">
        <f>SUMPRODUCT(P365:AI365,Sheet2!$B$3:$U$3)</f>
        <v>249592</v>
      </c>
    </row>
    <row r="366" spans="1:45" x14ac:dyDescent="0.15">
      <c r="A366" s="18">
        <v>365</v>
      </c>
      <c r="B366" s="18" t="s">
        <v>1375</v>
      </c>
      <c r="C366" s="18">
        <f t="shared" si="55"/>
        <v>195</v>
      </c>
      <c r="D366" s="19">
        <f t="shared" si="56"/>
        <v>3</v>
      </c>
      <c r="E366" s="19">
        <f>VLOOKUP(MOD(A366,4),各职业基础配置!C$32:D$35,2,FALSE)</f>
        <v>3</v>
      </c>
      <c r="F366" s="19">
        <f>IF(A366&lt;900,INDEX(各职业基础配置!C$23:C$28,MOD(ROW(A366),4)+1),0)</f>
        <v>14</v>
      </c>
      <c r="G366" s="19">
        <f t="shared" si="57"/>
        <v>56</v>
      </c>
      <c r="H366" s="27">
        <f t="shared" si="58"/>
        <v>2</v>
      </c>
      <c r="I366" s="6" t="s">
        <v>164</v>
      </c>
      <c r="J366" s="23" t="str">
        <f>VLOOKUP(E366,各职业基础配置!$B$9:$C$12,2,FALSE)</f>
        <v>106|107|108|4201|110</v>
      </c>
      <c r="K366" s="18" t="str">
        <f>VLOOKUP(E366,各职业基础配置!$B$15:$C$18,2,FALSE)</f>
        <v>20|21|22|23</v>
      </c>
      <c r="L366" s="18" t="str">
        <f>VLOOKUP(E366,各职业基础配置!B:C,2,FALSE)</f>
        <v>[{20,1,1},{21,1,1},{22,1,1},{23,1,1},{4,1,1},{5,1,1},{6,1,1}]</v>
      </c>
      <c r="M366" s="18">
        <v>0</v>
      </c>
      <c r="N366" s="18">
        <f t="shared" si="59"/>
        <v>7</v>
      </c>
      <c r="O366" s="18">
        <f>SUMPRODUCT(P366:AI366,Sheet2!$B$3:$U$3)</f>
        <v>244268</v>
      </c>
      <c r="P366" s="18">
        <f>CEILING(INDEX([1]系统模型!$VD:$VD,MATCH(C366,[1]系统模型!$A:$A,0))*POWER(C366/220,3.8)-50+(1000-A366),1)</f>
        <v>5078</v>
      </c>
      <c r="Q366" s="18">
        <f>CEILING(INDEX([1]系统模型!$VE:$VE,MATCH(C366,[1]系统模型!$A:$A,0))*POWER(C366/220,4),1)</f>
        <v>725</v>
      </c>
      <c r="R366" s="18">
        <f>INT(INDEX([1]系统模型!$VF:$VF,MATCH(C366,[1]系统模型!$A:$A,0))*MAX(POWER(C366/180,4),0.5))</f>
        <v>42393</v>
      </c>
      <c r="S366" s="5">
        <v>1000</v>
      </c>
      <c r="T366" s="25">
        <v>0</v>
      </c>
      <c r="U366" s="25">
        <v>0</v>
      </c>
      <c r="V366" s="25">
        <v>0</v>
      </c>
      <c r="W366" s="25">
        <v>0</v>
      </c>
      <c r="X366" s="25">
        <f t="shared" si="60"/>
        <v>2119</v>
      </c>
      <c r="Y366" s="12">
        <v>0</v>
      </c>
      <c r="Z366" s="25">
        <v>100</v>
      </c>
      <c r="AA366" s="25">
        <v>150</v>
      </c>
      <c r="AB366" s="25">
        <v>0</v>
      </c>
      <c r="AC366" s="25">
        <v>0</v>
      </c>
      <c r="AD366" s="25">
        <v>0</v>
      </c>
      <c r="AE366" s="25">
        <f t="shared" si="61"/>
        <v>390</v>
      </c>
      <c r="AF366" s="25">
        <f t="shared" si="62"/>
        <v>390</v>
      </c>
      <c r="AG366" s="25">
        <v>0</v>
      </c>
      <c r="AH366" s="25">
        <f t="shared" si="63"/>
        <v>5875</v>
      </c>
      <c r="AI366" s="25">
        <f t="shared" si="64"/>
        <v>67</v>
      </c>
      <c r="AJ366" s="25">
        <v>1</v>
      </c>
      <c r="AK366" s="25">
        <v>1000</v>
      </c>
      <c r="AL366" s="25">
        <v>100</v>
      </c>
      <c r="AM366" s="26">
        <v>10</v>
      </c>
      <c r="AN366" s="26">
        <v>10</v>
      </c>
      <c r="AO366" s="22" t="s">
        <v>2211</v>
      </c>
      <c r="AP366" s="26">
        <v>0</v>
      </c>
      <c r="AQ366" s="26">
        <f t="shared" si="65"/>
        <v>630</v>
      </c>
      <c r="AR366" s="18" t="str">
        <f ca="1">CONCATENATE(OFFSET(Sheet1!$A$2,RANDBETWEEN(2,500),0,1,1),OFFSET(Sheet1!$A$2,RANDBETWEEN(2,500),RANDBETWEEN(1,5),1,1))</f>
        <v>杰里朱莉</v>
      </c>
      <c r="AS366">
        <f>SUMPRODUCT(P366:AI366,Sheet2!$B$3:$U$3)</f>
        <v>244268</v>
      </c>
    </row>
    <row r="367" spans="1:45" x14ac:dyDescent="0.15">
      <c r="A367" s="23">
        <v>366</v>
      </c>
      <c r="B367" s="18" t="s">
        <v>1975</v>
      </c>
      <c r="C367" s="18">
        <f t="shared" si="55"/>
        <v>195</v>
      </c>
      <c r="D367" s="19">
        <f t="shared" si="56"/>
        <v>2</v>
      </c>
      <c r="E367" s="19">
        <f>VLOOKUP(MOD(A367,4),各职业基础配置!C$32:D$35,2,FALSE)</f>
        <v>6</v>
      </c>
      <c r="F367" s="19">
        <f>IF(A367&lt;900,INDEX(各职业基础配置!C$23:C$28,MOD(ROW(A367),4)+1),0)</f>
        <v>16</v>
      </c>
      <c r="G367" s="19">
        <f t="shared" si="57"/>
        <v>56</v>
      </c>
      <c r="H367" s="27">
        <f t="shared" si="58"/>
        <v>2</v>
      </c>
      <c r="I367" s="6" t="s">
        <v>164</v>
      </c>
      <c r="J367" s="23" t="str">
        <f>VLOOKUP(E367,各职业基础配置!$B$9:$C$12,2,FALSE)</f>
        <v>111|112|113|4201|115</v>
      </c>
      <c r="K367" s="18" t="str">
        <f>VLOOKUP(E367,各职业基础配置!$B$15:$C$18,2,FALSE)</f>
        <v>32|33|34</v>
      </c>
      <c r="L367" s="18" t="str">
        <f>VLOOKUP(E367,各职业基础配置!B:C,2,FALSE)</f>
        <v>[{32,1,1},{33,1,1},{34,1,1},{35,1,1},{7,1,1},{8,1,1},{9,1,1}]</v>
      </c>
      <c r="M367" s="18">
        <v>0</v>
      </c>
      <c r="N367" s="18">
        <f t="shared" si="59"/>
        <v>7</v>
      </c>
      <c r="O367" s="18">
        <f>SUMPRODUCT(P367:AI367,Sheet2!$B$3:$U$3)</f>
        <v>244243</v>
      </c>
      <c r="P367" s="18">
        <f>CEILING(INDEX([1]系统模型!$VD:$VD,MATCH(C367,[1]系统模型!$A:$A,0))*POWER(C367/220,3.8)-50+(1000-A367),1)</f>
        <v>5077</v>
      </c>
      <c r="Q367" s="18">
        <f>CEILING(INDEX([1]系统模型!$VE:$VE,MATCH(C367,[1]系统模型!$A:$A,0))*POWER(C367/220,4),1)</f>
        <v>725</v>
      </c>
      <c r="R367" s="18">
        <f>INT(INDEX([1]系统模型!$VF:$VF,MATCH(C367,[1]系统模型!$A:$A,0))*MAX(POWER(C367/180,4),0.5))</f>
        <v>42393</v>
      </c>
      <c r="S367" s="5">
        <v>1000</v>
      </c>
      <c r="T367" s="25">
        <v>0</v>
      </c>
      <c r="U367" s="25">
        <v>0</v>
      </c>
      <c r="V367" s="25">
        <v>0</v>
      </c>
      <c r="W367" s="25">
        <v>0</v>
      </c>
      <c r="X367" s="25">
        <f t="shared" si="60"/>
        <v>2119</v>
      </c>
      <c r="Y367" s="12">
        <v>0</v>
      </c>
      <c r="Z367" s="25">
        <v>100</v>
      </c>
      <c r="AA367" s="25">
        <v>150</v>
      </c>
      <c r="AB367" s="25">
        <v>0</v>
      </c>
      <c r="AC367" s="25">
        <v>0</v>
      </c>
      <c r="AD367" s="25">
        <v>0</v>
      </c>
      <c r="AE367" s="25">
        <f t="shared" si="61"/>
        <v>390</v>
      </c>
      <c r="AF367" s="25">
        <f t="shared" si="62"/>
        <v>390</v>
      </c>
      <c r="AG367" s="25">
        <v>0</v>
      </c>
      <c r="AH367" s="25">
        <f t="shared" si="63"/>
        <v>5875</v>
      </c>
      <c r="AI367" s="25">
        <f t="shared" si="64"/>
        <v>67</v>
      </c>
      <c r="AJ367" s="25">
        <v>1</v>
      </c>
      <c r="AK367" s="25">
        <v>1000</v>
      </c>
      <c r="AL367" s="25">
        <v>100</v>
      </c>
      <c r="AM367" s="26">
        <v>10</v>
      </c>
      <c r="AN367" s="26">
        <v>10</v>
      </c>
      <c r="AO367" s="22" t="s">
        <v>2211</v>
      </c>
      <c r="AP367" s="26">
        <v>0</v>
      </c>
      <c r="AQ367" s="26">
        <f t="shared" si="65"/>
        <v>630</v>
      </c>
      <c r="AR367" s="18" t="str">
        <f ca="1">CONCATENATE(OFFSET(Sheet1!$A$2,RANDBETWEEN(2,500),0,1,1),OFFSET(Sheet1!$A$2,RANDBETWEEN(2,500),RANDBETWEEN(1,5),1,1))</f>
        <v>布鲁斯</v>
      </c>
      <c r="AS367">
        <f>SUMPRODUCT(P367:AI367,Sheet2!$B$3:$U$3)</f>
        <v>244243</v>
      </c>
    </row>
    <row r="368" spans="1:45" x14ac:dyDescent="0.15">
      <c r="A368" s="18">
        <v>367</v>
      </c>
      <c r="B368" s="18" t="s">
        <v>257</v>
      </c>
      <c r="C368" s="18">
        <f t="shared" si="55"/>
        <v>195</v>
      </c>
      <c r="D368" s="19">
        <f t="shared" si="56"/>
        <v>3</v>
      </c>
      <c r="E368" s="19">
        <f>VLOOKUP(MOD(A368,4),各职业基础配置!C$32:D$35,2,FALSE)</f>
        <v>9</v>
      </c>
      <c r="F368" s="19">
        <f>IF(A368&lt;900,INDEX(各职业基础配置!C$23:C$28,MOD(ROW(A368),4)+1),0)</f>
        <v>8</v>
      </c>
      <c r="G368" s="19">
        <f t="shared" si="57"/>
        <v>56</v>
      </c>
      <c r="H368" s="27">
        <f t="shared" si="58"/>
        <v>2</v>
      </c>
      <c r="I368" s="6" t="s">
        <v>164</v>
      </c>
      <c r="J368" s="23" t="str">
        <f>VLOOKUP(E368,各职业基础配置!$B$9:$C$12,2,FALSE)</f>
        <v>116|117|118|4201|120</v>
      </c>
      <c r="K368" s="18" t="str">
        <f>VLOOKUP(E368,各职业基础配置!$B$15:$C$18,2,FALSE)</f>
        <v>28|29|30|31</v>
      </c>
      <c r="L368" s="18" t="str">
        <f>VLOOKUP(E368,各职业基础配置!B:C,2,FALSE)</f>
        <v>[{28,1,1},{29,1,1},{30,1,1},{31,1,1},{10,1,1},{11,1,1},{12,1,1}]</v>
      </c>
      <c r="M368" s="18">
        <v>0</v>
      </c>
      <c r="N368" s="18">
        <f t="shared" si="59"/>
        <v>3</v>
      </c>
      <c r="O368" s="18">
        <f>SUMPRODUCT(P368:AI368,Sheet2!$B$3:$U$3)</f>
        <v>244218</v>
      </c>
      <c r="P368" s="18">
        <f>CEILING(INDEX([1]系统模型!$VD:$VD,MATCH(C368,[1]系统模型!$A:$A,0))*POWER(C368/220,3.8)-50+(1000-A368),1)</f>
        <v>5076</v>
      </c>
      <c r="Q368" s="18">
        <f>CEILING(INDEX([1]系统模型!$VE:$VE,MATCH(C368,[1]系统模型!$A:$A,0))*POWER(C368/220,4),1)</f>
        <v>725</v>
      </c>
      <c r="R368" s="18">
        <f>INT(INDEX([1]系统模型!$VF:$VF,MATCH(C368,[1]系统模型!$A:$A,0))*MAX(POWER(C368/180,4),0.5))</f>
        <v>42393</v>
      </c>
      <c r="S368" s="5">
        <v>1000</v>
      </c>
      <c r="T368" s="25">
        <v>0</v>
      </c>
      <c r="U368" s="25">
        <v>0</v>
      </c>
      <c r="V368" s="25">
        <v>0</v>
      </c>
      <c r="W368" s="25">
        <v>0</v>
      </c>
      <c r="X368" s="25">
        <f t="shared" si="60"/>
        <v>2119</v>
      </c>
      <c r="Y368" s="12">
        <v>0</v>
      </c>
      <c r="Z368" s="25">
        <v>100</v>
      </c>
      <c r="AA368" s="25">
        <v>150</v>
      </c>
      <c r="AB368" s="25">
        <v>0</v>
      </c>
      <c r="AC368" s="25">
        <v>0</v>
      </c>
      <c r="AD368" s="25">
        <v>0</v>
      </c>
      <c r="AE368" s="25">
        <f t="shared" si="61"/>
        <v>390</v>
      </c>
      <c r="AF368" s="25">
        <f t="shared" si="62"/>
        <v>390</v>
      </c>
      <c r="AG368" s="25">
        <v>0</v>
      </c>
      <c r="AH368" s="25">
        <f t="shared" si="63"/>
        <v>5875</v>
      </c>
      <c r="AI368" s="25">
        <f t="shared" si="64"/>
        <v>67</v>
      </c>
      <c r="AJ368" s="25">
        <v>1</v>
      </c>
      <c r="AK368" s="25">
        <v>1000</v>
      </c>
      <c r="AL368" s="25">
        <v>100</v>
      </c>
      <c r="AM368" s="26">
        <v>10</v>
      </c>
      <c r="AN368" s="26">
        <v>10</v>
      </c>
      <c r="AO368" s="22" t="s">
        <v>2211</v>
      </c>
      <c r="AP368" s="26">
        <v>0</v>
      </c>
      <c r="AQ368" s="26">
        <f t="shared" si="65"/>
        <v>630</v>
      </c>
      <c r="AR368" s="18" t="str">
        <f ca="1">CONCATENATE(OFFSET(Sheet1!$A$2,RANDBETWEEN(2,500),0,1,1),OFFSET(Sheet1!$A$2,RANDBETWEEN(2,500),RANDBETWEEN(1,5),1,1))</f>
        <v>欧文</v>
      </c>
      <c r="AS368">
        <f>SUMPRODUCT(P368:AI368,Sheet2!$B$3:$U$3)</f>
        <v>244218</v>
      </c>
    </row>
    <row r="369" spans="1:45" x14ac:dyDescent="0.15">
      <c r="A369" s="18">
        <v>368</v>
      </c>
      <c r="B369" s="18" t="s">
        <v>1001</v>
      </c>
      <c r="C369" s="18">
        <f t="shared" si="55"/>
        <v>195</v>
      </c>
      <c r="D369" s="19">
        <f t="shared" si="56"/>
        <v>2</v>
      </c>
      <c r="E369" s="19">
        <f>VLOOKUP(MOD(A369,4),各职业基础配置!C$32:D$35,2,FALSE)</f>
        <v>1</v>
      </c>
      <c r="F369" s="19">
        <f>IF(A369&lt;900,INDEX(各职业基础配置!C$23:C$28,MOD(ROW(A369),4)+1),0)</f>
        <v>13</v>
      </c>
      <c r="G369" s="19">
        <f t="shared" si="57"/>
        <v>56</v>
      </c>
      <c r="H369" s="27">
        <f t="shared" si="58"/>
        <v>2</v>
      </c>
      <c r="I369" s="6" t="s">
        <v>164</v>
      </c>
      <c r="J369" s="23" t="str">
        <f>VLOOKUP(E369,各职业基础配置!$B$9:$C$12,2,FALSE)</f>
        <v>101|102|103|4201|105</v>
      </c>
      <c r="K369" s="18" t="str">
        <f>VLOOKUP(E369,各职业基础配置!$B$15:$C$18,2,FALSE)</f>
        <v>24|25|26|27</v>
      </c>
      <c r="L369" s="18" t="str">
        <f>VLOOKUP(E369,各职业基础配置!B:C,2,FALSE)</f>
        <v>[{24,1,1},{25,1,1},{26,1,1},{27,1,1},{1,1,1},{2,1,1},{3,1,1}]</v>
      </c>
      <c r="M369" s="18">
        <v>0</v>
      </c>
      <c r="N369" s="18">
        <f t="shared" si="59"/>
        <v>3</v>
      </c>
      <c r="O369" s="18">
        <f>SUMPRODUCT(P369:AI369,Sheet2!$B$3:$U$3)</f>
        <v>244193</v>
      </c>
      <c r="P369" s="18">
        <f>CEILING(INDEX([1]系统模型!$VD:$VD,MATCH(C369,[1]系统模型!$A:$A,0))*POWER(C369/220,3.8)-50+(1000-A369),1)</f>
        <v>5075</v>
      </c>
      <c r="Q369" s="18">
        <f>CEILING(INDEX([1]系统模型!$VE:$VE,MATCH(C369,[1]系统模型!$A:$A,0))*POWER(C369/220,4),1)</f>
        <v>725</v>
      </c>
      <c r="R369" s="18">
        <f>INT(INDEX([1]系统模型!$VF:$VF,MATCH(C369,[1]系统模型!$A:$A,0))*MAX(POWER(C369/180,4),0.5))</f>
        <v>42393</v>
      </c>
      <c r="S369" s="5">
        <v>1000</v>
      </c>
      <c r="T369" s="25">
        <v>0</v>
      </c>
      <c r="U369" s="25">
        <v>0</v>
      </c>
      <c r="V369" s="25">
        <v>0</v>
      </c>
      <c r="W369" s="25">
        <v>0</v>
      </c>
      <c r="X369" s="25">
        <f t="shared" si="60"/>
        <v>2119</v>
      </c>
      <c r="Y369" s="12">
        <v>0</v>
      </c>
      <c r="Z369" s="25">
        <v>100</v>
      </c>
      <c r="AA369" s="25">
        <v>150</v>
      </c>
      <c r="AB369" s="25">
        <v>0</v>
      </c>
      <c r="AC369" s="25">
        <v>0</v>
      </c>
      <c r="AD369" s="25">
        <v>0</v>
      </c>
      <c r="AE369" s="25">
        <f t="shared" si="61"/>
        <v>390</v>
      </c>
      <c r="AF369" s="25">
        <f t="shared" si="62"/>
        <v>390</v>
      </c>
      <c r="AG369" s="25">
        <v>0</v>
      </c>
      <c r="AH369" s="25">
        <f t="shared" si="63"/>
        <v>5875</v>
      </c>
      <c r="AI369" s="25">
        <f t="shared" si="64"/>
        <v>67</v>
      </c>
      <c r="AJ369" s="25">
        <v>1</v>
      </c>
      <c r="AK369" s="25">
        <v>1000</v>
      </c>
      <c r="AL369" s="25">
        <v>100</v>
      </c>
      <c r="AM369" s="26">
        <v>10</v>
      </c>
      <c r="AN369" s="26">
        <v>10</v>
      </c>
      <c r="AO369" s="22" t="s">
        <v>2211</v>
      </c>
      <c r="AP369" s="26">
        <v>0</v>
      </c>
      <c r="AQ369" s="26">
        <f t="shared" si="65"/>
        <v>630</v>
      </c>
      <c r="AR369" s="18" t="str">
        <f ca="1">CONCATENATE(OFFSET(Sheet1!$A$2,RANDBETWEEN(2,500),0,1,1),OFFSET(Sheet1!$A$2,RANDBETWEEN(2,500),RANDBETWEEN(1,5),1,1))</f>
        <v>白朗蒂</v>
      </c>
      <c r="AS369">
        <f>SUMPRODUCT(P369:AI369,Sheet2!$B$3:$U$3)</f>
        <v>244193</v>
      </c>
    </row>
    <row r="370" spans="1:45" x14ac:dyDescent="0.15">
      <c r="A370" s="23">
        <v>369</v>
      </c>
      <c r="B370" s="18" t="s">
        <v>1134</v>
      </c>
      <c r="C370" s="18">
        <f t="shared" si="55"/>
        <v>195</v>
      </c>
      <c r="D370" s="19">
        <f t="shared" si="56"/>
        <v>3</v>
      </c>
      <c r="E370" s="19">
        <f>VLOOKUP(MOD(A370,4),各职业基础配置!C$32:D$35,2,FALSE)</f>
        <v>3</v>
      </c>
      <c r="F370" s="19">
        <f>IF(A370&lt;900,INDEX(各职业基础配置!C$23:C$28,MOD(ROW(A370),4)+1),0)</f>
        <v>14</v>
      </c>
      <c r="G370" s="19">
        <f t="shared" si="57"/>
        <v>56</v>
      </c>
      <c r="H370" s="27">
        <f t="shared" si="58"/>
        <v>2</v>
      </c>
      <c r="I370" s="6" t="s">
        <v>164</v>
      </c>
      <c r="J370" s="23" t="str">
        <f>VLOOKUP(E370,各职业基础配置!$B$9:$C$12,2,FALSE)</f>
        <v>106|107|108|4201|110</v>
      </c>
      <c r="K370" s="18" t="str">
        <f>VLOOKUP(E370,各职业基础配置!$B$15:$C$18,2,FALSE)</f>
        <v>20|21|22|23</v>
      </c>
      <c r="L370" s="18" t="str">
        <f>VLOOKUP(E370,各职业基础配置!B:C,2,FALSE)</f>
        <v>[{20,1,1},{21,1,1},{22,1,1},{23,1,1},{4,1,1},{5,1,1},{6,1,1}]</v>
      </c>
      <c r="M370" s="18">
        <v>0</v>
      </c>
      <c r="N370" s="18">
        <f t="shared" si="59"/>
        <v>7</v>
      </c>
      <c r="O370" s="18">
        <f>SUMPRODUCT(P370:AI370,Sheet2!$B$3:$U$3)</f>
        <v>244168</v>
      </c>
      <c r="P370" s="18">
        <f>CEILING(INDEX([1]系统模型!$VD:$VD,MATCH(C370,[1]系统模型!$A:$A,0))*POWER(C370/220,3.8)-50+(1000-A370),1)</f>
        <v>5074</v>
      </c>
      <c r="Q370" s="18">
        <f>CEILING(INDEX([1]系统模型!$VE:$VE,MATCH(C370,[1]系统模型!$A:$A,0))*POWER(C370/220,4),1)</f>
        <v>725</v>
      </c>
      <c r="R370" s="18">
        <f>INT(INDEX([1]系统模型!$VF:$VF,MATCH(C370,[1]系统模型!$A:$A,0))*MAX(POWER(C370/180,4),0.5))</f>
        <v>42393</v>
      </c>
      <c r="S370" s="5">
        <v>1000</v>
      </c>
      <c r="T370" s="25">
        <v>0</v>
      </c>
      <c r="U370" s="25">
        <v>0</v>
      </c>
      <c r="V370" s="25">
        <v>0</v>
      </c>
      <c r="W370" s="25">
        <v>0</v>
      </c>
      <c r="X370" s="25">
        <f t="shared" si="60"/>
        <v>2119</v>
      </c>
      <c r="Y370" s="12">
        <v>0</v>
      </c>
      <c r="Z370" s="25">
        <v>100</v>
      </c>
      <c r="AA370" s="25">
        <v>150</v>
      </c>
      <c r="AB370" s="25">
        <v>0</v>
      </c>
      <c r="AC370" s="25">
        <v>0</v>
      </c>
      <c r="AD370" s="25">
        <v>0</v>
      </c>
      <c r="AE370" s="25">
        <f t="shared" si="61"/>
        <v>390</v>
      </c>
      <c r="AF370" s="25">
        <f t="shared" si="62"/>
        <v>390</v>
      </c>
      <c r="AG370" s="25">
        <v>0</v>
      </c>
      <c r="AH370" s="25">
        <f t="shared" si="63"/>
        <v>5875</v>
      </c>
      <c r="AI370" s="25">
        <f t="shared" si="64"/>
        <v>67</v>
      </c>
      <c r="AJ370" s="25">
        <v>1</v>
      </c>
      <c r="AK370" s="25">
        <v>1000</v>
      </c>
      <c r="AL370" s="25">
        <v>100</v>
      </c>
      <c r="AM370" s="26">
        <v>10</v>
      </c>
      <c r="AN370" s="26">
        <v>10</v>
      </c>
      <c r="AO370" s="22" t="s">
        <v>2211</v>
      </c>
      <c r="AP370" s="26">
        <v>0</v>
      </c>
      <c r="AQ370" s="26">
        <f t="shared" si="65"/>
        <v>630</v>
      </c>
      <c r="AR370" s="18" t="str">
        <f ca="1">CONCATENATE(OFFSET(Sheet1!$A$2,RANDBETWEEN(2,500),0,1,1),OFFSET(Sheet1!$A$2,RANDBETWEEN(2,500),RANDBETWEEN(1,5),1,1))</f>
        <v>哈姆雷特</v>
      </c>
      <c r="AS370">
        <f>SUMPRODUCT(P370:AI370,Sheet2!$B$3:$U$3)</f>
        <v>244168</v>
      </c>
    </row>
    <row r="371" spans="1:45" x14ac:dyDescent="0.15">
      <c r="A371" s="18">
        <v>370</v>
      </c>
      <c r="B371" s="18" t="s">
        <v>1241</v>
      </c>
      <c r="C371" s="18">
        <f t="shared" si="55"/>
        <v>195</v>
      </c>
      <c r="D371" s="19">
        <f t="shared" si="56"/>
        <v>2</v>
      </c>
      <c r="E371" s="19">
        <f>VLOOKUP(MOD(A371,4),各职业基础配置!C$32:D$35,2,FALSE)</f>
        <v>6</v>
      </c>
      <c r="F371" s="19">
        <f>IF(A371&lt;900,INDEX(各职业基础配置!C$23:C$28,MOD(ROW(A371),4)+1),0)</f>
        <v>16</v>
      </c>
      <c r="G371" s="19">
        <f t="shared" si="57"/>
        <v>56</v>
      </c>
      <c r="H371" s="27">
        <f t="shared" si="58"/>
        <v>2</v>
      </c>
      <c r="I371" s="6" t="s">
        <v>164</v>
      </c>
      <c r="J371" s="23" t="str">
        <f>VLOOKUP(E371,各职业基础配置!$B$9:$C$12,2,FALSE)</f>
        <v>111|112|113|4201|115</v>
      </c>
      <c r="K371" s="18" t="str">
        <f>VLOOKUP(E371,各职业基础配置!$B$15:$C$18,2,FALSE)</f>
        <v>32|33|34</v>
      </c>
      <c r="L371" s="18" t="str">
        <f>VLOOKUP(E371,各职业基础配置!B:C,2,FALSE)</f>
        <v>[{32,1,1},{33,1,1},{34,1,1},{35,1,1},{7,1,1},{8,1,1},{9,1,1}]</v>
      </c>
      <c r="M371" s="18">
        <v>0</v>
      </c>
      <c r="N371" s="18">
        <f t="shared" si="59"/>
        <v>7</v>
      </c>
      <c r="O371" s="18">
        <f>SUMPRODUCT(P371:AI371,Sheet2!$B$3:$U$3)</f>
        <v>244143</v>
      </c>
      <c r="P371" s="18">
        <f>CEILING(INDEX([1]系统模型!$VD:$VD,MATCH(C371,[1]系统模型!$A:$A,0))*POWER(C371/220,3.8)-50+(1000-A371),1)</f>
        <v>5073</v>
      </c>
      <c r="Q371" s="18">
        <f>CEILING(INDEX([1]系统模型!$VE:$VE,MATCH(C371,[1]系统模型!$A:$A,0))*POWER(C371/220,4),1)</f>
        <v>725</v>
      </c>
      <c r="R371" s="18">
        <f>INT(INDEX([1]系统模型!$VF:$VF,MATCH(C371,[1]系统模型!$A:$A,0))*MAX(POWER(C371/180,4),0.5))</f>
        <v>42393</v>
      </c>
      <c r="S371" s="5">
        <v>1000</v>
      </c>
      <c r="T371" s="25">
        <v>0</v>
      </c>
      <c r="U371" s="25">
        <v>0</v>
      </c>
      <c r="V371" s="25">
        <v>0</v>
      </c>
      <c r="W371" s="25">
        <v>0</v>
      </c>
      <c r="X371" s="25">
        <f t="shared" si="60"/>
        <v>2119</v>
      </c>
      <c r="Y371" s="12">
        <v>0</v>
      </c>
      <c r="Z371" s="25">
        <v>100</v>
      </c>
      <c r="AA371" s="25">
        <v>150</v>
      </c>
      <c r="AB371" s="25">
        <v>0</v>
      </c>
      <c r="AC371" s="25">
        <v>0</v>
      </c>
      <c r="AD371" s="25">
        <v>0</v>
      </c>
      <c r="AE371" s="25">
        <f t="shared" si="61"/>
        <v>390</v>
      </c>
      <c r="AF371" s="25">
        <f t="shared" si="62"/>
        <v>390</v>
      </c>
      <c r="AG371" s="25">
        <v>0</v>
      </c>
      <c r="AH371" s="25">
        <f t="shared" si="63"/>
        <v>5875</v>
      </c>
      <c r="AI371" s="25">
        <f t="shared" si="64"/>
        <v>67</v>
      </c>
      <c r="AJ371" s="25">
        <v>1</v>
      </c>
      <c r="AK371" s="25">
        <v>1000</v>
      </c>
      <c r="AL371" s="25">
        <v>100</v>
      </c>
      <c r="AM371" s="26">
        <v>10</v>
      </c>
      <c r="AN371" s="26">
        <v>10</v>
      </c>
      <c r="AO371" s="22" t="s">
        <v>2211</v>
      </c>
      <c r="AP371" s="26">
        <v>0</v>
      </c>
      <c r="AQ371" s="26">
        <f t="shared" si="65"/>
        <v>630</v>
      </c>
      <c r="AR371" s="18" t="str">
        <f ca="1">CONCATENATE(OFFSET(Sheet1!$A$2,RANDBETWEEN(2,500),0,1,1),OFFSET(Sheet1!$A$2,RANDBETWEEN(2,500),RANDBETWEEN(1,5),1,1))</f>
        <v>豪厄斯</v>
      </c>
      <c r="AS371">
        <f>SUMPRODUCT(P371:AI371,Sheet2!$B$3:$U$3)</f>
        <v>244143</v>
      </c>
    </row>
    <row r="372" spans="1:45" x14ac:dyDescent="0.15">
      <c r="A372" s="18">
        <v>371</v>
      </c>
      <c r="B372" s="18" t="s">
        <v>299</v>
      </c>
      <c r="C372" s="18">
        <f t="shared" si="55"/>
        <v>195</v>
      </c>
      <c r="D372" s="19">
        <f t="shared" si="56"/>
        <v>3</v>
      </c>
      <c r="E372" s="19">
        <f>VLOOKUP(MOD(A372,4),各职业基础配置!C$32:D$35,2,FALSE)</f>
        <v>9</v>
      </c>
      <c r="F372" s="19">
        <f>IF(A372&lt;900,INDEX(各职业基础配置!C$23:C$28,MOD(ROW(A372),4)+1),0)</f>
        <v>8</v>
      </c>
      <c r="G372" s="19">
        <f t="shared" si="57"/>
        <v>56</v>
      </c>
      <c r="H372" s="27">
        <f t="shared" si="58"/>
        <v>2</v>
      </c>
      <c r="I372" s="6" t="s">
        <v>164</v>
      </c>
      <c r="J372" s="23" t="str">
        <f>VLOOKUP(E372,各职业基础配置!$B$9:$C$12,2,FALSE)</f>
        <v>116|117|118|4201|120</v>
      </c>
      <c r="K372" s="18" t="str">
        <f>VLOOKUP(E372,各职业基础配置!$B$15:$C$18,2,FALSE)</f>
        <v>28|29|30|31</v>
      </c>
      <c r="L372" s="18" t="str">
        <f>VLOOKUP(E372,各职业基础配置!B:C,2,FALSE)</f>
        <v>[{28,1,1},{29,1,1},{30,1,1},{31,1,1},{10,1,1},{11,1,1},{12,1,1}]</v>
      </c>
      <c r="M372" s="18">
        <v>0</v>
      </c>
      <c r="N372" s="18">
        <f t="shared" si="59"/>
        <v>3</v>
      </c>
      <c r="O372" s="18">
        <f>SUMPRODUCT(P372:AI372,Sheet2!$B$3:$U$3)</f>
        <v>244118</v>
      </c>
      <c r="P372" s="18">
        <f>CEILING(INDEX([1]系统模型!$VD:$VD,MATCH(C372,[1]系统模型!$A:$A,0))*POWER(C372/220,3.8)-50+(1000-A372),1)</f>
        <v>5072</v>
      </c>
      <c r="Q372" s="18">
        <f>CEILING(INDEX([1]系统模型!$VE:$VE,MATCH(C372,[1]系统模型!$A:$A,0))*POWER(C372/220,4),1)</f>
        <v>725</v>
      </c>
      <c r="R372" s="18">
        <f>INT(INDEX([1]系统模型!$VF:$VF,MATCH(C372,[1]系统模型!$A:$A,0))*MAX(POWER(C372/180,4),0.5))</f>
        <v>42393</v>
      </c>
      <c r="S372" s="5">
        <v>1000</v>
      </c>
      <c r="T372" s="25">
        <v>0</v>
      </c>
      <c r="U372" s="25">
        <v>0</v>
      </c>
      <c r="V372" s="25">
        <v>0</v>
      </c>
      <c r="W372" s="25">
        <v>0</v>
      </c>
      <c r="X372" s="25">
        <f t="shared" si="60"/>
        <v>2119</v>
      </c>
      <c r="Y372" s="12">
        <v>0</v>
      </c>
      <c r="Z372" s="25">
        <v>100</v>
      </c>
      <c r="AA372" s="25">
        <v>150</v>
      </c>
      <c r="AB372" s="25">
        <v>0</v>
      </c>
      <c r="AC372" s="25">
        <v>0</v>
      </c>
      <c r="AD372" s="25">
        <v>0</v>
      </c>
      <c r="AE372" s="25">
        <f t="shared" si="61"/>
        <v>390</v>
      </c>
      <c r="AF372" s="25">
        <f t="shared" si="62"/>
        <v>390</v>
      </c>
      <c r="AG372" s="25">
        <v>0</v>
      </c>
      <c r="AH372" s="25">
        <f t="shared" si="63"/>
        <v>5875</v>
      </c>
      <c r="AI372" s="25">
        <f t="shared" si="64"/>
        <v>67</v>
      </c>
      <c r="AJ372" s="25">
        <v>1</v>
      </c>
      <c r="AK372" s="25">
        <v>1000</v>
      </c>
      <c r="AL372" s="25">
        <v>100</v>
      </c>
      <c r="AM372" s="26">
        <v>10</v>
      </c>
      <c r="AN372" s="26">
        <v>10</v>
      </c>
      <c r="AO372" s="22" t="s">
        <v>2211</v>
      </c>
      <c r="AP372" s="26">
        <v>0</v>
      </c>
      <c r="AQ372" s="26">
        <f t="shared" si="65"/>
        <v>630</v>
      </c>
      <c r="AR372" s="18" t="str">
        <f ca="1">CONCATENATE(OFFSET(Sheet1!$A$2,RANDBETWEEN(2,500),0,1,1),OFFSET(Sheet1!$A$2,RANDBETWEEN(2,500),RANDBETWEEN(1,5),1,1))</f>
        <v>艾尔弗雷德</v>
      </c>
      <c r="AS372">
        <f>SUMPRODUCT(P372:AI372,Sheet2!$B$3:$U$3)</f>
        <v>244118</v>
      </c>
    </row>
    <row r="373" spans="1:45" x14ac:dyDescent="0.15">
      <c r="A373" s="23">
        <v>372</v>
      </c>
      <c r="B373" s="18" t="s">
        <v>1976</v>
      </c>
      <c r="C373" s="18">
        <f t="shared" si="55"/>
        <v>194</v>
      </c>
      <c r="D373" s="19">
        <f t="shared" si="56"/>
        <v>2</v>
      </c>
      <c r="E373" s="19">
        <f>VLOOKUP(MOD(A373,4),各职业基础配置!C$32:D$35,2,FALSE)</f>
        <v>1</v>
      </c>
      <c r="F373" s="19">
        <f>IF(A373&lt;900,INDEX(各职业基础配置!C$23:C$28,MOD(ROW(A373),4)+1),0)</f>
        <v>13</v>
      </c>
      <c r="G373" s="19">
        <f t="shared" si="57"/>
        <v>54</v>
      </c>
      <c r="H373" s="27">
        <f t="shared" si="58"/>
        <v>2</v>
      </c>
      <c r="I373" s="6" t="s">
        <v>164</v>
      </c>
      <c r="J373" s="23" t="str">
        <f>VLOOKUP(E373,各职业基础配置!$B$9:$C$12,2,FALSE)</f>
        <v>101|102|103|4201|105</v>
      </c>
      <c r="K373" s="18" t="str">
        <f>VLOOKUP(E373,各职业基础配置!$B$15:$C$18,2,FALSE)</f>
        <v>24|25|26|27</v>
      </c>
      <c r="L373" s="18" t="str">
        <f>VLOOKUP(E373,各职业基础配置!B:C,2,FALSE)</f>
        <v>[{24,1,1},{25,1,1},{26,1,1},{27,1,1},{1,1,1},{2,1,1},{3,1,1}]</v>
      </c>
      <c r="M373" s="18">
        <v>0</v>
      </c>
      <c r="N373" s="18">
        <f t="shared" si="59"/>
        <v>3</v>
      </c>
      <c r="O373" s="18">
        <f>SUMPRODUCT(P373:AI373,Sheet2!$B$3:$U$3)</f>
        <v>238510</v>
      </c>
      <c r="P373" s="18">
        <f>CEILING(INDEX([1]系统模型!$VD:$VD,MATCH(C373,[1]系统模型!$A:$A,0))*POWER(C373/220,3.8)-50+(1000-A373),1)</f>
        <v>4938</v>
      </c>
      <c r="Q373" s="18">
        <f>CEILING(INDEX([1]系统模型!$VE:$VE,MATCH(C373,[1]系统模型!$A:$A,0))*POWER(C373/220,4),1)</f>
        <v>704</v>
      </c>
      <c r="R373" s="18">
        <f>INT(INDEX([1]系统模型!$VF:$VF,MATCH(C373,[1]系统模型!$A:$A,0))*MAX(POWER(C373/180,4),0.5))</f>
        <v>41185</v>
      </c>
      <c r="S373" s="5">
        <v>1000</v>
      </c>
      <c r="T373" s="25">
        <v>0</v>
      </c>
      <c r="U373" s="25">
        <v>0</v>
      </c>
      <c r="V373" s="25">
        <v>0</v>
      </c>
      <c r="W373" s="25">
        <v>0</v>
      </c>
      <c r="X373" s="25">
        <f t="shared" si="60"/>
        <v>2059</v>
      </c>
      <c r="Y373" s="12">
        <v>0</v>
      </c>
      <c r="Z373" s="25">
        <v>100</v>
      </c>
      <c r="AA373" s="25">
        <v>150</v>
      </c>
      <c r="AB373" s="25">
        <v>0</v>
      </c>
      <c r="AC373" s="25">
        <v>0</v>
      </c>
      <c r="AD373" s="25">
        <v>0</v>
      </c>
      <c r="AE373" s="25">
        <f t="shared" si="61"/>
        <v>388</v>
      </c>
      <c r="AF373" s="25">
        <f t="shared" si="62"/>
        <v>388</v>
      </c>
      <c r="AG373" s="25">
        <v>0</v>
      </c>
      <c r="AH373" s="25">
        <f t="shared" si="63"/>
        <v>5800</v>
      </c>
      <c r="AI373" s="25">
        <f t="shared" si="64"/>
        <v>65</v>
      </c>
      <c r="AJ373" s="25">
        <v>1</v>
      </c>
      <c r="AK373" s="25">
        <v>1000</v>
      </c>
      <c r="AL373" s="25">
        <v>100</v>
      </c>
      <c r="AM373" s="26">
        <v>10</v>
      </c>
      <c r="AN373" s="26">
        <v>10</v>
      </c>
      <c r="AO373" s="22" t="s">
        <v>2211</v>
      </c>
      <c r="AP373" s="26">
        <v>0</v>
      </c>
      <c r="AQ373" s="26">
        <f t="shared" si="65"/>
        <v>630</v>
      </c>
      <c r="AR373" s="18" t="str">
        <f ca="1">CONCATENATE(OFFSET(Sheet1!$A$2,RANDBETWEEN(2,500),0,1,1),OFFSET(Sheet1!$A$2,RANDBETWEEN(2,500),RANDBETWEEN(1,5),1,1))</f>
        <v>乔尔厄休拉</v>
      </c>
      <c r="AS373">
        <f>SUMPRODUCT(P373:AI373,Sheet2!$B$3:$U$3)</f>
        <v>238510</v>
      </c>
    </row>
    <row r="374" spans="1:45" x14ac:dyDescent="0.15">
      <c r="A374" s="18">
        <v>373</v>
      </c>
      <c r="B374" s="18" t="s">
        <v>175</v>
      </c>
      <c r="C374" s="18">
        <f t="shared" si="55"/>
        <v>194</v>
      </c>
      <c r="D374" s="19">
        <f t="shared" si="56"/>
        <v>3</v>
      </c>
      <c r="E374" s="19">
        <f>VLOOKUP(MOD(A374,4),各职业基础配置!C$32:D$35,2,FALSE)</f>
        <v>3</v>
      </c>
      <c r="F374" s="19">
        <f>IF(A374&lt;900,INDEX(各职业基础配置!C$23:C$28,MOD(ROW(A374),4)+1),0)</f>
        <v>14</v>
      </c>
      <c r="G374" s="19">
        <f t="shared" si="57"/>
        <v>54</v>
      </c>
      <c r="H374" s="27">
        <f t="shared" si="58"/>
        <v>2</v>
      </c>
      <c r="I374" s="6" t="s">
        <v>164</v>
      </c>
      <c r="J374" s="23" t="str">
        <f>VLOOKUP(E374,各职业基础配置!$B$9:$C$12,2,FALSE)</f>
        <v>106|107|108|4201|110</v>
      </c>
      <c r="K374" s="18" t="str">
        <f>VLOOKUP(E374,各职业基础配置!$B$15:$C$18,2,FALSE)</f>
        <v>20|21|22|23</v>
      </c>
      <c r="L374" s="18" t="str">
        <f>VLOOKUP(E374,各职业基础配置!B:C,2,FALSE)</f>
        <v>[{20,1,1},{21,1,1},{22,1,1},{23,1,1},{4,1,1},{5,1,1},{6,1,1}]</v>
      </c>
      <c r="M374" s="18">
        <v>0</v>
      </c>
      <c r="N374" s="18">
        <f t="shared" si="59"/>
        <v>7</v>
      </c>
      <c r="O374" s="18">
        <f>SUMPRODUCT(P374:AI374,Sheet2!$B$3:$U$3)</f>
        <v>238485</v>
      </c>
      <c r="P374" s="18">
        <f>CEILING(INDEX([1]系统模型!$VD:$VD,MATCH(C374,[1]系统模型!$A:$A,0))*POWER(C374/220,3.8)-50+(1000-A374),1)</f>
        <v>4937</v>
      </c>
      <c r="Q374" s="18">
        <f>CEILING(INDEX([1]系统模型!$VE:$VE,MATCH(C374,[1]系统模型!$A:$A,0))*POWER(C374/220,4),1)</f>
        <v>704</v>
      </c>
      <c r="R374" s="18">
        <f>INT(INDEX([1]系统模型!$VF:$VF,MATCH(C374,[1]系统模型!$A:$A,0))*MAX(POWER(C374/180,4),0.5))</f>
        <v>41185</v>
      </c>
      <c r="S374" s="5">
        <v>1000</v>
      </c>
      <c r="T374" s="25">
        <v>0</v>
      </c>
      <c r="U374" s="25">
        <v>0</v>
      </c>
      <c r="V374" s="25">
        <v>0</v>
      </c>
      <c r="W374" s="25">
        <v>0</v>
      </c>
      <c r="X374" s="25">
        <f t="shared" si="60"/>
        <v>2059</v>
      </c>
      <c r="Y374" s="12">
        <v>0</v>
      </c>
      <c r="Z374" s="25">
        <v>100</v>
      </c>
      <c r="AA374" s="25">
        <v>150</v>
      </c>
      <c r="AB374" s="25">
        <v>0</v>
      </c>
      <c r="AC374" s="25">
        <v>0</v>
      </c>
      <c r="AD374" s="25">
        <v>0</v>
      </c>
      <c r="AE374" s="25">
        <f t="shared" si="61"/>
        <v>388</v>
      </c>
      <c r="AF374" s="25">
        <f t="shared" si="62"/>
        <v>388</v>
      </c>
      <c r="AG374" s="25">
        <v>0</v>
      </c>
      <c r="AH374" s="25">
        <f t="shared" si="63"/>
        <v>5800</v>
      </c>
      <c r="AI374" s="25">
        <f t="shared" si="64"/>
        <v>65</v>
      </c>
      <c r="AJ374" s="25">
        <v>1</v>
      </c>
      <c r="AK374" s="25">
        <v>1000</v>
      </c>
      <c r="AL374" s="25">
        <v>100</v>
      </c>
      <c r="AM374" s="26">
        <v>10</v>
      </c>
      <c r="AN374" s="26">
        <v>10</v>
      </c>
      <c r="AO374" s="22" t="s">
        <v>2211</v>
      </c>
      <c r="AP374" s="26">
        <v>0</v>
      </c>
      <c r="AQ374" s="26">
        <f t="shared" si="65"/>
        <v>620</v>
      </c>
      <c r="AR374" s="18" t="str">
        <f ca="1">CONCATENATE(OFFSET(Sheet1!$A$2,RANDBETWEEN(2,500),0,1,1),OFFSET(Sheet1!$A$2,RANDBETWEEN(2,500),RANDBETWEEN(1,5),1,1))</f>
        <v>杜瓦</v>
      </c>
      <c r="AS374">
        <f>SUMPRODUCT(P374:AI374,Sheet2!$B$3:$U$3)</f>
        <v>238485</v>
      </c>
    </row>
    <row r="375" spans="1:45" x14ac:dyDescent="0.15">
      <c r="A375" s="18">
        <v>374</v>
      </c>
      <c r="B375" s="18" t="s">
        <v>1977</v>
      </c>
      <c r="C375" s="18">
        <f t="shared" si="55"/>
        <v>194</v>
      </c>
      <c r="D375" s="19">
        <f t="shared" si="56"/>
        <v>2</v>
      </c>
      <c r="E375" s="19">
        <f>VLOOKUP(MOD(A375,4),各职业基础配置!C$32:D$35,2,FALSE)</f>
        <v>6</v>
      </c>
      <c r="F375" s="19">
        <f>IF(A375&lt;900,INDEX(各职业基础配置!C$23:C$28,MOD(ROW(A375),4)+1),0)</f>
        <v>16</v>
      </c>
      <c r="G375" s="19">
        <f t="shared" si="57"/>
        <v>54</v>
      </c>
      <c r="H375" s="27">
        <f t="shared" si="58"/>
        <v>2</v>
      </c>
      <c r="I375" s="6" t="s">
        <v>164</v>
      </c>
      <c r="J375" s="23" t="str">
        <f>VLOOKUP(E375,各职业基础配置!$B$9:$C$12,2,FALSE)</f>
        <v>111|112|113|4201|115</v>
      </c>
      <c r="K375" s="18" t="str">
        <f>VLOOKUP(E375,各职业基础配置!$B$15:$C$18,2,FALSE)</f>
        <v>32|33|34</v>
      </c>
      <c r="L375" s="18" t="str">
        <f>VLOOKUP(E375,各职业基础配置!B:C,2,FALSE)</f>
        <v>[{32,1,1},{33,1,1},{34,1,1},{35,1,1},{7,1,1},{8,1,1},{9,1,1}]</v>
      </c>
      <c r="M375" s="18">
        <v>0</v>
      </c>
      <c r="N375" s="18">
        <f t="shared" si="59"/>
        <v>7</v>
      </c>
      <c r="O375" s="18">
        <f>SUMPRODUCT(P375:AI375,Sheet2!$B$3:$U$3)</f>
        <v>238460</v>
      </c>
      <c r="P375" s="18">
        <f>CEILING(INDEX([1]系统模型!$VD:$VD,MATCH(C375,[1]系统模型!$A:$A,0))*POWER(C375/220,3.8)-50+(1000-A375),1)</f>
        <v>4936</v>
      </c>
      <c r="Q375" s="18">
        <f>CEILING(INDEX([1]系统模型!$VE:$VE,MATCH(C375,[1]系统模型!$A:$A,0))*POWER(C375/220,4),1)</f>
        <v>704</v>
      </c>
      <c r="R375" s="18">
        <f>INT(INDEX([1]系统模型!$VF:$VF,MATCH(C375,[1]系统模型!$A:$A,0))*MAX(POWER(C375/180,4),0.5))</f>
        <v>41185</v>
      </c>
      <c r="S375" s="5">
        <v>1000</v>
      </c>
      <c r="T375" s="25">
        <v>0</v>
      </c>
      <c r="U375" s="25">
        <v>0</v>
      </c>
      <c r="V375" s="25">
        <v>0</v>
      </c>
      <c r="W375" s="25">
        <v>0</v>
      </c>
      <c r="X375" s="25">
        <f t="shared" si="60"/>
        <v>2059</v>
      </c>
      <c r="Y375" s="12">
        <v>0</v>
      </c>
      <c r="Z375" s="25">
        <v>100</v>
      </c>
      <c r="AA375" s="25">
        <v>150</v>
      </c>
      <c r="AB375" s="25">
        <v>0</v>
      </c>
      <c r="AC375" s="25">
        <v>0</v>
      </c>
      <c r="AD375" s="25">
        <v>0</v>
      </c>
      <c r="AE375" s="25">
        <f t="shared" si="61"/>
        <v>388</v>
      </c>
      <c r="AF375" s="25">
        <f t="shared" si="62"/>
        <v>388</v>
      </c>
      <c r="AG375" s="25">
        <v>0</v>
      </c>
      <c r="AH375" s="25">
        <f t="shared" si="63"/>
        <v>5800</v>
      </c>
      <c r="AI375" s="25">
        <f t="shared" si="64"/>
        <v>65</v>
      </c>
      <c r="AJ375" s="25">
        <v>1</v>
      </c>
      <c r="AK375" s="25">
        <v>1000</v>
      </c>
      <c r="AL375" s="25">
        <v>100</v>
      </c>
      <c r="AM375" s="26">
        <v>10</v>
      </c>
      <c r="AN375" s="26">
        <v>10</v>
      </c>
      <c r="AO375" s="22" t="s">
        <v>2211</v>
      </c>
      <c r="AP375" s="26">
        <v>0</v>
      </c>
      <c r="AQ375" s="26">
        <f t="shared" si="65"/>
        <v>620</v>
      </c>
      <c r="AR375" s="18" t="str">
        <f ca="1">CONCATENATE(OFFSET(Sheet1!$A$2,RANDBETWEEN(2,500),0,1,1),OFFSET(Sheet1!$A$2,RANDBETWEEN(2,500),RANDBETWEEN(1,5),1,1))</f>
        <v>科波菲尔内丽</v>
      </c>
      <c r="AS375">
        <f>SUMPRODUCT(P375:AI375,Sheet2!$B$3:$U$3)</f>
        <v>238460</v>
      </c>
    </row>
    <row r="376" spans="1:45" x14ac:dyDescent="0.15">
      <c r="A376" s="23">
        <v>375</v>
      </c>
      <c r="B376" s="18" t="s">
        <v>1124</v>
      </c>
      <c r="C376" s="18">
        <f t="shared" si="55"/>
        <v>194</v>
      </c>
      <c r="D376" s="19">
        <f t="shared" si="56"/>
        <v>3</v>
      </c>
      <c r="E376" s="19">
        <f>VLOOKUP(MOD(A376,4),各职业基础配置!C$32:D$35,2,FALSE)</f>
        <v>9</v>
      </c>
      <c r="F376" s="19">
        <f>IF(A376&lt;900,INDEX(各职业基础配置!C$23:C$28,MOD(ROW(A376),4)+1),0)</f>
        <v>8</v>
      </c>
      <c r="G376" s="19">
        <f t="shared" si="57"/>
        <v>54</v>
      </c>
      <c r="H376" s="27">
        <f t="shared" si="58"/>
        <v>2</v>
      </c>
      <c r="I376" s="6" t="s">
        <v>164</v>
      </c>
      <c r="J376" s="23" t="str">
        <f>VLOOKUP(E376,各职业基础配置!$B$9:$C$12,2,FALSE)</f>
        <v>116|117|118|4201|120</v>
      </c>
      <c r="K376" s="18" t="str">
        <f>VLOOKUP(E376,各职业基础配置!$B$15:$C$18,2,FALSE)</f>
        <v>28|29|30|31</v>
      </c>
      <c r="L376" s="18" t="str">
        <f>VLOOKUP(E376,各职业基础配置!B:C,2,FALSE)</f>
        <v>[{28,1,1},{29,1,1},{30,1,1},{31,1,1},{10,1,1},{11,1,1},{12,1,1}]</v>
      </c>
      <c r="M376" s="18">
        <v>0</v>
      </c>
      <c r="N376" s="18">
        <f t="shared" si="59"/>
        <v>3</v>
      </c>
      <c r="O376" s="18">
        <f>SUMPRODUCT(P376:AI376,Sheet2!$B$3:$U$3)</f>
        <v>238435</v>
      </c>
      <c r="P376" s="18">
        <f>CEILING(INDEX([1]系统模型!$VD:$VD,MATCH(C376,[1]系统模型!$A:$A,0))*POWER(C376/220,3.8)-50+(1000-A376),1)</f>
        <v>4935</v>
      </c>
      <c r="Q376" s="18">
        <f>CEILING(INDEX([1]系统模型!$VE:$VE,MATCH(C376,[1]系统模型!$A:$A,0))*POWER(C376/220,4),1)</f>
        <v>704</v>
      </c>
      <c r="R376" s="18">
        <f>INT(INDEX([1]系统模型!$VF:$VF,MATCH(C376,[1]系统模型!$A:$A,0))*MAX(POWER(C376/180,4),0.5))</f>
        <v>41185</v>
      </c>
      <c r="S376" s="5">
        <v>1000</v>
      </c>
      <c r="T376" s="25">
        <v>0</v>
      </c>
      <c r="U376" s="25">
        <v>0</v>
      </c>
      <c r="V376" s="25">
        <v>0</v>
      </c>
      <c r="W376" s="25">
        <v>0</v>
      </c>
      <c r="X376" s="25">
        <f t="shared" si="60"/>
        <v>2059</v>
      </c>
      <c r="Y376" s="12">
        <v>0</v>
      </c>
      <c r="Z376" s="25">
        <v>100</v>
      </c>
      <c r="AA376" s="25">
        <v>150</v>
      </c>
      <c r="AB376" s="25">
        <v>0</v>
      </c>
      <c r="AC376" s="25">
        <v>0</v>
      </c>
      <c r="AD376" s="25">
        <v>0</v>
      </c>
      <c r="AE376" s="25">
        <f t="shared" si="61"/>
        <v>388</v>
      </c>
      <c r="AF376" s="25">
        <f t="shared" si="62"/>
        <v>388</v>
      </c>
      <c r="AG376" s="25">
        <v>0</v>
      </c>
      <c r="AH376" s="25">
        <f t="shared" si="63"/>
        <v>5800</v>
      </c>
      <c r="AI376" s="25">
        <f t="shared" si="64"/>
        <v>65</v>
      </c>
      <c r="AJ376" s="25">
        <v>1</v>
      </c>
      <c r="AK376" s="25">
        <v>1000</v>
      </c>
      <c r="AL376" s="25">
        <v>100</v>
      </c>
      <c r="AM376" s="26">
        <v>10</v>
      </c>
      <c r="AN376" s="26">
        <v>10</v>
      </c>
      <c r="AO376" s="22" t="s">
        <v>2211</v>
      </c>
      <c r="AP376" s="26">
        <v>0</v>
      </c>
      <c r="AQ376" s="26">
        <f t="shared" si="65"/>
        <v>620</v>
      </c>
      <c r="AR376" s="18" t="str">
        <f ca="1">CONCATENATE(OFFSET(Sheet1!$A$2,RANDBETWEEN(2,500),0,1,1),OFFSET(Sheet1!$A$2,RANDBETWEEN(2,500),RANDBETWEEN(1,5),1,1))</f>
        <v>邓巴</v>
      </c>
      <c r="AS376">
        <f>SUMPRODUCT(P376:AI376,Sheet2!$B$3:$U$3)</f>
        <v>238435</v>
      </c>
    </row>
    <row r="377" spans="1:45" x14ac:dyDescent="0.15">
      <c r="A377" s="18">
        <v>376</v>
      </c>
      <c r="B377" s="18" t="s">
        <v>1040</v>
      </c>
      <c r="C377" s="18">
        <f t="shared" si="55"/>
        <v>194</v>
      </c>
      <c r="D377" s="19">
        <f t="shared" si="56"/>
        <v>2</v>
      </c>
      <c r="E377" s="19">
        <f>VLOOKUP(MOD(A377,4),各职业基础配置!C$32:D$35,2,FALSE)</f>
        <v>1</v>
      </c>
      <c r="F377" s="19">
        <f>IF(A377&lt;900,INDEX(各职业基础配置!C$23:C$28,MOD(ROW(A377),4)+1),0)</f>
        <v>13</v>
      </c>
      <c r="G377" s="19">
        <f t="shared" si="57"/>
        <v>54</v>
      </c>
      <c r="H377" s="27">
        <f t="shared" si="58"/>
        <v>2</v>
      </c>
      <c r="I377" s="6" t="s">
        <v>164</v>
      </c>
      <c r="J377" s="23" t="str">
        <f>VLOOKUP(E377,各职业基础配置!$B$9:$C$12,2,FALSE)</f>
        <v>101|102|103|4201|105</v>
      </c>
      <c r="K377" s="18" t="str">
        <f>VLOOKUP(E377,各职业基础配置!$B$15:$C$18,2,FALSE)</f>
        <v>24|25|26|27</v>
      </c>
      <c r="L377" s="18" t="str">
        <f>VLOOKUP(E377,各职业基础配置!B:C,2,FALSE)</f>
        <v>[{24,1,1},{25,1,1},{26,1,1},{27,1,1},{1,1,1},{2,1,1},{3,1,1}]</v>
      </c>
      <c r="M377" s="18">
        <v>0</v>
      </c>
      <c r="N377" s="18">
        <f t="shared" si="59"/>
        <v>3</v>
      </c>
      <c r="O377" s="18">
        <f>SUMPRODUCT(P377:AI377,Sheet2!$B$3:$U$3)</f>
        <v>238410</v>
      </c>
      <c r="P377" s="18">
        <f>CEILING(INDEX([1]系统模型!$VD:$VD,MATCH(C377,[1]系统模型!$A:$A,0))*POWER(C377/220,3.8)-50+(1000-A377),1)</f>
        <v>4934</v>
      </c>
      <c r="Q377" s="18">
        <f>CEILING(INDEX([1]系统模型!$VE:$VE,MATCH(C377,[1]系统模型!$A:$A,0))*POWER(C377/220,4),1)</f>
        <v>704</v>
      </c>
      <c r="R377" s="18">
        <f>INT(INDEX([1]系统模型!$VF:$VF,MATCH(C377,[1]系统模型!$A:$A,0))*MAX(POWER(C377/180,4),0.5))</f>
        <v>41185</v>
      </c>
      <c r="S377" s="5">
        <v>1000</v>
      </c>
      <c r="T377" s="25">
        <v>0</v>
      </c>
      <c r="U377" s="25">
        <v>0</v>
      </c>
      <c r="V377" s="25">
        <v>0</v>
      </c>
      <c r="W377" s="25">
        <v>0</v>
      </c>
      <c r="X377" s="25">
        <f t="shared" si="60"/>
        <v>2059</v>
      </c>
      <c r="Y377" s="12">
        <v>0</v>
      </c>
      <c r="Z377" s="25">
        <v>100</v>
      </c>
      <c r="AA377" s="25">
        <v>150</v>
      </c>
      <c r="AB377" s="25">
        <v>0</v>
      </c>
      <c r="AC377" s="25">
        <v>0</v>
      </c>
      <c r="AD377" s="25">
        <v>0</v>
      </c>
      <c r="AE377" s="25">
        <f t="shared" si="61"/>
        <v>388</v>
      </c>
      <c r="AF377" s="25">
        <f t="shared" si="62"/>
        <v>388</v>
      </c>
      <c r="AG377" s="25">
        <v>0</v>
      </c>
      <c r="AH377" s="25">
        <f t="shared" si="63"/>
        <v>5800</v>
      </c>
      <c r="AI377" s="25">
        <f t="shared" si="64"/>
        <v>65</v>
      </c>
      <c r="AJ377" s="25">
        <v>1</v>
      </c>
      <c r="AK377" s="25">
        <v>1000</v>
      </c>
      <c r="AL377" s="25">
        <v>100</v>
      </c>
      <c r="AM377" s="26">
        <v>10</v>
      </c>
      <c r="AN377" s="26">
        <v>10</v>
      </c>
      <c r="AO377" s="22" t="s">
        <v>2211</v>
      </c>
      <c r="AP377" s="26">
        <v>0</v>
      </c>
      <c r="AQ377" s="26">
        <f t="shared" si="65"/>
        <v>620</v>
      </c>
      <c r="AR377" s="18" t="str">
        <f ca="1">CONCATENATE(OFFSET(Sheet1!$A$2,RANDBETWEEN(2,500),0,1,1),OFFSET(Sheet1!$A$2,RANDBETWEEN(2,500),RANDBETWEEN(1,5),1,1))</f>
        <v>盖洛普</v>
      </c>
      <c r="AS377">
        <f>SUMPRODUCT(P377:AI377,Sheet2!$B$3:$U$3)</f>
        <v>238410</v>
      </c>
    </row>
    <row r="378" spans="1:45" x14ac:dyDescent="0.15">
      <c r="A378" s="18">
        <v>377</v>
      </c>
      <c r="B378" s="18" t="s">
        <v>222</v>
      </c>
      <c r="C378" s="18">
        <f t="shared" si="55"/>
        <v>194</v>
      </c>
      <c r="D378" s="19">
        <f t="shared" si="56"/>
        <v>3</v>
      </c>
      <c r="E378" s="19">
        <f>VLOOKUP(MOD(A378,4),各职业基础配置!C$32:D$35,2,FALSE)</f>
        <v>3</v>
      </c>
      <c r="F378" s="19">
        <f>IF(A378&lt;900,INDEX(各职业基础配置!C$23:C$28,MOD(ROW(A378),4)+1),0)</f>
        <v>14</v>
      </c>
      <c r="G378" s="19">
        <f t="shared" si="57"/>
        <v>54</v>
      </c>
      <c r="H378" s="27">
        <f t="shared" si="58"/>
        <v>2</v>
      </c>
      <c r="I378" s="6" t="s">
        <v>164</v>
      </c>
      <c r="J378" s="23" t="str">
        <f>VLOOKUP(E378,各职业基础配置!$B$9:$C$12,2,FALSE)</f>
        <v>106|107|108|4201|110</v>
      </c>
      <c r="K378" s="18" t="str">
        <f>VLOOKUP(E378,各职业基础配置!$B$15:$C$18,2,FALSE)</f>
        <v>20|21|22|23</v>
      </c>
      <c r="L378" s="18" t="str">
        <f>VLOOKUP(E378,各职业基础配置!B:C,2,FALSE)</f>
        <v>[{20,1,1},{21,1,1},{22,1,1},{23,1,1},{4,1,1},{5,1,1},{6,1,1}]</v>
      </c>
      <c r="M378" s="18">
        <v>0</v>
      </c>
      <c r="N378" s="18">
        <f t="shared" si="59"/>
        <v>7</v>
      </c>
      <c r="O378" s="18">
        <f>SUMPRODUCT(P378:AI378,Sheet2!$B$3:$U$3)</f>
        <v>238385</v>
      </c>
      <c r="P378" s="18">
        <f>CEILING(INDEX([1]系统模型!$VD:$VD,MATCH(C378,[1]系统模型!$A:$A,0))*POWER(C378/220,3.8)-50+(1000-A378),1)</f>
        <v>4933</v>
      </c>
      <c r="Q378" s="18">
        <f>CEILING(INDEX([1]系统模型!$VE:$VE,MATCH(C378,[1]系统模型!$A:$A,0))*POWER(C378/220,4),1)</f>
        <v>704</v>
      </c>
      <c r="R378" s="18">
        <f>INT(INDEX([1]系统模型!$VF:$VF,MATCH(C378,[1]系统模型!$A:$A,0))*MAX(POWER(C378/180,4),0.5))</f>
        <v>41185</v>
      </c>
      <c r="S378" s="5">
        <v>1000</v>
      </c>
      <c r="T378" s="25">
        <v>0</v>
      </c>
      <c r="U378" s="25">
        <v>0</v>
      </c>
      <c r="V378" s="25">
        <v>0</v>
      </c>
      <c r="W378" s="25">
        <v>0</v>
      </c>
      <c r="X378" s="25">
        <f t="shared" si="60"/>
        <v>2059</v>
      </c>
      <c r="Y378" s="12">
        <v>0</v>
      </c>
      <c r="Z378" s="25">
        <v>100</v>
      </c>
      <c r="AA378" s="25">
        <v>150</v>
      </c>
      <c r="AB378" s="25">
        <v>0</v>
      </c>
      <c r="AC378" s="25">
        <v>0</v>
      </c>
      <c r="AD378" s="25">
        <v>0</v>
      </c>
      <c r="AE378" s="25">
        <f t="shared" si="61"/>
        <v>388</v>
      </c>
      <c r="AF378" s="25">
        <f t="shared" si="62"/>
        <v>388</v>
      </c>
      <c r="AG378" s="25">
        <v>0</v>
      </c>
      <c r="AH378" s="25">
        <f t="shared" si="63"/>
        <v>5800</v>
      </c>
      <c r="AI378" s="25">
        <f t="shared" si="64"/>
        <v>65</v>
      </c>
      <c r="AJ378" s="25">
        <v>1</v>
      </c>
      <c r="AK378" s="25">
        <v>1000</v>
      </c>
      <c r="AL378" s="25">
        <v>100</v>
      </c>
      <c r="AM378" s="26">
        <v>10</v>
      </c>
      <c r="AN378" s="26">
        <v>10</v>
      </c>
      <c r="AO378" s="22" t="s">
        <v>2211</v>
      </c>
      <c r="AP378" s="26">
        <v>0</v>
      </c>
      <c r="AQ378" s="26">
        <f t="shared" si="65"/>
        <v>620</v>
      </c>
      <c r="AR378" s="18" t="str">
        <f ca="1">CONCATENATE(OFFSET(Sheet1!$A$2,RANDBETWEEN(2,500),0,1,1),OFFSET(Sheet1!$A$2,RANDBETWEEN(2,500),RANDBETWEEN(1,5),1,1))</f>
        <v>哥尔斯密</v>
      </c>
      <c r="AS378">
        <f>SUMPRODUCT(P378:AI378,Sheet2!$B$3:$U$3)</f>
        <v>238385</v>
      </c>
    </row>
    <row r="379" spans="1:45" x14ac:dyDescent="0.15">
      <c r="A379" s="23">
        <v>378</v>
      </c>
      <c r="B379" s="18" t="s">
        <v>1284</v>
      </c>
      <c r="C379" s="18">
        <f t="shared" si="55"/>
        <v>194</v>
      </c>
      <c r="D379" s="19">
        <f t="shared" si="56"/>
        <v>2</v>
      </c>
      <c r="E379" s="19">
        <f>VLOOKUP(MOD(A379,4),各职业基础配置!C$32:D$35,2,FALSE)</f>
        <v>6</v>
      </c>
      <c r="F379" s="19">
        <f>IF(A379&lt;900,INDEX(各职业基础配置!C$23:C$28,MOD(ROW(A379),4)+1),0)</f>
        <v>16</v>
      </c>
      <c r="G379" s="19">
        <f t="shared" si="57"/>
        <v>54</v>
      </c>
      <c r="H379" s="27">
        <f t="shared" si="58"/>
        <v>2</v>
      </c>
      <c r="I379" s="6" t="s">
        <v>164</v>
      </c>
      <c r="J379" s="23" t="str">
        <f>VLOOKUP(E379,各职业基础配置!$B$9:$C$12,2,FALSE)</f>
        <v>111|112|113|4201|115</v>
      </c>
      <c r="K379" s="18" t="str">
        <f>VLOOKUP(E379,各职业基础配置!$B$15:$C$18,2,FALSE)</f>
        <v>32|33|34</v>
      </c>
      <c r="L379" s="18" t="str">
        <f>VLOOKUP(E379,各职业基础配置!B:C,2,FALSE)</f>
        <v>[{32,1,1},{33,1,1},{34,1,1},{35,1,1},{7,1,1},{8,1,1},{9,1,1}]</v>
      </c>
      <c r="M379" s="18">
        <v>0</v>
      </c>
      <c r="N379" s="18">
        <f t="shared" si="59"/>
        <v>7</v>
      </c>
      <c r="O379" s="18">
        <f>SUMPRODUCT(P379:AI379,Sheet2!$B$3:$U$3)</f>
        <v>238360</v>
      </c>
      <c r="P379" s="18">
        <f>CEILING(INDEX([1]系统模型!$VD:$VD,MATCH(C379,[1]系统模型!$A:$A,0))*POWER(C379/220,3.8)-50+(1000-A379),1)</f>
        <v>4932</v>
      </c>
      <c r="Q379" s="18">
        <f>CEILING(INDEX([1]系统模型!$VE:$VE,MATCH(C379,[1]系统模型!$A:$A,0))*POWER(C379/220,4),1)</f>
        <v>704</v>
      </c>
      <c r="R379" s="18">
        <f>INT(INDEX([1]系统模型!$VF:$VF,MATCH(C379,[1]系统模型!$A:$A,0))*MAX(POWER(C379/180,4),0.5))</f>
        <v>41185</v>
      </c>
      <c r="S379" s="5">
        <v>1000</v>
      </c>
      <c r="T379" s="25">
        <v>0</v>
      </c>
      <c r="U379" s="25">
        <v>0</v>
      </c>
      <c r="V379" s="25">
        <v>0</v>
      </c>
      <c r="W379" s="25">
        <v>0</v>
      </c>
      <c r="X379" s="25">
        <f t="shared" si="60"/>
        <v>2059</v>
      </c>
      <c r="Y379" s="12">
        <v>0</v>
      </c>
      <c r="Z379" s="25">
        <v>100</v>
      </c>
      <c r="AA379" s="25">
        <v>150</v>
      </c>
      <c r="AB379" s="25">
        <v>0</v>
      </c>
      <c r="AC379" s="25">
        <v>0</v>
      </c>
      <c r="AD379" s="25">
        <v>0</v>
      </c>
      <c r="AE379" s="25">
        <f t="shared" si="61"/>
        <v>388</v>
      </c>
      <c r="AF379" s="25">
        <f t="shared" si="62"/>
        <v>388</v>
      </c>
      <c r="AG379" s="25">
        <v>0</v>
      </c>
      <c r="AH379" s="25">
        <f t="shared" si="63"/>
        <v>5800</v>
      </c>
      <c r="AI379" s="25">
        <f t="shared" si="64"/>
        <v>65</v>
      </c>
      <c r="AJ379" s="25">
        <v>1</v>
      </c>
      <c r="AK379" s="25">
        <v>1000</v>
      </c>
      <c r="AL379" s="25">
        <v>100</v>
      </c>
      <c r="AM379" s="26">
        <v>10</v>
      </c>
      <c r="AN379" s="26">
        <v>10</v>
      </c>
      <c r="AO379" s="22" t="s">
        <v>2211</v>
      </c>
      <c r="AP379" s="26">
        <v>0</v>
      </c>
      <c r="AQ379" s="26">
        <f t="shared" si="65"/>
        <v>620</v>
      </c>
      <c r="AR379" s="18" t="str">
        <f ca="1">CONCATENATE(OFFSET(Sheet1!$A$2,RANDBETWEEN(2,500),0,1,1),OFFSET(Sheet1!$A$2,RANDBETWEEN(2,500),RANDBETWEEN(1,5),1,1))</f>
        <v>克莱尔</v>
      </c>
      <c r="AS379">
        <f>SUMPRODUCT(P379:AI379,Sheet2!$B$3:$U$3)</f>
        <v>238360</v>
      </c>
    </row>
    <row r="380" spans="1:45" x14ac:dyDescent="0.15">
      <c r="A380" s="18">
        <v>379</v>
      </c>
      <c r="B380" s="18" t="s">
        <v>1138</v>
      </c>
      <c r="C380" s="18">
        <f t="shared" si="55"/>
        <v>193</v>
      </c>
      <c r="D380" s="19">
        <f t="shared" si="56"/>
        <v>3</v>
      </c>
      <c r="E380" s="19">
        <f>VLOOKUP(MOD(A380,4),各职业基础配置!C$32:D$35,2,FALSE)</f>
        <v>9</v>
      </c>
      <c r="F380" s="19">
        <f>IF(A380&lt;900,INDEX(各职业基础配置!C$23:C$28,MOD(ROW(A380),4)+1),0)</f>
        <v>8</v>
      </c>
      <c r="G380" s="19">
        <f t="shared" si="57"/>
        <v>52</v>
      </c>
      <c r="H380" s="27">
        <f t="shared" si="58"/>
        <v>2</v>
      </c>
      <c r="I380" s="6" t="s">
        <v>164</v>
      </c>
      <c r="J380" s="23" t="str">
        <f>VLOOKUP(E380,各职业基础配置!$B$9:$C$12,2,FALSE)</f>
        <v>116|117|118|4201|120</v>
      </c>
      <c r="K380" s="18" t="str">
        <f>VLOOKUP(E380,各职业基础配置!$B$15:$C$18,2,FALSE)</f>
        <v>28|29|30|31</v>
      </c>
      <c r="L380" s="18" t="str">
        <f>VLOOKUP(E380,各职业基础配置!B:C,2,FALSE)</f>
        <v>[{28,1,1},{29,1,1},{30,1,1},{31,1,1},{10,1,1},{11,1,1},{12,1,1}]</v>
      </c>
      <c r="M380" s="18">
        <v>0</v>
      </c>
      <c r="N380" s="18">
        <f t="shared" si="59"/>
        <v>3</v>
      </c>
      <c r="O380" s="18">
        <f>SUMPRODUCT(P380:AI380,Sheet2!$B$3:$U$3)</f>
        <v>233128</v>
      </c>
      <c r="P380" s="18">
        <f>CEILING(INDEX([1]系统模型!$VD:$VD,MATCH(C380,[1]系统模型!$A:$A,0))*POWER(C380/220,3.8)-50+(1000-A380),1)</f>
        <v>4812</v>
      </c>
      <c r="Q380" s="18">
        <f>CEILING(INDEX([1]系统模型!$VE:$VE,MATCH(C380,[1]系统模型!$A:$A,0))*POWER(C380/220,4),1)</f>
        <v>683</v>
      </c>
      <c r="R380" s="18">
        <f>INT(INDEX([1]系统模型!$VF:$VF,MATCH(C380,[1]系统模型!$A:$A,0))*MAX(POWER(C380/180,4),0.5))</f>
        <v>39978</v>
      </c>
      <c r="S380" s="5">
        <v>1000</v>
      </c>
      <c r="T380" s="25">
        <v>0</v>
      </c>
      <c r="U380" s="25">
        <v>0</v>
      </c>
      <c r="V380" s="25">
        <v>0</v>
      </c>
      <c r="W380" s="25">
        <v>0</v>
      </c>
      <c r="X380" s="25">
        <f t="shared" si="60"/>
        <v>1998</v>
      </c>
      <c r="Y380" s="12">
        <v>0</v>
      </c>
      <c r="Z380" s="25">
        <v>100</v>
      </c>
      <c r="AA380" s="25">
        <v>150</v>
      </c>
      <c r="AB380" s="25">
        <v>0</v>
      </c>
      <c r="AC380" s="25">
        <v>0</v>
      </c>
      <c r="AD380" s="25">
        <v>0</v>
      </c>
      <c r="AE380" s="25">
        <f t="shared" si="61"/>
        <v>386</v>
      </c>
      <c r="AF380" s="25">
        <f t="shared" si="62"/>
        <v>386</v>
      </c>
      <c r="AG380" s="25">
        <v>0</v>
      </c>
      <c r="AH380" s="25">
        <f t="shared" si="63"/>
        <v>5725</v>
      </c>
      <c r="AI380" s="25">
        <f t="shared" si="64"/>
        <v>64</v>
      </c>
      <c r="AJ380" s="25">
        <v>1</v>
      </c>
      <c r="AK380" s="25">
        <v>1000</v>
      </c>
      <c r="AL380" s="25">
        <v>100</v>
      </c>
      <c r="AM380" s="26">
        <v>10</v>
      </c>
      <c r="AN380" s="26">
        <v>10</v>
      </c>
      <c r="AO380" s="22" t="s">
        <v>2211</v>
      </c>
      <c r="AP380" s="26">
        <v>0</v>
      </c>
      <c r="AQ380" s="26">
        <f t="shared" si="65"/>
        <v>620</v>
      </c>
      <c r="AR380" s="18" t="str">
        <f ca="1">CONCATENATE(OFFSET(Sheet1!$A$2,RANDBETWEEN(2,500),0,1,1),OFFSET(Sheet1!$A$2,RANDBETWEEN(2,500),RANDBETWEEN(1,5),1,1))</f>
        <v>吉本南宫</v>
      </c>
      <c r="AS380">
        <f>SUMPRODUCT(P380:AI380,Sheet2!$B$3:$U$3)</f>
        <v>233128</v>
      </c>
    </row>
    <row r="381" spans="1:45" x14ac:dyDescent="0.15">
      <c r="A381" s="18">
        <v>380</v>
      </c>
      <c r="B381" s="18" t="s">
        <v>1978</v>
      </c>
      <c r="C381" s="18">
        <f t="shared" si="55"/>
        <v>193</v>
      </c>
      <c r="D381" s="19">
        <f t="shared" si="56"/>
        <v>2</v>
      </c>
      <c r="E381" s="19">
        <f>VLOOKUP(MOD(A381,4),各职业基础配置!C$32:D$35,2,FALSE)</f>
        <v>1</v>
      </c>
      <c r="F381" s="19">
        <f>IF(A381&lt;900,INDEX(各职业基础配置!C$23:C$28,MOD(ROW(A381),4)+1),0)</f>
        <v>13</v>
      </c>
      <c r="G381" s="19">
        <f t="shared" si="57"/>
        <v>52</v>
      </c>
      <c r="H381" s="27">
        <f t="shared" si="58"/>
        <v>2</v>
      </c>
      <c r="I381" s="6" t="s">
        <v>164</v>
      </c>
      <c r="J381" s="23" t="str">
        <f>VLOOKUP(E381,各职业基础配置!$B$9:$C$12,2,FALSE)</f>
        <v>101|102|103|4201|105</v>
      </c>
      <c r="K381" s="18" t="str">
        <f>VLOOKUP(E381,各职业基础配置!$B$15:$C$18,2,FALSE)</f>
        <v>24|25|26|27</v>
      </c>
      <c r="L381" s="18" t="str">
        <f>VLOOKUP(E381,各职业基础配置!B:C,2,FALSE)</f>
        <v>[{24,1,1},{25,1,1},{26,1,1},{27,1,1},{1,1,1},{2,1,1},{3,1,1}]</v>
      </c>
      <c r="M381" s="18">
        <v>0</v>
      </c>
      <c r="N381" s="18">
        <f t="shared" si="59"/>
        <v>3</v>
      </c>
      <c r="O381" s="18">
        <f>SUMPRODUCT(P381:AI381,Sheet2!$B$3:$U$3)</f>
        <v>233103</v>
      </c>
      <c r="P381" s="18">
        <f>CEILING(INDEX([1]系统模型!$VD:$VD,MATCH(C381,[1]系统模型!$A:$A,0))*POWER(C381/220,3.8)-50+(1000-A381),1)</f>
        <v>4811</v>
      </c>
      <c r="Q381" s="18">
        <f>CEILING(INDEX([1]系统模型!$VE:$VE,MATCH(C381,[1]系统模型!$A:$A,0))*POWER(C381/220,4),1)</f>
        <v>683</v>
      </c>
      <c r="R381" s="18">
        <f>INT(INDEX([1]系统模型!$VF:$VF,MATCH(C381,[1]系统模型!$A:$A,0))*MAX(POWER(C381/180,4),0.5))</f>
        <v>39978</v>
      </c>
      <c r="S381" s="5">
        <v>1000</v>
      </c>
      <c r="T381" s="25">
        <v>0</v>
      </c>
      <c r="U381" s="25">
        <v>0</v>
      </c>
      <c r="V381" s="25">
        <v>0</v>
      </c>
      <c r="W381" s="25">
        <v>0</v>
      </c>
      <c r="X381" s="25">
        <f t="shared" si="60"/>
        <v>1998</v>
      </c>
      <c r="Y381" s="12">
        <v>0</v>
      </c>
      <c r="Z381" s="25">
        <v>100</v>
      </c>
      <c r="AA381" s="25">
        <v>150</v>
      </c>
      <c r="AB381" s="25">
        <v>0</v>
      </c>
      <c r="AC381" s="25">
        <v>0</v>
      </c>
      <c r="AD381" s="25">
        <v>0</v>
      </c>
      <c r="AE381" s="25">
        <f t="shared" si="61"/>
        <v>386</v>
      </c>
      <c r="AF381" s="25">
        <f t="shared" si="62"/>
        <v>386</v>
      </c>
      <c r="AG381" s="25">
        <v>0</v>
      </c>
      <c r="AH381" s="25">
        <f t="shared" si="63"/>
        <v>5725</v>
      </c>
      <c r="AI381" s="25">
        <f t="shared" si="64"/>
        <v>64</v>
      </c>
      <c r="AJ381" s="25">
        <v>1</v>
      </c>
      <c r="AK381" s="25">
        <v>1000</v>
      </c>
      <c r="AL381" s="25">
        <v>100</v>
      </c>
      <c r="AM381" s="26">
        <v>10</v>
      </c>
      <c r="AN381" s="26">
        <v>10</v>
      </c>
      <c r="AO381" s="22" t="s">
        <v>2211</v>
      </c>
      <c r="AP381" s="26">
        <v>0</v>
      </c>
      <c r="AQ381" s="26">
        <f t="shared" si="65"/>
        <v>620</v>
      </c>
      <c r="AR381" s="18" t="str">
        <f ca="1">CONCATENATE(OFFSET(Sheet1!$A$2,RANDBETWEEN(2,500),0,1,1),OFFSET(Sheet1!$A$2,RANDBETWEEN(2,500),RANDBETWEEN(1,5),1,1))</f>
        <v>迪莉娅</v>
      </c>
      <c r="AS381">
        <f>SUMPRODUCT(P381:AI381,Sheet2!$B$3:$U$3)</f>
        <v>233103</v>
      </c>
    </row>
    <row r="382" spans="1:45" x14ac:dyDescent="0.15">
      <c r="A382" s="23">
        <v>381</v>
      </c>
      <c r="B382" s="18" t="s">
        <v>838</v>
      </c>
      <c r="C382" s="18">
        <f t="shared" si="55"/>
        <v>193</v>
      </c>
      <c r="D382" s="19">
        <f t="shared" si="56"/>
        <v>3</v>
      </c>
      <c r="E382" s="19">
        <f>VLOOKUP(MOD(A382,4),各职业基础配置!C$32:D$35,2,FALSE)</f>
        <v>3</v>
      </c>
      <c r="F382" s="19">
        <f>IF(A382&lt;900,INDEX(各职业基础配置!C$23:C$28,MOD(ROW(A382),4)+1),0)</f>
        <v>14</v>
      </c>
      <c r="G382" s="19">
        <f t="shared" si="57"/>
        <v>52</v>
      </c>
      <c r="H382" s="27">
        <f t="shared" si="58"/>
        <v>2</v>
      </c>
      <c r="I382" s="6" t="s">
        <v>164</v>
      </c>
      <c r="J382" s="23" t="str">
        <f>VLOOKUP(E382,各职业基础配置!$B$9:$C$12,2,FALSE)</f>
        <v>106|107|108|4201|110</v>
      </c>
      <c r="K382" s="18" t="str">
        <f>VLOOKUP(E382,各职业基础配置!$B$15:$C$18,2,FALSE)</f>
        <v>20|21|22|23</v>
      </c>
      <c r="L382" s="18" t="str">
        <f>VLOOKUP(E382,各职业基础配置!B:C,2,FALSE)</f>
        <v>[{20,1,1},{21,1,1},{22,1,1},{23,1,1},{4,1,1},{5,1,1},{6,1,1}]</v>
      </c>
      <c r="M382" s="18">
        <v>0</v>
      </c>
      <c r="N382" s="18">
        <f t="shared" si="59"/>
        <v>7</v>
      </c>
      <c r="O382" s="18">
        <f>SUMPRODUCT(P382:AI382,Sheet2!$B$3:$U$3)</f>
        <v>233078</v>
      </c>
      <c r="P382" s="18">
        <f>CEILING(INDEX([1]系统模型!$VD:$VD,MATCH(C382,[1]系统模型!$A:$A,0))*POWER(C382/220,3.8)-50+(1000-A382),1)</f>
        <v>4810</v>
      </c>
      <c r="Q382" s="18">
        <f>CEILING(INDEX([1]系统模型!$VE:$VE,MATCH(C382,[1]系统模型!$A:$A,0))*POWER(C382/220,4),1)</f>
        <v>683</v>
      </c>
      <c r="R382" s="18">
        <f>INT(INDEX([1]系统模型!$VF:$VF,MATCH(C382,[1]系统模型!$A:$A,0))*MAX(POWER(C382/180,4),0.5))</f>
        <v>39978</v>
      </c>
      <c r="S382" s="5">
        <v>1000</v>
      </c>
      <c r="T382" s="25">
        <v>0</v>
      </c>
      <c r="U382" s="25">
        <v>0</v>
      </c>
      <c r="V382" s="25">
        <v>0</v>
      </c>
      <c r="W382" s="25">
        <v>0</v>
      </c>
      <c r="X382" s="25">
        <f t="shared" si="60"/>
        <v>1998</v>
      </c>
      <c r="Y382" s="12">
        <v>0</v>
      </c>
      <c r="Z382" s="25">
        <v>100</v>
      </c>
      <c r="AA382" s="25">
        <v>150</v>
      </c>
      <c r="AB382" s="25">
        <v>0</v>
      </c>
      <c r="AC382" s="25">
        <v>0</v>
      </c>
      <c r="AD382" s="25">
        <v>0</v>
      </c>
      <c r="AE382" s="25">
        <f t="shared" si="61"/>
        <v>386</v>
      </c>
      <c r="AF382" s="25">
        <f t="shared" si="62"/>
        <v>386</v>
      </c>
      <c r="AG382" s="25">
        <v>0</v>
      </c>
      <c r="AH382" s="25">
        <f t="shared" si="63"/>
        <v>5725</v>
      </c>
      <c r="AI382" s="25">
        <f t="shared" si="64"/>
        <v>64</v>
      </c>
      <c r="AJ382" s="25">
        <v>1</v>
      </c>
      <c r="AK382" s="25">
        <v>1000</v>
      </c>
      <c r="AL382" s="25">
        <v>100</v>
      </c>
      <c r="AM382" s="26">
        <v>10</v>
      </c>
      <c r="AN382" s="26">
        <v>10</v>
      </c>
      <c r="AO382" s="22" t="s">
        <v>2211</v>
      </c>
      <c r="AP382" s="26">
        <v>0</v>
      </c>
      <c r="AQ382" s="26">
        <f t="shared" si="65"/>
        <v>620</v>
      </c>
      <c r="AR382" s="18" t="str">
        <f ca="1">CONCATENATE(OFFSET(Sheet1!$A$2,RANDBETWEEN(2,500),0,1,1),OFFSET(Sheet1!$A$2,RANDBETWEEN(2,500),RANDBETWEEN(1,5),1,1))</f>
        <v>克莱门特洛</v>
      </c>
      <c r="AS382">
        <f>SUMPRODUCT(P382:AI382,Sheet2!$B$3:$U$3)</f>
        <v>233078</v>
      </c>
    </row>
    <row r="383" spans="1:45" x14ac:dyDescent="0.15">
      <c r="A383" s="18">
        <v>382</v>
      </c>
      <c r="B383" s="18" t="s">
        <v>1979</v>
      </c>
      <c r="C383" s="18">
        <f t="shared" si="55"/>
        <v>193</v>
      </c>
      <c r="D383" s="19">
        <f t="shared" si="56"/>
        <v>2</v>
      </c>
      <c r="E383" s="19">
        <f>VLOOKUP(MOD(A383,4),各职业基础配置!C$32:D$35,2,FALSE)</f>
        <v>6</v>
      </c>
      <c r="F383" s="19">
        <f>IF(A383&lt;900,INDEX(各职业基础配置!C$23:C$28,MOD(ROW(A383),4)+1),0)</f>
        <v>16</v>
      </c>
      <c r="G383" s="19">
        <f t="shared" si="57"/>
        <v>52</v>
      </c>
      <c r="H383" s="27">
        <f t="shared" si="58"/>
        <v>2</v>
      </c>
      <c r="I383" s="6" t="s">
        <v>164</v>
      </c>
      <c r="J383" s="23" t="str">
        <f>VLOOKUP(E383,各职业基础配置!$B$9:$C$12,2,FALSE)</f>
        <v>111|112|113|4201|115</v>
      </c>
      <c r="K383" s="18" t="str">
        <f>VLOOKUP(E383,各职业基础配置!$B$15:$C$18,2,FALSE)</f>
        <v>32|33|34</v>
      </c>
      <c r="L383" s="18" t="str">
        <f>VLOOKUP(E383,各职业基础配置!B:C,2,FALSE)</f>
        <v>[{32,1,1},{33,1,1},{34,1,1},{35,1,1},{7,1,1},{8,1,1},{9,1,1}]</v>
      </c>
      <c r="M383" s="18">
        <v>0</v>
      </c>
      <c r="N383" s="18">
        <f t="shared" si="59"/>
        <v>7</v>
      </c>
      <c r="O383" s="18">
        <f>SUMPRODUCT(P383:AI383,Sheet2!$B$3:$U$3)</f>
        <v>233053</v>
      </c>
      <c r="P383" s="18">
        <f>CEILING(INDEX([1]系统模型!$VD:$VD,MATCH(C383,[1]系统模型!$A:$A,0))*POWER(C383/220,3.8)-50+(1000-A383),1)</f>
        <v>4809</v>
      </c>
      <c r="Q383" s="18">
        <f>CEILING(INDEX([1]系统模型!$VE:$VE,MATCH(C383,[1]系统模型!$A:$A,0))*POWER(C383/220,4),1)</f>
        <v>683</v>
      </c>
      <c r="R383" s="18">
        <f>INT(INDEX([1]系统模型!$VF:$VF,MATCH(C383,[1]系统模型!$A:$A,0))*MAX(POWER(C383/180,4),0.5))</f>
        <v>39978</v>
      </c>
      <c r="S383" s="5">
        <v>1000</v>
      </c>
      <c r="T383" s="25">
        <v>0</v>
      </c>
      <c r="U383" s="25">
        <v>0</v>
      </c>
      <c r="V383" s="25">
        <v>0</v>
      </c>
      <c r="W383" s="25">
        <v>0</v>
      </c>
      <c r="X383" s="25">
        <f t="shared" si="60"/>
        <v>1998</v>
      </c>
      <c r="Y383" s="12">
        <v>0</v>
      </c>
      <c r="Z383" s="25">
        <v>100</v>
      </c>
      <c r="AA383" s="25">
        <v>150</v>
      </c>
      <c r="AB383" s="25">
        <v>0</v>
      </c>
      <c r="AC383" s="25">
        <v>0</v>
      </c>
      <c r="AD383" s="25">
        <v>0</v>
      </c>
      <c r="AE383" s="25">
        <f t="shared" si="61"/>
        <v>386</v>
      </c>
      <c r="AF383" s="25">
        <f t="shared" si="62"/>
        <v>386</v>
      </c>
      <c r="AG383" s="25">
        <v>0</v>
      </c>
      <c r="AH383" s="25">
        <f t="shared" si="63"/>
        <v>5725</v>
      </c>
      <c r="AI383" s="25">
        <f t="shared" si="64"/>
        <v>64</v>
      </c>
      <c r="AJ383" s="25">
        <v>1</v>
      </c>
      <c r="AK383" s="25">
        <v>1000</v>
      </c>
      <c r="AL383" s="25">
        <v>100</v>
      </c>
      <c r="AM383" s="26">
        <v>10</v>
      </c>
      <c r="AN383" s="26">
        <v>10</v>
      </c>
      <c r="AO383" s="22" t="s">
        <v>2211</v>
      </c>
      <c r="AP383" s="26">
        <v>0</v>
      </c>
      <c r="AQ383" s="26">
        <f t="shared" si="65"/>
        <v>620</v>
      </c>
      <c r="AR383" s="18" t="str">
        <f ca="1">CONCATENATE(OFFSET(Sheet1!$A$2,RANDBETWEEN(2,500),0,1,1),OFFSET(Sheet1!$A$2,RANDBETWEEN(2,500),RANDBETWEEN(1,5),1,1))</f>
        <v>艾尔索普</v>
      </c>
      <c r="AS383">
        <f>SUMPRODUCT(P383:AI383,Sheet2!$B$3:$U$3)</f>
        <v>233053</v>
      </c>
    </row>
    <row r="384" spans="1:45" x14ac:dyDescent="0.15">
      <c r="A384" s="18">
        <v>383</v>
      </c>
      <c r="B384" s="18" t="s">
        <v>1268</v>
      </c>
      <c r="C384" s="18">
        <f t="shared" si="55"/>
        <v>193</v>
      </c>
      <c r="D384" s="19">
        <f t="shared" si="56"/>
        <v>3</v>
      </c>
      <c r="E384" s="19">
        <f>VLOOKUP(MOD(A384,4),各职业基础配置!C$32:D$35,2,FALSE)</f>
        <v>9</v>
      </c>
      <c r="F384" s="19">
        <f>IF(A384&lt;900,INDEX(各职业基础配置!C$23:C$28,MOD(ROW(A384),4)+1),0)</f>
        <v>8</v>
      </c>
      <c r="G384" s="19">
        <f t="shared" si="57"/>
        <v>52</v>
      </c>
      <c r="H384" s="27">
        <f t="shared" si="58"/>
        <v>2</v>
      </c>
      <c r="I384" s="6" t="s">
        <v>164</v>
      </c>
      <c r="J384" s="23" t="str">
        <f>VLOOKUP(E384,各职业基础配置!$B$9:$C$12,2,FALSE)</f>
        <v>116|117|118|4201|120</v>
      </c>
      <c r="K384" s="18" t="str">
        <f>VLOOKUP(E384,各职业基础配置!$B$15:$C$18,2,FALSE)</f>
        <v>28|29|30|31</v>
      </c>
      <c r="L384" s="18" t="str">
        <f>VLOOKUP(E384,各职业基础配置!B:C,2,FALSE)</f>
        <v>[{28,1,1},{29,1,1},{30,1,1},{31,1,1},{10,1,1},{11,1,1},{12,1,1}]</v>
      </c>
      <c r="M384" s="18">
        <v>0</v>
      </c>
      <c r="N384" s="18">
        <f t="shared" si="59"/>
        <v>3</v>
      </c>
      <c r="O384" s="18">
        <f>SUMPRODUCT(P384:AI384,Sheet2!$B$3:$U$3)</f>
        <v>233028</v>
      </c>
      <c r="P384" s="18">
        <f>CEILING(INDEX([1]系统模型!$VD:$VD,MATCH(C384,[1]系统模型!$A:$A,0))*POWER(C384/220,3.8)-50+(1000-A384),1)</f>
        <v>4808</v>
      </c>
      <c r="Q384" s="18">
        <f>CEILING(INDEX([1]系统模型!$VE:$VE,MATCH(C384,[1]系统模型!$A:$A,0))*POWER(C384/220,4),1)</f>
        <v>683</v>
      </c>
      <c r="R384" s="18">
        <f>INT(INDEX([1]系统模型!$VF:$VF,MATCH(C384,[1]系统模型!$A:$A,0))*MAX(POWER(C384/180,4),0.5))</f>
        <v>39978</v>
      </c>
      <c r="S384" s="5">
        <v>1000</v>
      </c>
      <c r="T384" s="25">
        <v>0</v>
      </c>
      <c r="U384" s="25">
        <v>0</v>
      </c>
      <c r="V384" s="25">
        <v>0</v>
      </c>
      <c r="W384" s="25">
        <v>0</v>
      </c>
      <c r="X384" s="25">
        <f t="shared" si="60"/>
        <v>1998</v>
      </c>
      <c r="Y384" s="12">
        <v>0</v>
      </c>
      <c r="Z384" s="25">
        <v>100</v>
      </c>
      <c r="AA384" s="25">
        <v>150</v>
      </c>
      <c r="AB384" s="25">
        <v>0</v>
      </c>
      <c r="AC384" s="25">
        <v>0</v>
      </c>
      <c r="AD384" s="25">
        <v>0</v>
      </c>
      <c r="AE384" s="25">
        <f t="shared" si="61"/>
        <v>386</v>
      </c>
      <c r="AF384" s="25">
        <f t="shared" si="62"/>
        <v>386</v>
      </c>
      <c r="AG384" s="25">
        <v>0</v>
      </c>
      <c r="AH384" s="25">
        <f t="shared" si="63"/>
        <v>5725</v>
      </c>
      <c r="AI384" s="25">
        <f t="shared" si="64"/>
        <v>64</v>
      </c>
      <c r="AJ384" s="25">
        <v>1</v>
      </c>
      <c r="AK384" s="25">
        <v>1000</v>
      </c>
      <c r="AL384" s="25">
        <v>100</v>
      </c>
      <c r="AM384" s="26">
        <v>10</v>
      </c>
      <c r="AN384" s="26">
        <v>10</v>
      </c>
      <c r="AO384" s="22" t="s">
        <v>2211</v>
      </c>
      <c r="AP384" s="26">
        <v>0</v>
      </c>
      <c r="AQ384" s="26">
        <f t="shared" si="65"/>
        <v>610</v>
      </c>
      <c r="AR384" s="18" t="str">
        <f ca="1">CONCATENATE(OFFSET(Sheet1!$A$2,RANDBETWEEN(2,500),0,1,1),OFFSET(Sheet1!$A$2,RANDBETWEEN(2,500),RANDBETWEEN(1,5),1,1))</f>
        <v>简</v>
      </c>
      <c r="AS384">
        <f>SUMPRODUCT(P384:AI384,Sheet2!$B$3:$U$3)</f>
        <v>233028</v>
      </c>
    </row>
    <row r="385" spans="1:45" x14ac:dyDescent="0.15">
      <c r="A385" s="23">
        <v>384</v>
      </c>
      <c r="B385" s="18" t="s">
        <v>999</v>
      </c>
      <c r="C385" s="18">
        <f t="shared" si="55"/>
        <v>193</v>
      </c>
      <c r="D385" s="19">
        <f t="shared" si="56"/>
        <v>2</v>
      </c>
      <c r="E385" s="19">
        <f>VLOOKUP(MOD(A385,4),各职业基础配置!C$32:D$35,2,FALSE)</f>
        <v>1</v>
      </c>
      <c r="F385" s="19">
        <f>IF(A385&lt;900,INDEX(各职业基础配置!C$23:C$28,MOD(ROW(A385),4)+1),0)</f>
        <v>13</v>
      </c>
      <c r="G385" s="19">
        <f t="shared" si="57"/>
        <v>52</v>
      </c>
      <c r="H385" s="27">
        <f t="shared" si="58"/>
        <v>2</v>
      </c>
      <c r="I385" s="6" t="s">
        <v>164</v>
      </c>
      <c r="J385" s="23" t="str">
        <f>VLOOKUP(E385,各职业基础配置!$B$9:$C$12,2,FALSE)</f>
        <v>101|102|103|4201|105</v>
      </c>
      <c r="K385" s="18" t="str">
        <f>VLOOKUP(E385,各职业基础配置!$B$15:$C$18,2,FALSE)</f>
        <v>24|25|26|27</v>
      </c>
      <c r="L385" s="18" t="str">
        <f>VLOOKUP(E385,各职业基础配置!B:C,2,FALSE)</f>
        <v>[{24,1,1},{25,1,1},{26,1,1},{27,1,1},{1,1,1},{2,1,1},{3,1,1}]</v>
      </c>
      <c r="M385" s="18">
        <v>0</v>
      </c>
      <c r="N385" s="18">
        <f t="shared" si="59"/>
        <v>3</v>
      </c>
      <c r="O385" s="18">
        <f>SUMPRODUCT(P385:AI385,Sheet2!$B$3:$U$3)</f>
        <v>233003</v>
      </c>
      <c r="P385" s="18">
        <f>CEILING(INDEX([1]系统模型!$VD:$VD,MATCH(C385,[1]系统模型!$A:$A,0))*POWER(C385/220,3.8)-50+(1000-A385),1)</f>
        <v>4807</v>
      </c>
      <c r="Q385" s="18">
        <f>CEILING(INDEX([1]系统模型!$VE:$VE,MATCH(C385,[1]系统模型!$A:$A,0))*POWER(C385/220,4),1)</f>
        <v>683</v>
      </c>
      <c r="R385" s="18">
        <f>INT(INDEX([1]系统模型!$VF:$VF,MATCH(C385,[1]系统模型!$A:$A,0))*MAX(POWER(C385/180,4),0.5))</f>
        <v>39978</v>
      </c>
      <c r="S385" s="5">
        <v>1000</v>
      </c>
      <c r="T385" s="25">
        <v>0</v>
      </c>
      <c r="U385" s="25">
        <v>0</v>
      </c>
      <c r="V385" s="25">
        <v>0</v>
      </c>
      <c r="W385" s="25">
        <v>0</v>
      </c>
      <c r="X385" s="25">
        <f t="shared" si="60"/>
        <v>1998</v>
      </c>
      <c r="Y385" s="12">
        <v>0</v>
      </c>
      <c r="Z385" s="25">
        <v>100</v>
      </c>
      <c r="AA385" s="25">
        <v>150</v>
      </c>
      <c r="AB385" s="25">
        <v>0</v>
      </c>
      <c r="AC385" s="25">
        <v>0</v>
      </c>
      <c r="AD385" s="25">
        <v>0</v>
      </c>
      <c r="AE385" s="25">
        <f t="shared" si="61"/>
        <v>386</v>
      </c>
      <c r="AF385" s="25">
        <f t="shared" si="62"/>
        <v>386</v>
      </c>
      <c r="AG385" s="25">
        <v>0</v>
      </c>
      <c r="AH385" s="25">
        <f t="shared" si="63"/>
        <v>5725</v>
      </c>
      <c r="AI385" s="25">
        <f t="shared" si="64"/>
        <v>64</v>
      </c>
      <c r="AJ385" s="25">
        <v>1</v>
      </c>
      <c r="AK385" s="25">
        <v>1000</v>
      </c>
      <c r="AL385" s="25">
        <v>100</v>
      </c>
      <c r="AM385" s="26">
        <v>10</v>
      </c>
      <c r="AN385" s="26">
        <v>10</v>
      </c>
      <c r="AO385" s="22" t="s">
        <v>2211</v>
      </c>
      <c r="AP385" s="26">
        <v>0</v>
      </c>
      <c r="AQ385" s="26">
        <f t="shared" si="65"/>
        <v>610</v>
      </c>
      <c r="AR385" s="18" t="str">
        <f ca="1">CONCATENATE(OFFSET(Sheet1!$A$2,RANDBETWEEN(2,500),0,1,1),OFFSET(Sheet1!$A$2,RANDBETWEEN(2,500),RANDBETWEEN(1,5),1,1))</f>
        <v>布卢姆莎拉</v>
      </c>
      <c r="AS385">
        <f>SUMPRODUCT(P385:AI385,Sheet2!$B$3:$U$3)</f>
        <v>233003</v>
      </c>
    </row>
    <row r="386" spans="1:45" x14ac:dyDescent="0.15">
      <c r="A386" s="18">
        <v>385</v>
      </c>
      <c r="B386" s="18" t="s">
        <v>1980</v>
      </c>
      <c r="C386" s="18">
        <f t="shared" si="55"/>
        <v>193</v>
      </c>
      <c r="D386" s="19">
        <f t="shared" si="56"/>
        <v>3</v>
      </c>
      <c r="E386" s="19">
        <f>VLOOKUP(MOD(A386,4),各职业基础配置!C$32:D$35,2,FALSE)</f>
        <v>3</v>
      </c>
      <c r="F386" s="19">
        <f>IF(A386&lt;900,INDEX(各职业基础配置!C$23:C$28,MOD(ROW(A386),4)+1),0)</f>
        <v>14</v>
      </c>
      <c r="G386" s="19">
        <f t="shared" si="57"/>
        <v>52</v>
      </c>
      <c r="H386" s="27">
        <f t="shared" si="58"/>
        <v>2</v>
      </c>
      <c r="I386" s="6" t="s">
        <v>164</v>
      </c>
      <c r="J386" s="23" t="str">
        <f>VLOOKUP(E386,各职业基础配置!$B$9:$C$12,2,FALSE)</f>
        <v>106|107|108|4201|110</v>
      </c>
      <c r="K386" s="18" t="str">
        <f>VLOOKUP(E386,各职业基础配置!$B$15:$C$18,2,FALSE)</f>
        <v>20|21|22|23</v>
      </c>
      <c r="L386" s="18" t="str">
        <f>VLOOKUP(E386,各职业基础配置!B:C,2,FALSE)</f>
        <v>[{20,1,1},{21,1,1},{22,1,1},{23,1,1},{4,1,1},{5,1,1},{6,1,1}]</v>
      </c>
      <c r="M386" s="18">
        <v>0</v>
      </c>
      <c r="N386" s="18">
        <f t="shared" si="59"/>
        <v>7</v>
      </c>
      <c r="O386" s="18">
        <f>SUMPRODUCT(P386:AI386,Sheet2!$B$3:$U$3)</f>
        <v>232978</v>
      </c>
      <c r="P386" s="18">
        <f>CEILING(INDEX([1]系统模型!$VD:$VD,MATCH(C386,[1]系统模型!$A:$A,0))*POWER(C386/220,3.8)-50+(1000-A386),1)</f>
        <v>4806</v>
      </c>
      <c r="Q386" s="18">
        <f>CEILING(INDEX([1]系统模型!$VE:$VE,MATCH(C386,[1]系统模型!$A:$A,0))*POWER(C386/220,4),1)</f>
        <v>683</v>
      </c>
      <c r="R386" s="18">
        <f>INT(INDEX([1]系统模型!$VF:$VF,MATCH(C386,[1]系统模型!$A:$A,0))*MAX(POWER(C386/180,4),0.5))</f>
        <v>39978</v>
      </c>
      <c r="S386" s="5">
        <v>1000</v>
      </c>
      <c r="T386" s="25">
        <v>0</v>
      </c>
      <c r="U386" s="25">
        <v>0</v>
      </c>
      <c r="V386" s="25">
        <v>0</v>
      </c>
      <c r="W386" s="25">
        <v>0</v>
      </c>
      <c r="X386" s="25">
        <f t="shared" si="60"/>
        <v>1998</v>
      </c>
      <c r="Y386" s="12">
        <v>0</v>
      </c>
      <c r="Z386" s="25">
        <v>100</v>
      </c>
      <c r="AA386" s="25">
        <v>150</v>
      </c>
      <c r="AB386" s="25">
        <v>0</v>
      </c>
      <c r="AC386" s="25">
        <v>0</v>
      </c>
      <c r="AD386" s="25">
        <v>0</v>
      </c>
      <c r="AE386" s="25">
        <f t="shared" si="61"/>
        <v>386</v>
      </c>
      <c r="AF386" s="25">
        <f t="shared" si="62"/>
        <v>386</v>
      </c>
      <c r="AG386" s="25">
        <v>0</v>
      </c>
      <c r="AH386" s="25">
        <f t="shared" si="63"/>
        <v>5725</v>
      </c>
      <c r="AI386" s="25">
        <f t="shared" si="64"/>
        <v>64</v>
      </c>
      <c r="AJ386" s="25">
        <v>1</v>
      </c>
      <c r="AK386" s="25">
        <v>1000</v>
      </c>
      <c r="AL386" s="25">
        <v>100</v>
      </c>
      <c r="AM386" s="26">
        <v>10</v>
      </c>
      <c r="AN386" s="26">
        <v>10</v>
      </c>
      <c r="AO386" s="22" t="s">
        <v>2211</v>
      </c>
      <c r="AP386" s="26">
        <v>0</v>
      </c>
      <c r="AQ386" s="26">
        <f t="shared" si="65"/>
        <v>610</v>
      </c>
      <c r="AR386" s="18" t="str">
        <f ca="1">CONCATENATE(OFFSET(Sheet1!$A$2,RANDBETWEEN(2,500),0,1,1),OFFSET(Sheet1!$A$2,RANDBETWEEN(2,500),RANDBETWEEN(1,5),1,1))</f>
        <v>伊利克特拉</v>
      </c>
      <c r="AS386">
        <f>SUMPRODUCT(P386:AI386,Sheet2!$B$3:$U$3)</f>
        <v>232978</v>
      </c>
    </row>
    <row r="387" spans="1:45" x14ac:dyDescent="0.15">
      <c r="A387" s="18">
        <v>386</v>
      </c>
      <c r="B387" s="18" t="s">
        <v>1001</v>
      </c>
      <c r="C387" s="18">
        <f t="shared" ref="C387:C450" si="66">INT(250-(150-2)/1000*A387)</f>
        <v>192</v>
      </c>
      <c r="D387" s="19">
        <f t="shared" ref="D387:D450" si="67">MOD(A387,2)+2</f>
        <v>2</v>
      </c>
      <c r="E387" s="19">
        <f>VLOOKUP(MOD(A387,4),各职业基础配置!C$32:D$35,2,FALSE)</f>
        <v>6</v>
      </c>
      <c r="F387" s="19">
        <f>IF(A387&lt;900,INDEX(各职业基础配置!C$23:C$28,MOD(ROW(A387),4)+1),0)</f>
        <v>16</v>
      </c>
      <c r="G387" s="19">
        <f t="shared" ref="G387:G450" si="68">INT(C387*POWER(C387/250,5))</f>
        <v>51</v>
      </c>
      <c r="H387" s="27">
        <f t="shared" ref="H387:H450" si="69">CEILING(C387/75,1)-1</f>
        <v>2</v>
      </c>
      <c r="I387" s="6" t="s">
        <v>164</v>
      </c>
      <c r="J387" s="23" t="str">
        <f>VLOOKUP(E387,各职业基础配置!$B$9:$C$12,2,FALSE)</f>
        <v>111|112|113|4201|115</v>
      </c>
      <c r="K387" s="18" t="str">
        <f>VLOOKUP(E387,各职业基础配置!$B$15:$C$18,2,FALSE)</f>
        <v>32|33|34</v>
      </c>
      <c r="L387" s="18" t="str">
        <f>VLOOKUP(E387,各职业基础配置!B:C,2,FALSE)</f>
        <v>[{32,1,1},{33,1,1},{34,1,1},{35,1,1},{7,1,1},{8,1,1},{9,1,1}]</v>
      </c>
      <c r="M387" s="18">
        <v>0</v>
      </c>
      <c r="N387" s="18">
        <f t="shared" ref="N387:N450" si="70">IF(OR(E387=3,E387=6),7,3)</f>
        <v>7</v>
      </c>
      <c r="O387" s="18">
        <f>SUMPRODUCT(P387:AI387,Sheet2!$B$3:$U$3)</f>
        <v>227779</v>
      </c>
      <c r="P387" s="18">
        <f>CEILING(INDEX([1]系统模型!$VD:$VD,MATCH(C387,[1]系统模型!$A:$A,0))*POWER(C387/220,3.8)-50+(1000-A387),1)</f>
        <v>4696</v>
      </c>
      <c r="Q387" s="18">
        <f>CEILING(INDEX([1]系统模型!$VE:$VE,MATCH(C387,[1]系统模型!$A:$A,0))*POWER(C387/220,4),1)</f>
        <v>659</v>
      </c>
      <c r="R387" s="18">
        <f>INT(INDEX([1]系统模型!$VF:$VF,MATCH(C387,[1]系统模型!$A:$A,0))*MAX(POWER(C387/180,4),0.5))</f>
        <v>38654</v>
      </c>
      <c r="S387" s="5">
        <v>1000</v>
      </c>
      <c r="T387" s="25">
        <v>0</v>
      </c>
      <c r="U387" s="25">
        <v>0</v>
      </c>
      <c r="V387" s="25">
        <v>0</v>
      </c>
      <c r="W387" s="25">
        <v>0</v>
      </c>
      <c r="X387" s="25">
        <f t="shared" ref="X387:X450" si="71">INT(R387/20)</f>
        <v>1932</v>
      </c>
      <c r="Y387" s="12">
        <v>0</v>
      </c>
      <c r="Z387" s="25">
        <v>100</v>
      </c>
      <c r="AA387" s="25">
        <v>150</v>
      </c>
      <c r="AB387" s="25">
        <v>0</v>
      </c>
      <c r="AC387" s="25">
        <v>0</v>
      </c>
      <c r="AD387" s="25">
        <v>0</v>
      </c>
      <c r="AE387" s="25">
        <f t="shared" ref="AE387:AE450" si="72">C387*2</f>
        <v>384</v>
      </c>
      <c r="AF387" s="25">
        <f t="shared" ref="AF387:AF450" si="73">C387*2</f>
        <v>384</v>
      </c>
      <c r="AG387" s="25">
        <v>0</v>
      </c>
      <c r="AH387" s="25">
        <f t="shared" ref="AH387:AH450" si="74">MAX(10000-(250-C387)*75,0)</f>
        <v>5650</v>
      </c>
      <c r="AI387" s="25">
        <f t="shared" ref="AI387:AI450" si="75">INT(P387/75)</f>
        <v>62</v>
      </c>
      <c r="AJ387" s="25">
        <v>1</v>
      </c>
      <c r="AK387" s="25">
        <v>1000</v>
      </c>
      <c r="AL387" s="25">
        <v>100</v>
      </c>
      <c r="AM387" s="26">
        <v>10</v>
      </c>
      <c r="AN387" s="26">
        <v>10</v>
      </c>
      <c r="AO387" s="22" t="s">
        <v>2211</v>
      </c>
      <c r="AP387" s="26">
        <v>0</v>
      </c>
      <c r="AQ387" s="26">
        <f t="shared" ref="AQ387:AQ450" si="76">MAX(CEILING(1000-A387*1.02,10),0)</f>
        <v>610</v>
      </c>
      <c r="AR387" s="18" t="str">
        <f ca="1">CONCATENATE(OFFSET(Sheet1!$A$2,RANDBETWEEN(2,500),0,1,1),OFFSET(Sheet1!$A$2,RANDBETWEEN(2,500),RANDBETWEEN(1,5),1,1))</f>
        <v>汉森尔顿乔伊</v>
      </c>
      <c r="AS387">
        <f>SUMPRODUCT(P387:AI387,Sheet2!$B$3:$U$3)</f>
        <v>227779</v>
      </c>
    </row>
    <row r="388" spans="1:45" x14ac:dyDescent="0.15">
      <c r="A388" s="23">
        <v>387</v>
      </c>
      <c r="B388" s="18" t="s">
        <v>1303</v>
      </c>
      <c r="C388" s="18">
        <f t="shared" si="66"/>
        <v>192</v>
      </c>
      <c r="D388" s="19">
        <f t="shared" si="67"/>
        <v>3</v>
      </c>
      <c r="E388" s="19">
        <f>VLOOKUP(MOD(A388,4),各职业基础配置!C$32:D$35,2,FALSE)</f>
        <v>9</v>
      </c>
      <c r="F388" s="19">
        <f>IF(A388&lt;900,INDEX(各职业基础配置!C$23:C$28,MOD(ROW(A388),4)+1),0)</f>
        <v>8</v>
      </c>
      <c r="G388" s="19">
        <f t="shared" si="68"/>
        <v>51</v>
      </c>
      <c r="H388" s="27">
        <f t="shared" si="69"/>
        <v>2</v>
      </c>
      <c r="I388" s="6" t="s">
        <v>164</v>
      </c>
      <c r="J388" s="23" t="str">
        <f>VLOOKUP(E388,各职业基础配置!$B$9:$C$12,2,FALSE)</f>
        <v>116|117|118|4201|120</v>
      </c>
      <c r="K388" s="18" t="str">
        <f>VLOOKUP(E388,各职业基础配置!$B$15:$C$18,2,FALSE)</f>
        <v>28|29|30|31</v>
      </c>
      <c r="L388" s="18" t="str">
        <f>VLOOKUP(E388,各职业基础配置!B:C,2,FALSE)</f>
        <v>[{28,1,1},{29,1,1},{30,1,1},{31,1,1},{10,1,1},{11,1,1},{12,1,1}]</v>
      </c>
      <c r="M388" s="18">
        <v>0</v>
      </c>
      <c r="N388" s="18">
        <f t="shared" si="70"/>
        <v>3</v>
      </c>
      <c r="O388" s="18">
        <f>SUMPRODUCT(P388:AI388,Sheet2!$B$3:$U$3)</f>
        <v>227754</v>
      </c>
      <c r="P388" s="18">
        <f>CEILING(INDEX([1]系统模型!$VD:$VD,MATCH(C388,[1]系统模型!$A:$A,0))*POWER(C388/220,3.8)-50+(1000-A388),1)</f>
        <v>4695</v>
      </c>
      <c r="Q388" s="18">
        <f>CEILING(INDEX([1]系统模型!$VE:$VE,MATCH(C388,[1]系统模型!$A:$A,0))*POWER(C388/220,4),1)</f>
        <v>659</v>
      </c>
      <c r="R388" s="18">
        <f>INT(INDEX([1]系统模型!$VF:$VF,MATCH(C388,[1]系统模型!$A:$A,0))*MAX(POWER(C388/180,4),0.5))</f>
        <v>38654</v>
      </c>
      <c r="S388" s="5">
        <v>1000</v>
      </c>
      <c r="T388" s="25">
        <v>0</v>
      </c>
      <c r="U388" s="25">
        <v>0</v>
      </c>
      <c r="V388" s="25">
        <v>0</v>
      </c>
      <c r="W388" s="25">
        <v>0</v>
      </c>
      <c r="X388" s="25">
        <f t="shared" si="71"/>
        <v>1932</v>
      </c>
      <c r="Y388" s="12">
        <v>0</v>
      </c>
      <c r="Z388" s="25">
        <v>100</v>
      </c>
      <c r="AA388" s="25">
        <v>150</v>
      </c>
      <c r="AB388" s="25">
        <v>0</v>
      </c>
      <c r="AC388" s="25">
        <v>0</v>
      </c>
      <c r="AD388" s="25">
        <v>0</v>
      </c>
      <c r="AE388" s="25">
        <f t="shared" si="72"/>
        <v>384</v>
      </c>
      <c r="AF388" s="25">
        <f t="shared" si="73"/>
        <v>384</v>
      </c>
      <c r="AG388" s="25">
        <v>0</v>
      </c>
      <c r="AH388" s="25">
        <f t="shared" si="74"/>
        <v>5650</v>
      </c>
      <c r="AI388" s="25">
        <f t="shared" si="75"/>
        <v>62</v>
      </c>
      <c r="AJ388" s="25">
        <v>1</v>
      </c>
      <c r="AK388" s="25">
        <v>1000</v>
      </c>
      <c r="AL388" s="25">
        <v>100</v>
      </c>
      <c r="AM388" s="26">
        <v>10</v>
      </c>
      <c r="AN388" s="26">
        <v>10</v>
      </c>
      <c r="AO388" s="22" t="s">
        <v>2211</v>
      </c>
      <c r="AP388" s="26">
        <v>0</v>
      </c>
      <c r="AQ388" s="26">
        <f t="shared" si="76"/>
        <v>610</v>
      </c>
      <c r="AR388" s="18" t="str">
        <f ca="1">CONCATENATE(OFFSET(Sheet1!$A$2,RANDBETWEEN(2,500),0,1,1),OFFSET(Sheet1!$A$2,RANDBETWEEN(2,500),RANDBETWEEN(1,5),1,1))</f>
        <v>阿瑟</v>
      </c>
      <c r="AS388">
        <f>SUMPRODUCT(P388:AI388,Sheet2!$B$3:$U$3)</f>
        <v>227754</v>
      </c>
    </row>
    <row r="389" spans="1:45" x14ac:dyDescent="0.15">
      <c r="A389" s="18">
        <v>388</v>
      </c>
      <c r="B389" s="18" t="s">
        <v>1322</v>
      </c>
      <c r="C389" s="18">
        <f t="shared" si="66"/>
        <v>192</v>
      </c>
      <c r="D389" s="19">
        <f t="shared" si="67"/>
        <v>2</v>
      </c>
      <c r="E389" s="19">
        <f>VLOOKUP(MOD(A389,4),各职业基础配置!C$32:D$35,2,FALSE)</f>
        <v>1</v>
      </c>
      <c r="F389" s="19">
        <f>IF(A389&lt;900,INDEX(各职业基础配置!C$23:C$28,MOD(ROW(A389),4)+1),0)</f>
        <v>13</v>
      </c>
      <c r="G389" s="19">
        <f t="shared" si="68"/>
        <v>51</v>
      </c>
      <c r="H389" s="27">
        <f t="shared" si="69"/>
        <v>2</v>
      </c>
      <c r="I389" s="6" t="s">
        <v>164</v>
      </c>
      <c r="J389" s="23" t="str">
        <f>VLOOKUP(E389,各职业基础配置!$B$9:$C$12,2,FALSE)</f>
        <v>101|102|103|4201|105</v>
      </c>
      <c r="K389" s="18" t="str">
        <f>VLOOKUP(E389,各职业基础配置!$B$15:$C$18,2,FALSE)</f>
        <v>24|25|26|27</v>
      </c>
      <c r="L389" s="18" t="str">
        <f>VLOOKUP(E389,各职业基础配置!B:C,2,FALSE)</f>
        <v>[{24,1,1},{25,1,1},{26,1,1},{27,1,1},{1,1,1},{2,1,1},{3,1,1}]</v>
      </c>
      <c r="M389" s="18">
        <v>0</v>
      </c>
      <c r="N389" s="18">
        <f t="shared" si="70"/>
        <v>3</v>
      </c>
      <c r="O389" s="18">
        <f>SUMPRODUCT(P389:AI389,Sheet2!$B$3:$U$3)</f>
        <v>227729</v>
      </c>
      <c r="P389" s="18">
        <f>CEILING(INDEX([1]系统模型!$VD:$VD,MATCH(C389,[1]系统模型!$A:$A,0))*POWER(C389/220,3.8)-50+(1000-A389),1)</f>
        <v>4694</v>
      </c>
      <c r="Q389" s="18">
        <f>CEILING(INDEX([1]系统模型!$VE:$VE,MATCH(C389,[1]系统模型!$A:$A,0))*POWER(C389/220,4),1)</f>
        <v>659</v>
      </c>
      <c r="R389" s="18">
        <f>INT(INDEX([1]系统模型!$VF:$VF,MATCH(C389,[1]系统模型!$A:$A,0))*MAX(POWER(C389/180,4),0.5))</f>
        <v>38654</v>
      </c>
      <c r="S389" s="5">
        <v>1000</v>
      </c>
      <c r="T389" s="25">
        <v>0</v>
      </c>
      <c r="U389" s="25">
        <v>0</v>
      </c>
      <c r="V389" s="25">
        <v>0</v>
      </c>
      <c r="W389" s="25">
        <v>0</v>
      </c>
      <c r="X389" s="25">
        <f t="shared" si="71"/>
        <v>1932</v>
      </c>
      <c r="Y389" s="12">
        <v>0</v>
      </c>
      <c r="Z389" s="25">
        <v>100</v>
      </c>
      <c r="AA389" s="25">
        <v>150</v>
      </c>
      <c r="AB389" s="25">
        <v>0</v>
      </c>
      <c r="AC389" s="25">
        <v>0</v>
      </c>
      <c r="AD389" s="25">
        <v>0</v>
      </c>
      <c r="AE389" s="25">
        <f t="shared" si="72"/>
        <v>384</v>
      </c>
      <c r="AF389" s="25">
        <f t="shared" si="73"/>
        <v>384</v>
      </c>
      <c r="AG389" s="25">
        <v>0</v>
      </c>
      <c r="AH389" s="25">
        <f t="shared" si="74"/>
        <v>5650</v>
      </c>
      <c r="AI389" s="25">
        <f t="shared" si="75"/>
        <v>62</v>
      </c>
      <c r="AJ389" s="25">
        <v>1</v>
      </c>
      <c r="AK389" s="25">
        <v>1000</v>
      </c>
      <c r="AL389" s="25">
        <v>100</v>
      </c>
      <c r="AM389" s="26">
        <v>10</v>
      </c>
      <c r="AN389" s="26">
        <v>10</v>
      </c>
      <c r="AO389" s="22" t="s">
        <v>2211</v>
      </c>
      <c r="AP389" s="26">
        <v>0</v>
      </c>
      <c r="AQ389" s="26">
        <f t="shared" si="76"/>
        <v>610</v>
      </c>
      <c r="AR389" s="18" t="str">
        <f ca="1">CONCATENATE(OFFSET(Sheet1!$A$2,RANDBETWEEN(2,500),0,1,1),OFFSET(Sheet1!$A$2,RANDBETWEEN(2,500),RANDBETWEEN(1,5),1,1))</f>
        <v>凯里</v>
      </c>
      <c r="AS389">
        <f>SUMPRODUCT(P389:AI389,Sheet2!$B$3:$U$3)</f>
        <v>227729</v>
      </c>
    </row>
    <row r="390" spans="1:45" x14ac:dyDescent="0.15">
      <c r="A390" s="18">
        <v>389</v>
      </c>
      <c r="B390" s="18" t="s">
        <v>1981</v>
      </c>
      <c r="C390" s="18">
        <f t="shared" si="66"/>
        <v>192</v>
      </c>
      <c r="D390" s="19">
        <f t="shared" si="67"/>
        <v>3</v>
      </c>
      <c r="E390" s="19">
        <f>VLOOKUP(MOD(A390,4),各职业基础配置!C$32:D$35,2,FALSE)</f>
        <v>3</v>
      </c>
      <c r="F390" s="19">
        <f>IF(A390&lt;900,INDEX(各职业基础配置!C$23:C$28,MOD(ROW(A390),4)+1),0)</f>
        <v>14</v>
      </c>
      <c r="G390" s="19">
        <f t="shared" si="68"/>
        <v>51</v>
      </c>
      <c r="H390" s="27">
        <f t="shared" si="69"/>
        <v>2</v>
      </c>
      <c r="I390" s="6" t="s">
        <v>164</v>
      </c>
      <c r="J390" s="23" t="str">
        <f>VLOOKUP(E390,各职业基础配置!$B$9:$C$12,2,FALSE)</f>
        <v>106|107|108|4201|110</v>
      </c>
      <c r="K390" s="18" t="str">
        <f>VLOOKUP(E390,各职业基础配置!$B$15:$C$18,2,FALSE)</f>
        <v>20|21|22|23</v>
      </c>
      <c r="L390" s="18" t="str">
        <f>VLOOKUP(E390,各职业基础配置!B:C,2,FALSE)</f>
        <v>[{20,1,1},{21,1,1},{22,1,1},{23,1,1},{4,1,1},{5,1,1},{6,1,1}]</v>
      </c>
      <c r="M390" s="18">
        <v>0</v>
      </c>
      <c r="N390" s="18">
        <f t="shared" si="70"/>
        <v>7</v>
      </c>
      <c r="O390" s="18">
        <f>SUMPRODUCT(P390:AI390,Sheet2!$B$3:$U$3)</f>
        <v>227704</v>
      </c>
      <c r="P390" s="18">
        <f>CEILING(INDEX([1]系统模型!$VD:$VD,MATCH(C390,[1]系统模型!$A:$A,0))*POWER(C390/220,3.8)-50+(1000-A390),1)</f>
        <v>4693</v>
      </c>
      <c r="Q390" s="18">
        <f>CEILING(INDEX([1]系统模型!$VE:$VE,MATCH(C390,[1]系统模型!$A:$A,0))*POWER(C390/220,4),1)</f>
        <v>659</v>
      </c>
      <c r="R390" s="18">
        <f>INT(INDEX([1]系统模型!$VF:$VF,MATCH(C390,[1]系统模型!$A:$A,0))*MAX(POWER(C390/180,4),0.5))</f>
        <v>38654</v>
      </c>
      <c r="S390" s="5">
        <v>1000</v>
      </c>
      <c r="T390" s="25">
        <v>0</v>
      </c>
      <c r="U390" s="25">
        <v>0</v>
      </c>
      <c r="V390" s="25">
        <v>0</v>
      </c>
      <c r="W390" s="25">
        <v>0</v>
      </c>
      <c r="X390" s="25">
        <f t="shared" si="71"/>
        <v>1932</v>
      </c>
      <c r="Y390" s="12">
        <v>0</v>
      </c>
      <c r="Z390" s="25">
        <v>100</v>
      </c>
      <c r="AA390" s="25">
        <v>150</v>
      </c>
      <c r="AB390" s="25">
        <v>0</v>
      </c>
      <c r="AC390" s="25">
        <v>0</v>
      </c>
      <c r="AD390" s="25">
        <v>0</v>
      </c>
      <c r="AE390" s="25">
        <f t="shared" si="72"/>
        <v>384</v>
      </c>
      <c r="AF390" s="25">
        <f t="shared" si="73"/>
        <v>384</v>
      </c>
      <c r="AG390" s="25">
        <v>0</v>
      </c>
      <c r="AH390" s="25">
        <f t="shared" si="74"/>
        <v>5650</v>
      </c>
      <c r="AI390" s="25">
        <f t="shared" si="75"/>
        <v>62</v>
      </c>
      <c r="AJ390" s="25">
        <v>1</v>
      </c>
      <c r="AK390" s="25">
        <v>1000</v>
      </c>
      <c r="AL390" s="25">
        <v>100</v>
      </c>
      <c r="AM390" s="26">
        <v>10</v>
      </c>
      <c r="AN390" s="26">
        <v>10</v>
      </c>
      <c r="AO390" s="22" t="s">
        <v>2211</v>
      </c>
      <c r="AP390" s="26">
        <v>0</v>
      </c>
      <c r="AQ390" s="26">
        <f t="shared" si="76"/>
        <v>610</v>
      </c>
      <c r="AR390" s="18" t="str">
        <f ca="1">CONCATENATE(OFFSET(Sheet1!$A$2,RANDBETWEEN(2,500),0,1,1),OFFSET(Sheet1!$A$2,RANDBETWEEN(2,500),RANDBETWEEN(1,5),1,1))</f>
        <v>卡拉米</v>
      </c>
      <c r="AS390">
        <f>SUMPRODUCT(P390:AI390,Sheet2!$B$3:$U$3)</f>
        <v>227704</v>
      </c>
    </row>
    <row r="391" spans="1:45" x14ac:dyDescent="0.15">
      <c r="A391" s="23">
        <v>390</v>
      </c>
      <c r="B391" s="18" t="s">
        <v>1268</v>
      </c>
      <c r="C391" s="18">
        <f t="shared" si="66"/>
        <v>192</v>
      </c>
      <c r="D391" s="19">
        <f t="shared" si="67"/>
        <v>2</v>
      </c>
      <c r="E391" s="19">
        <f>VLOOKUP(MOD(A391,4),各职业基础配置!C$32:D$35,2,FALSE)</f>
        <v>6</v>
      </c>
      <c r="F391" s="19">
        <f>IF(A391&lt;900,INDEX(各职业基础配置!C$23:C$28,MOD(ROW(A391),4)+1),0)</f>
        <v>16</v>
      </c>
      <c r="G391" s="19">
        <f t="shared" si="68"/>
        <v>51</v>
      </c>
      <c r="H391" s="27">
        <f t="shared" si="69"/>
        <v>2</v>
      </c>
      <c r="I391" s="6" t="s">
        <v>164</v>
      </c>
      <c r="J391" s="23" t="str">
        <f>VLOOKUP(E391,各职业基础配置!$B$9:$C$12,2,FALSE)</f>
        <v>111|112|113|4201|115</v>
      </c>
      <c r="K391" s="18" t="str">
        <f>VLOOKUP(E391,各职业基础配置!$B$15:$C$18,2,FALSE)</f>
        <v>32|33|34</v>
      </c>
      <c r="L391" s="18" t="str">
        <f>VLOOKUP(E391,各职业基础配置!B:C,2,FALSE)</f>
        <v>[{32,1,1},{33,1,1},{34,1,1},{35,1,1},{7,1,1},{8,1,1},{9,1,1}]</v>
      </c>
      <c r="M391" s="18">
        <v>0</v>
      </c>
      <c r="N391" s="18">
        <f t="shared" si="70"/>
        <v>7</v>
      </c>
      <c r="O391" s="18">
        <f>SUMPRODUCT(P391:AI391,Sheet2!$B$3:$U$3)</f>
        <v>227679</v>
      </c>
      <c r="P391" s="18">
        <f>CEILING(INDEX([1]系统模型!$VD:$VD,MATCH(C391,[1]系统模型!$A:$A,0))*POWER(C391/220,3.8)-50+(1000-A391),1)</f>
        <v>4692</v>
      </c>
      <c r="Q391" s="18">
        <f>CEILING(INDEX([1]系统模型!$VE:$VE,MATCH(C391,[1]系统模型!$A:$A,0))*POWER(C391/220,4),1)</f>
        <v>659</v>
      </c>
      <c r="R391" s="18">
        <f>INT(INDEX([1]系统模型!$VF:$VF,MATCH(C391,[1]系统模型!$A:$A,0))*MAX(POWER(C391/180,4),0.5))</f>
        <v>38654</v>
      </c>
      <c r="S391" s="5">
        <v>1000</v>
      </c>
      <c r="T391" s="25">
        <v>0</v>
      </c>
      <c r="U391" s="25">
        <v>0</v>
      </c>
      <c r="V391" s="25">
        <v>0</v>
      </c>
      <c r="W391" s="25">
        <v>0</v>
      </c>
      <c r="X391" s="25">
        <f t="shared" si="71"/>
        <v>1932</v>
      </c>
      <c r="Y391" s="12">
        <v>0</v>
      </c>
      <c r="Z391" s="25">
        <v>100</v>
      </c>
      <c r="AA391" s="25">
        <v>150</v>
      </c>
      <c r="AB391" s="25">
        <v>0</v>
      </c>
      <c r="AC391" s="25">
        <v>0</v>
      </c>
      <c r="AD391" s="25">
        <v>0</v>
      </c>
      <c r="AE391" s="25">
        <f t="shared" si="72"/>
        <v>384</v>
      </c>
      <c r="AF391" s="25">
        <f t="shared" si="73"/>
        <v>384</v>
      </c>
      <c r="AG391" s="25">
        <v>0</v>
      </c>
      <c r="AH391" s="25">
        <f t="shared" si="74"/>
        <v>5650</v>
      </c>
      <c r="AI391" s="25">
        <f t="shared" si="75"/>
        <v>62</v>
      </c>
      <c r="AJ391" s="25">
        <v>1</v>
      </c>
      <c r="AK391" s="25">
        <v>1000</v>
      </c>
      <c r="AL391" s="25">
        <v>100</v>
      </c>
      <c r="AM391" s="26">
        <v>10</v>
      </c>
      <c r="AN391" s="26">
        <v>10</v>
      </c>
      <c r="AO391" s="22" t="s">
        <v>2211</v>
      </c>
      <c r="AP391" s="26">
        <v>0</v>
      </c>
      <c r="AQ391" s="26">
        <f t="shared" si="76"/>
        <v>610</v>
      </c>
      <c r="AR391" s="18" t="str">
        <f ca="1">CONCATENATE(OFFSET(Sheet1!$A$2,RANDBETWEEN(2,500),0,1,1),OFFSET(Sheet1!$A$2,RANDBETWEEN(2,500),RANDBETWEEN(1,5),1,1))</f>
        <v>安德鲁</v>
      </c>
      <c r="AS391">
        <f>SUMPRODUCT(P391:AI391,Sheet2!$B$3:$U$3)</f>
        <v>227679</v>
      </c>
    </row>
    <row r="392" spans="1:45" x14ac:dyDescent="0.15">
      <c r="A392" s="18">
        <v>391</v>
      </c>
      <c r="B392" s="18" t="s">
        <v>1332</v>
      </c>
      <c r="C392" s="18">
        <f t="shared" si="66"/>
        <v>192</v>
      </c>
      <c r="D392" s="19">
        <f t="shared" si="67"/>
        <v>3</v>
      </c>
      <c r="E392" s="19">
        <f>VLOOKUP(MOD(A392,4),各职业基础配置!C$32:D$35,2,FALSE)</f>
        <v>9</v>
      </c>
      <c r="F392" s="19">
        <f>IF(A392&lt;900,INDEX(各职业基础配置!C$23:C$28,MOD(ROW(A392),4)+1),0)</f>
        <v>8</v>
      </c>
      <c r="G392" s="19">
        <f t="shared" si="68"/>
        <v>51</v>
      </c>
      <c r="H392" s="27">
        <f t="shared" si="69"/>
        <v>2</v>
      </c>
      <c r="I392" s="6" t="s">
        <v>164</v>
      </c>
      <c r="J392" s="23" t="str">
        <f>VLOOKUP(E392,各职业基础配置!$B$9:$C$12,2,FALSE)</f>
        <v>116|117|118|4201|120</v>
      </c>
      <c r="K392" s="18" t="str">
        <f>VLOOKUP(E392,各职业基础配置!$B$15:$C$18,2,FALSE)</f>
        <v>28|29|30|31</v>
      </c>
      <c r="L392" s="18" t="str">
        <f>VLOOKUP(E392,各职业基础配置!B:C,2,FALSE)</f>
        <v>[{28,1,1},{29,1,1},{30,1,1},{31,1,1},{10,1,1},{11,1,1},{12,1,1}]</v>
      </c>
      <c r="M392" s="18">
        <v>0</v>
      </c>
      <c r="N392" s="18">
        <f t="shared" si="70"/>
        <v>3</v>
      </c>
      <c r="O392" s="18">
        <f>SUMPRODUCT(P392:AI392,Sheet2!$B$3:$U$3)</f>
        <v>227654</v>
      </c>
      <c r="P392" s="18">
        <f>CEILING(INDEX([1]系统模型!$VD:$VD,MATCH(C392,[1]系统模型!$A:$A,0))*POWER(C392/220,3.8)-50+(1000-A392),1)</f>
        <v>4691</v>
      </c>
      <c r="Q392" s="18">
        <f>CEILING(INDEX([1]系统模型!$VE:$VE,MATCH(C392,[1]系统模型!$A:$A,0))*POWER(C392/220,4),1)</f>
        <v>659</v>
      </c>
      <c r="R392" s="18">
        <f>INT(INDEX([1]系统模型!$VF:$VF,MATCH(C392,[1]系统模型!$A:$A,0))*MAX(POWER(C392/180,4),0.5))</f>
        <v>38654</v>
      </c>
      <c r="S392" s="5">
        <v>1000</v>
      </c>
      <c r="T392" s="25">
        <v>0</v>
      </c>
      <c r="U392" s="25">
        <v>0</v>
      </c>
      <c r="V392" s="25">
        <v>0</v>
      </c>
      <c r="W392" s="25">
        <v>0</v>
      </c>
      <c r="X392" s="25">
        <f t="shared" si="71"/>
        <v>1932</v>
      </c>
      <c r="Y392" s="12">
        <v>0</v>
      </c>
      <c r="Z392" s="25">
        <v>100</v>
      </c>
      <c r="AA392" s="25">
        <v>150</v>
      </c>
      <c r="AB392" s="25">
        <v>0</v>
      </c>
      <c r="AC392" s="25">
        <v>0</v>
      </c>
      <c r="AD392" s="25">
        <v>0</v>
      </c>
      <c r="AE392" s="25">
        <f t="shared" si="72"/>
        <v>384</v>
      </c>
      <c r="AF392" s="25">
        <f t="shared" si="73"/>
        <v>384</v>
      </c>
      <c r="AG392" s="25">
        <v>0</v>
      </c>
      <c r="AH392" s="25">
        <f t="shared" si="74"/>
        <v>5650</v>
      </c>
      <c r="AI392" s="25">
        <f t="shared" si="75"/>
        <v>62</v>
      </c>
      <c r="AJ392" s="25">
        <v>1</v>
      </c>
      <c r="AK392" s="25">
        <v>1000</v>
      </c>
      <c r="AL392" s="25">
        <v>100</v>
      </c>
      <c r="AM392" s="26">
        <v>10</v>
      </c>
      <c r="AN392" s="26">
        <v>10</v>
      </c>
      <c r="AO392" s="22" t="s">
        <v>2211</v>
      </c>
      <c r="AP392" s="26">
        <v>0</v>
      </c>
      <c r="AQ392" s="26">
        <f t="shared" si="76"/>
        <v>610</v>
      </c>
      <c r="AR392" s="18" t="str">
        <f ca="1">CONCATENATE(OFFSET(Sheet1!$A$2,RANDBETWEEN(2,500),0,1,1),OFFSET(Sheet1!$A$2,RANDBETWEEN(2,500),RANDBETWEEN(1,5),1,1))</f>
        <v>张伯伦曼蒂</v>
      </c>
      <c r="AS392">
        <f>SUMPRODUCT(P392:AI392,Sheet2!$B$3:$U$3)</f>
        <v>227654</v>
      </c>
    </row>
    <row r="393" spans="1:45" x14ac:dyDescent="0.15">
      <c r="A393" s="18">
        <v>392</v>
      </c>
      <c r="B393" s="18" t="s">
        <v>814</v>
      </c>
      <c r="C393" s="18">
        <f t="shared" si="66"/>
        <v>191</v>
      </c>
      <c r="D393" s="19">
        <f t="shared" si="67"/>
        <v>2</v>
      </c>
      <c r="E393" s="19">
        <f>VLOOKUP(MOD(A393,4),各职业基础配置!C$32:D$35,2,FALSE)</f>
        <v>1</v>
      </c>
      <c r="F393" s="19">
        <f>IF(A393&lt;900,INDEX(各职业基础配置!C$23:C$28,MOD(ROW(A393),4)+1),0)</f>
        <v>13</v>
      </c>
      <c r="G393" s="19">
        <f t="shared" si="68"/>
        <v>49</v>
      </c>
      <c r="H393" s="27">
        <f t="shared" si="69"/>
        <v>2</v>
      </c>
      <c r="I393" s="6" t="s">
        <v>164</v>
      </c>
      <c r="J393" s="23" t="str">
        <f>VLOOKUP(E393,各职业基础配置!$B$9:$C$12,2,FALSE)</f>
        <v>101|102|103|4201|105</v>
      </c>
      <c r="K393" s="18" t="str">
        <f>VLOOKUP(E393,各职业基础配置!$B$15:$C$18,2,FALSE)</f>
        <v>24|25|26|27</v>
      </c>
      <c r="L393" s="18" t="str">
        <f>VLOOKUP(E393,各职业基础配置!B:C,2,FALSE)</f>
        <v>[{24,1,1},{25,1,1},{26,1,1},{27,1,1},{1,1,1},{2,1,1},{3,1,1}]</v>
      </c>
      <c r="M393" s="18">
        <v>0</v>
      </c>
      <c r="N393" s="18">
        <f t="shared" si="70"/>
        <v>3</v>
      </c>
      <c r="O393" s="18">
        <f>SUMPRODUCT(P393:AI393,Sheet2!$B$3:$U$3)</f>
        <v>222675</v>
      </c>
      <c r="P393" s="18">
        <f>CEILING(INDEX([1]系统模型!$VD:$VD,MATCH(C393,[1]系统模型!$A:$A,0))*POWER(C393/220,3.8)-50+(1000-A393),1)</f>
        <v>4585</v>
      </c>
      <c r="Q393" s="18">
        <f>CEILING(INDEX([1]系统模型!$VE:$VE,MATCH(C393,[1]系统模型!$A:$A,0))*POWER(C393/220,4),1)</f>
        <v>636</v>
      </c>
      <c r="R393" s="18">
        <f>INT(INDEX([1]系统模型!$VF:$VF,MATCH(C393,[1]系统模型!$A:$A,0))*MAX(POWER(C393/180,4),0.5))</f>
        <v>37400</v>
      </c>
      <c r="S393" s="5">
        <v>1000</v>
      </c>
      <c r="T393" s="25">
        <v>0</v>
      </c>
      <c r="U393" s="25">
        <v>0</v>
      </c>
      <c r="V393" s="25">
        <v>0</v>
      </c>
      <c r="W393" s="25">
        <v>0</v>
      </c>
      <c r="X393" s="25">
        <f t="shared" si="71"/>
        <v>1870</v>
      </c>
      <c r="Y393" s="12">
        <v>0</v>
      </c>
      <c r="Z393" s="25">
        <v>100</v>
      </c>
      <c r="AA393" s="25">
        <v>150</v>
      </c>
      <c r="AB393" s="25">
        <v>0</v>
      </c>
      <c r="AC393" s="25">
        <v>0</v>
      </c>
      <c r="AD393" s="25">
        <v>0</v>
      </c>
      <c r="AE393" s="25">
        <f t="shared" si="72"/>
        <v>382</v>
      </c>
      <c r="AF393" s="25">
        <f t="shared" si="73"/>
        <v>382</v>
      </c>
      <c r="AG393" s="25">
        <v>0</v>
      </c>
      <c r="AH393" s="25">
        <f t="shared" si="74"/>
        <v>5575</v>
      </c>
      <c r="AI393" s="25">
        <f t="shared" si="75"/>
        <v>61</v>
      </c>
      <c r="AJ393" s="25">
        <v>1</v>
      </c>
      <c r="AK393" s="25">
        <v>1000</v>
      </c>
      <c r="AL393" s="25">
        <v>100</v>
      </c>
      <c r="AM393" s="26">
        <v>10</v>
      </c>
      <c r="AN393" s="26">
        <v>10</v>
      </c>
      <c r="AO393" s="22" t="s">
        <v>2211</v>
      </c>
      <c r="AP393" s="26">
        <v>0</v>
      </c>
      <c r="AQ393" s="26">
        <f t="shared" si="76"/>
        <v>610</v>
      </c>
      <c r="AR393" s="18" t="str">
        <f ca="1">CONCATENATE(OFFSET(Sheet1!$A$2,RANDBETWEEN(2,500),0,1,1),OFFSET(Sheet1!$A$2,RANDBETWEEN(2,500),RANDBETWEEN(1,5),1,1))</f>
        <v>格雷斯</v>
      </c>
      <c r="AS393">
        <f>SUMPRODUCT(P393:AI393,Sheet2!$B$3:$U$3)</f>
        <v>222675</v>
      </c>
    </row>
    <row r="394" spans="1:45" x14ac:dyDescent="0.15">
      <c r="A394" s="23">
        <v>393</v>
      </c>
      <c r="B394" s="18" t="s">
        <v>1214</v>
      </c>
      <c r="C394" s="18">
        <f t="shared" si="66"/>
        <v>191</v>
      </c>
      <c r="D394" s="19">
        <f t="shared" si="67"/>
        <v>3</v>
      </c>
      <c r="E394" s="19">
        <f>VLOOKUP(MOD(A394,4),各职业基础配置!C$32:D$35,2,FALSE)</f>
        <v>3</v>
      </c>
      <c r="F394" s="19">
        <f>IF(A394&lt;900,INDEX(各职业基础配置!C$23:C$28,MOD(ROW(A394),4)+1),0)</f>
        <v>14</v>
      </c>
      <c r="G394" s="19">
        <f t="shared" si="68"/>
        <v>49</v>
      </c>
      <c r="H394" s="27">
        <f t="shared" si="69"/>
        <v>2</v>
      </c>
      <c r="I394" s="6" t="s">
        <v>164</v>
      </c>
      <c r="J394" s="23" t="str">
        <f>VLOOKUP(E394,各职业基础配置!$B$9:$C$12,2,FALSE)</f>
        <v>106|107|108|4201|110</v>
      </c>
      <c r="K394" s="18" t="str">
        <f>VLOOKUP(E394,各职业基础配置!$B$15:$C$18,2,FALSE)</f>
        <v>20|21|22|23</v>
      </c>
      <c r="L394" s="18" t="str">
        <f>VLOOKUP(E394,各职业基础配置!B:C,2,FALSE)</f>
        <v>[{20,1,1},{21,1,1},{22,1,1},{23,1,1},{4,1,1},{5,1,1},{6,1,1}]</v>
      </c>
      <c r="M394" s="18">
        <v>0</v>
      </c>
      <c r="N394" s="18">
        <f t="shared" si="70"/>
        <v>7</v>
      </c>
      <c r="O394" s="18">
        <f>SUMPRODUCT(P394:AI394,Sheet2!$B$3:$U$3)</f>
        <v>222650</v>
      </c>
      <c r="P394" s="18">
        <f>CEILING(INDEX([1]系统模型!$VD:$VD,MATCH(C394,[1]系统模型!$A:$A,0))*POWER(C394/220,3.8)-50+(1000-A394),1)</f>
        <v>4584</v>
      </c>
      <c r="Q394" s="18">
        <f>CEILING(INDEX([1]系统模型!$VE:$VE,MATCH(C394,[1]系统模型!$A:$A,0))*POWER(C394/220,4),1)</f>
        <v>636</v>
      </c>
      <c r="R394" s="18">
        <f>INT(INDEX([1]系统模型!$VF:$VF,MATCH(C394,[1]系统模型!$A:$A,0))*MAX(POWER(C394/180,4),0.5))</f>
        <v>37400</v>
      </c>
      <c r="S394" s="5">
        <v>1000</v>
      </c>
      <c r="T394" s="25">
        <v>0</v>
      </c>
      <c r="U394" s="25">
        <v>0</v>
      </c>
      <c r="V394" s="25">
        <v>0</v>
      </c>
      <c r="W394" s="25">
        <v>0</v>
      </c>
      <c r="X394" s="25">
        <f t="shared" si="71"/>
        <v>1870</v>
      </c>
      <c r="Y394" s="12">
        <v>0</v>
      </c>
      <c r="Z394" s="25">
        <v>100</v>
      </c>
      <c r="AA394" s="25">
        <v>150</v>
      </c>
      <c r="AB394" s="25">
        <v>0</v>
      </c>
      <c r="AC394" s="25">
        <v>0</v>
      </c>
      <c r="AD394" s="25">
        <v>0</v>
      </c>
      <c r="AE394" s="25">
        <f t="shared" si="72"/>
        <v>382</v>
      </c>
      <c r="AF394" s="25">
        <f t="shared" si="73"/>
        <v>382</v>
      </c>
      <c r="AG394" s="25">
        <v>0</v>
      </c>
      <c r="AH394" s="25">
        <f t="shared" si="74"/>
        <v>5575</v>
      </c>
      <c r="AI394" s="25">
        <f t="shared" si="75"/>
        <v>61</v>
      </c>
      <c r="AJ394" s="25">
        <v>1</v>
      </c>
      <c r="AK394" s="25">
        <v>1000</v>
      </c>
      <c r="AL394" s="25">
        <v>100</v>
      </c>
      <c r="AM394" s="26">
        <v>10</v>
      </c>
      <c r="AN394" s="26">
        <v>10</v>
      </c>
      <c r="AO394" s="22" t="s">
        <v>2211</v>
      </c>
      <c r="AP394" s="26">
        <v>0</v>
      </c>
      <c r="AQ394" s="26">
        <f t="shared" si="76"/>
        <v>600</v>
      </c>
      <c r="AR394" s="18" t="str">
        <f ca="1">CONCATENATE(OFFSET(Sheet1!$A$2,RANDBETWEEN(2,500),0,1,1),OFFSET(Sheet1!$A$2,RANDBETWEEN(2,500),RANDBETWEEN(1,5),1,1))</f>
        <v>巴雷特</v>
      </c>
      <c r="AS394">
        <f>SUMPRODUCT(P394:AI394,Sheet2!$B$3:$U$3)</f>
        <v>222650</v>
      </c>
    </row>
    <row r="395" spans="1:45" x14ac:dyDescent="0.15">
      <c r="A395" s="18">
        <v>394</v>
      </c>
      <c r="B395" s="18" t="s">
        <v>1062</v>
      </c>
      <c r="C395" s="18">
        <f t="shared" si="66"/>
        <v>191</v>
      </c>
      <c r="D395" s="19">
        <f t="shared" si="67"/>
        <v>2</v>
      </c>
      <c r="E395" s="19">
        <f>VLOOKUP(MOD(A395,4),各职业基础配置!C$32:D$35,2,FALSE)</f>
        <v>6</v>
      </c>
      <c r="F395" s="19">
        <f>IF(A395&lt;900,INDEX(各职业基础配置!C$23:C$28,MOD(ROW(A395),4)+1),0)</f>
        <v>16</v>
      </c>
      <c r="G395" s="19">
        <f t="shared" si="68"/>
        <v>49</v>
      </c>
      <c r="H395" s="27">
        <f t="shared" si="69"/>
        <v>2</v>
      </c>
      <c r="I395" s="6" t="s">
        <v>164</v>
      </c>
      <c r="J395" s="23" t="str">
        <f>VLOOKUP(E395,各职业基础配置!$B$9:$C$12,2,FALSE)</f>
        <v>111|112|113|4201|115</v>
      </c>
      <c r="K395" s="18" t="str">
        <f>VLOOKUP(E395,各职业基础配置!$B$15:$C$18,2,FALSE)</f>
        <v>32|33|34</v>
      </c>
      <c r="L395" s="18" t="str">
        <f>VLOOKUP(E395,各职业基础配置!B:C,2,FALSE)</f>
        <v>[{32,1,1},{33,1,1},{34,1,1},{35,1,1},{7,1,1},{8,1,1},{9,1,1}]</v>
      </c>
      <c r="M395" s="18">
        <v>0</v>
      </c>
      <c r="N395" s="18">
        <f t="shared" si="70"/>
        <v>7</v>
      </c>
      <c r="O395" s="18">
        <f>SUMPRODUCT(P395:AI395,Sheet2!$B$3:$U$3)</f>
        <v>222625</v>
      </c>
      <c r="P395" s="18">
        <f>CEILING(INDEX([1]系统模型!$VD:$VD,MATCH(C395,[1]系统模型!$A:$A,0))*POWER(C395/220,3.8)-50+(1000-A395),1)</f>
        <v>4583</v>
      </c>
      <c r="Q395" s="18">
        <f>CEILING(INDEX([1]系统模型!$VE:$VE,MATCH(C395,[1]系统模型!$A:$A,0))*POWER(C395/220,4),1)</f>
        <v>636</v>
      </c>
      <c r="R395" s="18">
        <f>INT(INDEX([1]系统模型!$VF:$VF,MATCH(C395,[1]系统模型!$A:$A,0))*MAX(POWER(C395/180,4),0.5))</f>
        <v>37400</v>
      </c>
      <c r="S395" s="5">
        <v>1000</v>
      </c>
      <c r="T395" s="25">
        <v>0</v>
      </c>
      <c r="U395" s="25">
        <v>0</v>
      </c>
      <c r="V395" s="25">
        <v>0</v>
      </c>
      <c r="W395" s="25">
        <v>0</v>
      </c>
      <c r="X395" s="25">
        <f t="shared" si="71"/>
        <v>1870</v>
      </c>
      <c r="Y395" s="12">
        <v>0</v>
      </c>
      <c r="Z395" s="25">
        <v>100</v>
      </c>
      <c r="AA395" s="25">
        <v>150</v>
      </c>
      <c r="AB395" s="25">
        <v>0</v>
      </c>
      <c r="AC395" s="25">
        <v>0</v>
      </c>
      <c r="AD395" s="25">
        <v>0</v>
      </c>
      <c r="AE395" s="25">
        <f t="shared" si="72"/>
        <v>382</v>
      </c>
      <c r="AF395" s="25">
        <f t="shared" si="73"/>
        <v>382</v>
      </c>
      <c r="AG395" s="25">
        <v>0</v>
      </c>
      <c r="AH395" s="25">
        <f t="shared" si="74"/>
        <v>5575</v>
      </c>
      <c r="AI395" s="25">
        <f t="shared" si="75"/>
        <v>61</v>
      </c>
      <c r="AJ395" s="25">
        <v>1</v>
      </c>
      <c r="AK395" s="25">
        <v>1000</v>
      </c>
      <c r="AL395" s="25">
        <v>100</v>
      </c>
      <c r="AM395" s="26">
        <v>10</v>
      </c>
      <c r="AN395" s="26">
        <v>10</v>
      </c>
      <c r="AO395" s="22" t="s">
        <v>2211</v>
      </c>
      <c r="AP395" s="26">
        <v>0</v>
      </c>
      <c r="AQ395" s="26">
        <f t="shared" si="76"/>
        <v>600</v>
      </c>
      <c r="AR395" s="18" t="str">
        <f ca="1">CONCATENATE(OFFSET(Sheet1!$A$2,RANDBETWEEN(2,500),0,1,1),OFFSET(Sheet1!$A$2,RANDBETWEEN(2,500),RANDBETWEEN(1,5),1,1))</f>
        <v>吉本</v>
      </c>
      <c r="AS395">
        <f>SUMPRODUCT(P395:AI395,Sheet2!$B$3:$U$3)</f>
        <v>222625</v>
      </c>
    </row>
    <row r="396" spans="1:45" x14ac:dyDescent="0.15">
      <c r="A396" s="18">
        <v>395</v>
      </c>
      <c r="B396" s="18" t="s">
        <v>1982</v>
      </c>
      <c r="C396" s="18">
        <f t="shared" si="66"/>
        <v>191</v>
      </c>
      <c r="D396" s="19">
        <f t="shared" si="67"/>
        <v>3</v>
      </c>
      <c r="E396" s="19">
        <f>VLOOKUP(MOD(A396,4),各职业基础配置!C$32:D$35,2,FALSE)</f>
        <v>9</v>
      </c>
      <c r="F396" s="19">
        <f>IF(A396&lt;900,INDEX(各职业基础配置!C$23:C$28,MOD(ROW(A396),4)+1),0)</f>
        <v>8</v>
      </c>
      <c r="G396" s="19">
        <f t="shared" si="68"/>
        <v>49</v>
      </c>
      <c r="H396" s="27">
        <f t="shared" si="69"/>
        <v>2</v>
      </c>
      <c r="I396" s="6" t="s">
        <v>164</v>
      </c>
      <c r="J396" s="23" t="str">
        <f>VLOOKUP(E396,各职业基础配置!$B$9:$C$12,2,FALSE)</f>
        <v>116|117|118|4201|120</v>
      </c>
      <c r="K396" s="18" t="str">
        <f>VLOOKUP(E396,各职业基础配置!$B$15:$C$18,2,FALSE)</f>
        <v>28|29|30|31</v>
      </c>
      <c r="L396" s="18" t="str">
        <f>VLOOKUP(E396,各职业基础配置!B:C,2,FALSE)</f>
        <v>[{28,1,1},{29,1,1},{30,1,1},{31,1,1},{10,1,1},{11,1,1},{12,1,1}]</v>
      </c>
      <c r="M396" s="18">
        <v>0</v>
      </c>
      <c r="N396" s="18">
        <f t="shared" si="70"/>
        <v>3</v>
      </c>
      <c r="O396" s="18">
        <f>SUMPRODUCT(P396:AI396,Sheet2!$B$3:$U$3)</f>
        <v>222600</v>
      </c>
      <c r="P396" s="18">
        <f>CEILING(INDEX([1]系统模型!$VD:$VD,MATCH(C396,[1]系统模型!$A:$A,0))*POWER(C396/220,3.8)-50+(1000-A396),1)</f>
        <v>4582</v>
      </c>
      <c r="Q396" s="18">
        <f>CEILING(INDEX([1]系统模型!$VE:$VE,MATCH(C396,[1]系统模型!$A:$A,0))*POWER(C396/220,4),1)</f>
        <v>636</v>
      </c>
      <c r="R396" s="18">
        <f>INT(INDEX([1]系统模型!$VF:$VF,MATCH(C396,[1]系统模型!$A:$A,0))*MAX(POWER(C396/180,4),0.5))</f>
        <v>37400</v>
      </c>
      <c r="S396" s="5">
        <v>1000</v>
      </c>
      <c r="T396" s="25">
        <v>0</v>
      </c>
      <c r="U396" s="25">
        <v>0</v>
      </c>
      <c r="V396" s="25">
        <v>0</v>
      </c>
      <c r="W396" s="25">
        <v>0</v>
      </c>
      <c r="X396" s="25">
        <f t="shared" si="71"/>
        <v>1870</v>
      </c>
      <c r="Y396" s="12">
        <v>0</v>
      </c>
      <c r="Z396" s="25">
        <v>100</v>
      </c>
      <c r="AA396" s="25">
        <v>150</v>
      </c>
      <c r="AB396" s="25">
        <v>0</v>
      </c>
      <c r="AC396" s="25">
        <v>0</v>
      </c>
      <c r="AD396" s="25">
        <v>0</v>
      </c>
      <c r="AE396" s="25">
        <f t="shared" si="72"/>
        <v>382</v>
      </c>
      <c r="AF396" s="25">
        <f t="shared" si="73"/>
        <v>382</v>
      </c>
      <c r="AG396" s="25">
        <v>0</v>
      </c>
      <c r="AH396" s="25">
        <f t="shared" si="74"/>
        <v>5575</v>
      </c>
      <c r="AI396" s="25">
        <f t="shared" si="75"/>
        <v>61</v>
      </c>
      <c r="AJ396" s="25">
        <v>1</v>
      </c>
      <c r="AK396" s="25">
        <v>1000</v>
      </c>
      <c r="AL396" s="25">
        <v>100</v>
      </c>
      <c r="AM396" s="26">
        <v>10</v>
      </c>
      <c r="AN396" s="26">
        <v>10</v>
      </c>
      <c r="AO396" s="22" t="s">
        <v>2211</v>
      </c>
      <c r="AP396" s="26">
        <v>0</v>
      </c>
      <c r="AQ396" s="26">
        <f t="shared" si="76"/>
        <v>600</v>
      </c>
      <c r="AR396" s="18" t="str">
        <f ca="1">CONCATENATE(OFFSET(Sheet1!$A$2,RANDBETWEEN(2,500),0,1,1),OFFSET(Sheet1!$A$2,RANDBETWEEN(2,500),RANDBETWEEN(1,5),1,1))</f>
        <v>伯克凯瑟琳</v>
      </c>
      <c r="AS396">
        <f>SUMPRODUCT(P396:AI396,Sheet2!$B$3:$U$3)</f>
        <v>222600</v>
      </c>
    </row>
    <row r="397" spans="1:45" x14ac:dyDescent="0.15">
      <c r="A397" s="23">
        <v>396</v>
      </c>
      <c r="B397" s="18" t="s">
        <v>501</v>
      </c>
      <c r="C397" s="18">
        <f t="shared" si="66"/>
        <v>191</v>
      </c>
      <c r="D397" s="19">
        <f t="shared" si="67"/>
        <v>2</v>
      </c>
      <c r="E397" s="19">
        <f>VLOOKUP(MOD(A397,4),各职业基础配置!C$32:D$35,2,FALSE)</f>
        <v>1</v>
      </c>
      <c r="F397" s="19">
        <f>IF(A397&lt;900,INDEX(各职业基础配置!C$23:C$28,MOD(ROW(A397),4)+1),0)</f>
        <v>13</v>
      </c>
      <c r="G397" s="19">
        <f t="shared" si="68"/>
        <v>49</v>
      </c>
      <c r="H397" s="27">
        <f t="shared" si="69"/>
        <v>2</v>
      </c>
      <c r="I397" s="6" t="s">
        <v>164</v>
      </c>
      <c r="J397" s="23" t="str">
        <f>VLOOKUP(E397,各职业基础配置!$B$9:$C$12,2,FALSE)</f>
        <v>101|102|103|4201|105</v>
      </c>
      <c r="K397" s="18" t="str">
        <f>VLOOKUP(E397,各职业基础配置!$B$15:$C$18,2,FALSE)</f>
        <v>24|25|26|27</v>
      </c>
      <c r="L397" s="18" t="str">
        <f>VLOOKUP(E397,各职业基础配置!B:C,2,FALSE)</f>
        <v>[{24,1,1},{25,1,1},{26,1,1},{27,1,1},{1,1,1},{2,1,1},{3,1,1}]</v>
      </c>
      <c r="M397" s="18">
        <v>0</v>
      </c>
      <c r="N397" s="18">
        <f t="shared" si="70"/>
        <v>3</v>
      </c>
      <c r="O397" s="18">
        <f>SUMPRODUCT(P397:AI397,Sheet2!$B$3:$U$3)</f>
        <v>222575</v>
      </c>
      <c r="P397" s="18">
        <f>CEILING(INDEX([1]系统模型!$VD:$VD,MATCH(C397,[1]系统模型!$A:$A,0))*POWER(C397/220,3.8)-50+(1000-A397),1)</f>
        <v>4581</v>
      </c>
      <c r="Q397" s="18">
        <f>CEILING(INDEX([1]系统模型!$VE:$VE,MATCH(C397,[1]系统模型!$A:$A,0))*POWER(C397/220,4),1)</f>
        <v>636</v>
      </c>
      <c r="R397" s="18">
        <f>INT(INDEX([1]系统模型!$VF:$VF,MATCH(C397,[1]系统模型!$A:$A,0))*MAX(POWER(C397/180,4),0.5))</f>
        <v>37400</v>
      </c>
      <c r="S397" s="5">
        <v>1000</v>
      </c>
      <c r="T397" s="25">
        <v>0</v>
      </c>
      <c r="U397" s="25">
        <v>0</v>
      </c>
      <c r="V397" s="25">
        <v>0</v>
      </c>
      <c r="W397" s="25">
        <v>0</v>
      </c>
      <c r="X397" s="25">
        <f t="shared" si="71"/>
        <v>1870</v>
      </c>
      <c r="Y397" s="12">
        <v>0</v>
      </c>
      <c r="Z397" s="25">
        <v>100</v>
      </c>
      <c r="AA397" s="25">
        <v>150</v>
      </c>
      <c r="AB397" s="25">
        <v>0</v>
      </c>
      <c r="AC397" s="25">
        <v>0</v>
      </c>
      <c r="AD397" s="25">
        <v>0</v>
      </c>
      <c r="AE397" s="25">
        <f t="shared" si="72"/>
        <v>382</v>
      </c>
      <c r="AF397" s="25">
        <f t="shared" si="73"/>
        <v>382</v>
      </c>
      <c r="AG397" s="25">
        <v>0</v>
      </c>
      <c r="AH397" s="25">
        <f t="shared" si="74"/>
        <v>5575</v>
      </c>
      <c r="AI397" s="25">
        <f t="shared" si="75"/>
        <v>61</v>
      </c>
      <c r="AJ397" s="25">
        <v>1</v>
      </c>
      <c r="AK397" s="25">
        <v>1000</v>
      </c>
      <c r="AL397" s="25">
        <v>100</v>
      </c>
      <c r="AM397" s="26">
        <v>10</v>
      </c>
      <c r="AN397" s="26">
        <v>10</v>
      </c>
      <c r="AO397" s="22" t="s">
        <v>2211</v>
      </c>
      <c r="AP397" s="26">
        <v>0</v>
      </c>
      <c r="AQ397" s="26">
        <f t="shared" si="76"/>
        <v>600</v>
      </c>
      <c r="AR397" s="18" t="str">
        <f ca="1">CONCATENATE(OFFSET(Sheet1!$A$2,RANDBETWEEN(2,500),0,1,1),OFFSET(Sheet1!$A$2,RANDBETWEEN(2,500),RANDBETWEEN(1,5),1,1))</f>
        <v>杰弗里</v>
      </c>
      <c r="AS397">
        <f>SUMPRODUCT(P397:AI397,Sheet2!$B$3:$U$3)</f>
        <v>222575</v>
      </c>
    </row>
    <row r="398" spans="1:45" x14ac:dyDescent="0.15">
      <c r="A398" s="18">
        <v>397</v>
      </c>
      <c r="B398" s="18" t="s">
        <v>1983</v>
      </c>
      <c r="C398" s="18">
        <f t="shared" si="66"/>
        <v>191</v>
      </c>
      <c r="D398" s="19">
        <f t="shared" si="67"/>
        <v>3</v>
      </c>
      <c r="E398" s="19">
        <f>VLOOKUP(MOD(A398,4),各职业基础配置!C$32:D$35,2,FALSE)</f>
        <v>3</v>
      </c>
      <c r="F398" s="19">
        <f>IF(A398&lt;900,INDEX(各职业基础配置!C$23:C$28,MOD(ROW(A398),4)+1),0)</f>
        <v>14</v>
      </c>
      <c r="G398" s="19">
        <f t="shared" si="68"/>
        <v>49</v>
      </c>
      <c r="H398" s="27">
        <f t="shared" si="69"/>
        <v>2</v>
      </c>
      <c r="I398" s="6" t="s">
        <v>164</v>
      </c>
      <c r="J398" s="23" t="str">
        <f>VLOOKUP(E398,各职业基础配置!$B$9:$C$12,2,FALSE)</f>
        <v>106|107|108|4201|110</v>
      </c>
      <c r="K398" s="18" t="str">
        <f>VLOOKUP(E398,各职业基础配置!$B$15:$C$18,2,FALSE)</f>
        <v>20|21|22|23</v>
      </c>
      <c r="L398" s="18" t="str">
        <f>VLOOKUP(E398,各职业基础配置!B:C,2,FALSE)</f>
        <v>[{20,1,1},{21,1,1},{22,1,1},{23,1,1},{4,1,1},{5,1,1},{6,1,1}]</v>
      </c>
      <c r="M398" s="18">
        <v>0</v>
      </c>
      <c r="N398" s="18">
        <f t="shared" si="70"/>
        <v>7</v>
      </c>
      <c r="O398" s="18">
        <f>SUMPRODUCT(P398:AI398,Sheet2!$B$3:$U$3)</f>
        <v>222550</v>
      </c>
      <c r="P398" s="18">
        <f>CEILING(INDEX([1]系统模型!$VD:$VD,MATCH(C398,[1]系统模型!$A:$A,0))*POWER(C398/220,3.8)-50+(1000-A398),1)</f>
        <v>4580</v>
      </c>
      <c r="Q398" s="18">
        <f>CEILING(INDEX([1]系统模型!$VE:$VE,MATCH(C398,[1]系统模型!$A:$A,0))*POWER(C398/220,4),1)</f>
        <v>636</v>
      </c>
      <c r="R398" s="18">
        <f>INT(INDEX([1]系统模型!$VF:$VF,MATCH(C398,[1]系统模型!$A:$A,0))*MAX(POWER(C398/180,4),0.5))</f>
        <v>37400</v>
      </c>
      <c r="S398" s="5">
        <v>1000</v>
      </c>
      <c r="T398" s="25">
        <v>0</v>
      </c>
      <c r="U398" s="25">
        <v>0</v>
      </c>
      <c r="V398" s="25">
        <v>0</v>
      </c>
      <c r="W398" s="25">
        <v>0</v>
      </c>
      <c r="X398" s="25">
        <f t="shared" si="71"/>
        <v>1870</v>
      </c>
      <c r="Y398" s="12">
        <v>0</v>
      </c>
      <c r="Z398" s="25">
        <v>100</v>
      </c>
      <c r="AA398" s="25">
        <v>150</v>
      </c>
      <c r="AB398" s="25">
        <v>0</v>
      </c>
      <c r="AC398" s="25">
        <v>0</v>
      </c>
      <c r="AD398" s="25">
        <v>0</v>
      </c>
      <c r="AE398" s="25">
        <f t="shared" si="72"/>
        <v>382</v>
      </c>
      <c r="AF398" s="25">
        <f t="shared" si="73"/>
        <v>382</v>
      </c>
      <c r="AG398" s="25">
        <v>0</v>
      </c>
      <c r="AH398" s="25">
        <f t="shared" si="74"/>
        <v>5575</v>
      </c>
      <c r="AI398" s="25">
        <f t="shared" si="75"/>
        <v>61</v>
      </c>
      <c r="AJ398" s="25">
        <v>1</v>
      </c>
      <c r="AK398" s="25">
        <v>1000</v>
      </c>
      <c r="AL398" s="25">
        <v>100</v>
      </c>
      <c r="AM398" s="26">
        <v>10</v>
      </c>
      <c r="AN398" s="26">
        <v>10</v>
      </c>
      <c r="AO398" s="22" t="s">
        <v>2211</v>
      </c>
      <c r="AP398" s="26">
        <v>0</v>
      </c>
      <c r="AQ398" s="26">
        <f t="shared" si="76"/>
        <v>600</v>
      </c>
      <c r="AR398" s="18" t="str">
        <f ca="1">CONCATENATE(OFFSET(Sheet1!$A$2,RANDBETWEEN(2,500),0,1,1),OFFSET(Sheet1!$A$2,RANDBETWEEN(2,500),RANDBETWEEN(1,5),1,1))</f>
        <v>布里奇斯</v>
      </c>
      <c r="AS398">
        <f>SUMPRODUCT(P398:AI398,Sheet2!$B$3:$U$3)</f>
        <v>222550</v>
      </c>
    </row>
    <row r="399" spans="1:45" x14ac:dyDescent="0.15">
      <c r="A399" s="18">
        <v>398</v>
      </c>
      <c r="B399" s="18" t="s">
        <v>1167</v>
      </c>
      <c r="C399" s="18">
        <f t="shared" si="66"/>
        <v>191</v>
      </c>
      <c r="D399" s="19">
        <f t="shared" si="67"/>
        <v>2</v>
      </c>
      <c r="E399" s="19">
        <f>VLOOKUP(MOD(A399,4),各职业基础配置!C$32:D$35,2,FALSE)</f>
        <v>6</v>
      </c>
      <c r="F399" s="19">
        <f>IF(A399&lt;900,INDEX(各职业基础配置!C$23:C$28,MOD(ROW(A399),4)+1),0)</f>
        <v>16</v>
      </c>
      <c r="G399" s="19">
        <f t="shared" si="68"/>
        <v>49</v>
      </c>
      <c r="H399" s="27">
        <f t="shared" si="69"/>
        <v>2</v>
      </c>
      <c r="I399" s="6" t="s">
        <v>164</v>
      </c>
      <c r="J399" s="23" t="str">
        <f>VLOOKUP(E399,各职业基础配置!$B$9:$C$12,2,FALSE)</f>
        <v>111|112|113|4201|115</v>
      </c>
      <c r="K399" s="18" t="str">
        <f>VLOOKUP(E399,各职业基础配置!$B$15:$C$18,2,FALSE)</f>
        <v>32|33|34</v>
      </c>
      <c r="L399" s="18" t="str">
        <f>VLOOKUP(E399,各职业基础配置!B:C,2,FALSE)</f>
        <v>[{32,1,1},{33,1,1},{34,1,1},{35,1,1},{7,1,1},{8,1,1},{9,1,1}]</v>
      </c>
      <c r="M399" s="18">
        <v>0</v>
      </c>
      <c r="N399" s="18">
        <f t="shared" si="70"/>
        <v>7</v>
      </c>
      <c r="O399" s="18">
        <f>SUMPRODUCT(P399:AI399,Sheet2!$B$3:$U$3)</f>
        <v>222525</v>
      </c>
      <c r="P399" s="18">
        <f>CEILING(INDEX([1]系统模型!$VD:$VD,MATCH(C399,[1]系统模型!$A:$A,0))*POWER(C399/220,3.8)-50+(1000-A399),1)</f>
        <v>4579</v>
      </c>
      <c r="Q399" s="18">
        <f>CEILING(INDEX([1]系统模型!$VE:$VE,MATCH(C399,[1]系统模型!$A:$A,0))*POWER(C399/220,4),1)</f>
        <v>636</v>
      </c>
      <c r="R399" s="18">
        <f>INT(INDEX([1]系统模型!$VF:$VF,MATCH(C399,[1]系统模型!$A:$A,0))*MAX(POWER(C399/180,4),0.5))</f>
        <v>37400</v>
      </c>
      <c r="S399" s="5">
        <v>1000</v>
      </c>
      <c r="T399" s="25">
        <v>0</v>
      </c>
      <c r="U399" s="25">
        <v>0</v>
      </c>
      <c r="V399" s="25">
        <v>0</v>
      </c>
      <c r="W399" s="25">
        <v>0</v>
      </c>
      <c r="X399" s="25">
        <f t="shared" si="71"/>
        <v>1870</v>
      </c>
      <c r="Y399" s="12">
        <v>0</v>
      </c>
      <c r="Z399" s="25">
        <v>100</v>
      </c>
      <c r="AA399" s="25">
        <v>150</v>
      </c>
      <c r="AB399" s="25">
        <v>0</v>
      </c>
      <c r="AC399" s="25">
        <v>0</v>
      </c>
      <c r="AD399" s="25">
        <v>0</v>
      </c>
      <c r="AE399" s="25">
        <f t="shared" si="72"/>
        <v>382</v>
      </c>
      <c r="AF399" s="25">
        <f t="shared" si="73"/>
        <v>382</v>
      </c>
      <c r="AG399" s="25">
        <v>0</v>
      </c>
      <c r="AH399" s="25">
        <f t="shared" si="74"/>
        <v>5575</v>
      </c>
      <c r="AI399" s="25">
        <f t="shared" si="75"/>
        <v>61</v>
      </c>
      <c r="AJ399" s="25">
        <v>1</v>
      </c>
      <c r="AK399" s="25">
        <v>1000</v>
      </c>
      <c r="AL399" s="25">
        <v>100</v>
      </c>
      <c r="AM399" s="26">
        <v>10</v>
      </c>
      <c r="AN399" s="26">
        <v>10</v>
      </c>
      <c r="AO399" s="22" t="s">
        <v>2211</v>
      </c>
      <c r="AP399" s="26">
        <v>0</v>
      </c>
      <c r="AQ399" s="26">
        <f t="shared" si="76"/>
        <v>600</v>
      </c>
      <c r="AR399" s="18" t="str">
        <f ca="1">CONCATENATE(OFFSET(Sheet1!$A$2,RANDBETWEEN(2,500),0,1,1),OFFSET(Sheet1!$A$2,RANDBETWEEN(2,500),RANDBETWEEN(1,5),1,1))</f>
        <v>阿利克梅薇思</v>
      </c>
      <c r="AS399">
        <f>SUMPRODUCT(P399:AI399,Sheet2!$B$3:$U$3)</f>
        <v>222525</v>
      </c>
    </row>
    <row r="400" spans="1:45" x14ac:dyDescent="0.15">
      <c r="A400" s="23">
        <v>399</v>
      </c>
      <c r="B400" s="18" t="s">
        <v>1984</v>
      </c>
      <c r="C400" s="18">
        <f t="shared" si="66"/>
        <v>190</v>
      </c>
      <c r="D400" s="19">
        <f t="shared" si="67"/>
        <v>3</v>
      </c>
      <c r="E400" s="19">
        <f>VLOOKUP(MOD(A400,4),各职业基础配置!C$32:D$35,2,FALSE)</f>
        <v>9</v>
      </c>
      <c r="F400" s="19">
        <f>IF(A400&lt;900,INDEX(各职业基础配置!C$23:C$28,MOD(ROW(A400),4)+1),0)</f>
        <v>8</v>
      </c>
      <c r="G400" s="19">
        <f t="shared" si="68"/>
        <v>48</v>
      </c>
      <c r="H400" s="27">
        <f t="shared" si="69"/>
        <v>2</v>
      </c>
      <c r="I400" s="6" t="s">
        <v>164</v>
      </c>
      <c r="J400" s="23" t="str">
        <f>VLOOKUP(E400,各职业基础配置!$B$9:$C$12,2,FALSE)</f>
        <v>116|117|118|4201|120</v>
      </c>
      <c r="K400" s="18" t="str">
        <f>VLOOKUP(E400,各职业基础配置!$B$15:$C$18,2,FALSE)</f>
        <v>28|29|30|31</v>
      </c>
      <c r="L400" s="18" t="str">
        <f>VLOOKUP(E400,各职业基础配置!B:C,2,FALSE)</f>
        <v>[{28,1,1},{29,1,1},{30,1,1},{31,1,1},{10,1,1},{11,1,1},{12,1,1}]</v>
      </c>
      <c r="M400" s="18">
        <v>0</v>
      </c>
      <c r="N400" s="18">
        <f t="shared" si="70"/>
        <v>3</v>
      </c>
      <c r="O400" s="18">
        <f>SUMPRODUCT(P400:AI400,Sheet2!$B$3:$U$3)</f>
        <v>216997</v>
      </c>
      <c r="P400" s="18">
        <f>CEILING(INDEX([1]系统模型!$VD:$VD,MATCH(C400,[1]系统模型!$A:$A,0))*POWER(C400/220,3.8)-50+(1000-A400),1)</f>
        <v>4458</v>
      </c>
      <c r="Q400" s="18">
        <f>CEILING(INDEX([1]系统模型!$VE:$VE,MATCH(C400,[1]系统模型!$A:$A,0))*POWER(C400/220,4),1)</f>
        <v>610</v>
      </c>
      <c r="R400" s="18">
        <f>INT(INDEX([1]系统模型!$VF:$VF,MATCH(C400,[1]系统模型!$A:$A,0))*MAX(POWER(C400/180,4),0.5))</f>
        <v>36072</v>
      </c>
      <c r="S400" s="5">
        <v>1000</v>
      </c>
      <c r="T400" s="25">
        <v>0</v>
      </c>
      <c r="U400" s="25">
        <v>0</v>
      </c>
      <c r="V400" s="25">
        <v>0</v>
      </c>
      <c r="W400" s="25">
        <v>0</v>
      </c>
      <c r="X400" s="25">
        <f t="shared" si="71"/>
        <v>1803</v>
      </c>
      <c r="Y400" s="12">
        <v>0</v>
      </c>
      <c r="Z400" s="25">
        <v>100</v>
      </c>
      <c r="AA400" s="25">
        <v>150</v>
      </c>
      <c r="AB400" s="25">
        <v>0</v>
      </c>
      <c r="AC400" s="25">
        <v>0</v>
      </c>
      <c r="AD400" s="25">
        <v>0</v>
      </c>
      <c r="AE400" s="25">
        <f t="shared" si="72"/>
        <v>380</v>
      </c>
      <c r="AF400" s="25">
        <f t="shared" si="73"/>
        <v>380</v>
      </c>
      <c r="AG400" s="25">
        <v>0</v>
      </c>
      <c r="AH400" s="25">
        <f t="shared" si="74"/>
        <v>5500</v>
      </c>
      <c r="AI400" s="25">
        <f t="shared" si="75"/>
        <v>59</v>
      </c>
      <c r="AJ400" s="25">
        <v>1</v>
      </c>
      <c r="AK400" s="25">
        <v>1000</v>
      </c>
      <c r="AL400" s="25">
        <v>100</v>
      </c>
      <c r="AM400" s="26">
        <v>10</v>
      </c>
      <c r="AN400" s="26">
        <v>10</v>
      </c>
      <c r="AO400" s="22" t="s">
        <v>2211</v>
      </c>
      <c r="AP400" s="26">
        <v>0</v>
      </c>
      <c r="AQ400" s="26">
        <f t="shared" si="76"/>
        <v>600</v>
      </c>
      <c r="AR400" s="18" t="str">
        <f ca="1">CONCATENATE(OFFSET(Sheet1!$A$2,RANDBETWEEN(2,500),0,1,1),OFFSET(Sheet1!$A$2,RANDBETWEEN(2,500),RANDBETWEEN(1,5),1,1))</f>
        <v>鲍德温</v>
      </c>
      <c r="AS400">
        <f>SUMPRODUCT(P400:AI400,Sheet2!$B$3:$U$3)</f>
        <v>216997</v>
      </c>
    </row>
    <row r="401" spans="1:45" x14ac:dyDescent="0.15">
      <c r="A401" s="18">
        <v>400</v>
      </c>
      <c r="B401" s="18" t="s">
        <v>222</v>
      </c>
      <c r="C401" s="18">
        <f t="shared" si="66"/>
        <v>190</v>
      </c>
      <c r="D401" s="19">
        <f t="shared" si="67"/>
        <v>2</v>
      </c>
      <c r="E401" s="19">
        <f>VLOOKUP(MOD(A401,4),各职业基础配置!C$32:D$35,2,FALSE)</f>
        <v>1</v>
      </c>
      <c r="F401" s="19">
        <f>IF(A401&lt;900,INDEX(各职业基础配置!C$23:C$28,MOD(ROW(A401),4)+1),0)</f>
        <v>13</v>
      </c>
      <c r="G401" s="19">
        <f t="shared" si="68"/>
        <v>48</v>
      </c>
      <c r="H401" s="27">
        <f t="shared" si="69"/>
        <v>2</v>
      </c>
      <c r="I401" s="6" t="s">
        <v>164</v>
      </c>
      <c r="J401" s="23" t="str">
        <f>VLOOKUP(E401,各职业基础配置!$B$9:$C$12,2,FALSE)</f>
        <v>101|102|103|4201|105</v>
      </c>
      <c r="K401" s="18" t="str">
        <f>VLOOKUP(E401,各职业基础配置!$B$15:$C$18,2,FALSE)</f>
        <v>24|25|26|27</v>
      </c>
      <c r="L401" s="18" t="str">
        <f>VLOOKUP(E401,各职业基础配置!B:C,2,FALSE)</f>
        <v>[{24,1,1},{25,1,1},{26,1,1},{27,1,1},{1,1,1},{2,1,1},{3,1,1}]</v>
      </c>
      <c r="M401" s="18">
        <v>0</v>
      </c>
      <c r="N401" s="18">
        <f t="shared" si="70"/>
        <v>3</v>
      </c>
      <c r="O401" s="18">
        <f>SUMPRODUCT(P401:AI401,Sheet2!$B$3:$U$3)</f>
        <v>216972</v>
      </c>
      <c r="P401" s="18">
        <f>CEILING(INDEX([1]系统模型!$VD:$VD,MATCH(C401,[1]系统模型!$A:$A,0))*POWER(C401/220,3.8)-50+(1000-A401),1)</f>
        <v>4457</v>
      </c>
      <c r="Q401" s="18">
        <f>CEILING(INDEX([1]系统模型!$VE:$VE,MATCH(C401,[1]系统模型!$A:$A,0))*POWER(C401/220,4),1)</f>
        <v>610</v>
      </c>
      <c r="R401" s="18">
        <f>INT(INDEX([1]系统模型!$VF:$VF,MATCH(C401,[1]系统模型!$A:$A,0))*MAX(POWER(C401/180,4),0.5))</f>
        <v>36072</v>
      </c>
      <c r="S401" s="5">
        <v>1000</v>
      </c>
      <c r="T401" s="25">
        <v>0</v>
      </c>
      <c r="U401" s="25">
        <v>0</v>
      </c>
      <c r="V401" s="25">
        <v>0</v>
      </c>
      <c r="W401" s="25">
        <v>0</v>
      </c>
      <c r="X401" s="25">
        <f t="shared" si="71"/>
        <v>1803</v>
      </c>
      <c r="Y401" s="12">
        <v>0</v>
      </c>
      <c r="Z401" s="25">
        <v>100</v>
      </c>
      <c r="AA401" s="25">
        <v>150</v>
      </c>
      <c r="AB401" s="25">
        <v>0</v>
      </c>
      <c r="AC401" s="25">
        <v>0</v>
      </c>
      <c r="AD401" s="25">
        <v>0</v>
      </c>
      <c r="AE401" s="25">
        <f t="shared" si="72"/>
        <v>380</v>
      </c>
      <c r="AF401" s="25">
        <f t="shared" si="73"/>
        <v>380</v>
      </c>
      <c r="AG401" s="25">
        <v>0</v>
      </c>
      <c r="AH401" s="25">
        <f t="shared" si="74"/>
        <v>5500</v>
      </c>
      <c r="AI401" s="25">
        <f t="shared" si="75"/>
        <v>59</v>
      </c>
      <c r="AJ401" s="25">
        <v>1</v>
      </c>
      <c r="AK401" s="25">
        <v>1000</v>
      </c>
      <c r="AL401" s="25">
        <v>100</v>
      </c>
      <c r="AM401" s="26">
        <v>10</v>
      </c>
      <c r="AN401" s="26">
        <v>10</v>
      </c>
      <c r="AO401" s="22" t="s">
        <v>2211</v>
      </c>
      <c r="AP401" s="26">
        <v>0</v>
      </c>
      <c r="AQ401" s="26">
        <f t="shared" si="76"/>
        <v>600</v>
      </c>
      <c r="AR401" s="18" t="str">
        <f ca="1">CONCATENATE(OFFSET(Sheet1!$A$2,RANDBETWEEN(2,500),0,1,1),OFFSET(Sheet1!$A$2,RANDBETWEEN(2,500),RANDBETWEEN(1,5),1,1))</f>
        <v>巴特萨琳娜</v>
      </c>
      <c r="AS401">
        <f>SUMPRODUCT(P401:AI401,Sheet2!$B$3:$U$3)</f>
        <v>216972</v>
      </c>
    </row>
    <row r="402" spans="1:45" x14ac:dyDescent="0.15">
      <c r="A402" s="18">
        <v>401</v>
      </c>
      <c r="B402" s="18" t="s">
        <v>1286</v>
      </c>
      <c r="C402" s="18">
        <f t="shared" si="66"/>
        <v>190</v>
      </c>
      <c r="D402" s="19">
        <f t="shared" si="67"/>
        <v>3</v>
      </c>
      <c r="E402" s="19">
        <f>VLOOKUP(MOD(A402,4),各职业基础配置!C$32:D$35,2,FALSE)</f>
        <v>3</v>
      </c>
      <c r="F402" s="19">
        <f>IF(A402&lt;900,INDEX(各职业基础配置!C$23:C$28,MOD(ROW(A402),4)+1),0)</f>
        <v>14</v>
      </c>
      <c r="G402" s="19">
        <f t="shared" si="68"/>
        <v>48</v>
      </c>
      <c r="H402" s="27">
        <f t="shared" si="69"/>
        <v>2</v>
      </c>
      <c r="I402" s="6" t="s">
        <v>164</v>
      </c>
      <c r="J402" s="23" t="str">
        <f>VLOOKUP(E402,各职业基础配置!$B$9:$C$12,2,FALSE)</f>
        <v>106|107|108|4201|110</v>
      </c>
      <c r="K402" s="18" t="str">
        <f>VLOOKUP(E402,各职业基础配置!$B$15:$C$18,2,FALSE)</f>
        <v>20|21|22|23</v>
      </c>
      <c r="L402" s="18" t="str">
        <f>VLOOKUP(E402,各职业基础配置!B:C,2,FALSE)</f>
        <v>[{20,1,1},{21,1,1},{22,1,1},{23,1,1},{4,1,1},{5,1,1},{6,1,1}]</v>
      </c>
      <c r="M402" s="18">
        <v>0</v>
      </c>
      <c r="N402" s="18">
        <f t="shared" si="70"/>
        <v>7</v>
      </c>
      <c r="O402" s="18">
        <f>SUMPRODUCT(P402:AI402,Sheet2!$B$3:$U$3)</f>
        <v>216947</v>
      </c>
      <c r="P402" s="18">
        <f>CEILING(INDEX([1]系统模型!$VD:$VD,MATCH(C402,[1]系统模型!$A:$A,0))*POWER(C402/220,3.8)-50+(1000-A402),1)</f>
        <v>4456</v>
      </c>
      <c r="Q402" s="18">
        <f>CEILING(INDEX([1]系统模型!$VE:$VE,MATCH(C402,[1]系统模型!$A:$A,0))*POWER(C402/220,4),1)</f>
        <v>610</v>
      </c>
      <c r="R402" s="18">
        <f>INT(INDEX([1]系统模型!$VF:$VF,MATCH(C402,[1]系统模型!$A:$A,0))*MAX(POWER(C402/180,4),0.5))</f>
        <v>36072</v>
      </c>
      <c r="S402" s="5">
        <v>1000</v>
      </c>
      <c r="T402" s="25">
        <v>0</v>
      </c>
      <c r="U402" s="25">
        <v>0</v>
      </c>
      <c r="V402" s="25">
        <v>0</v>
      </c>
      <c r="W402" s="25">
        <v>0</v>
      </c>
      <c r="X402" s="25">
        <f t="shared" si="71"/>
        <v>1803</v>
      </c>
      <c r="Y402" s="12">
        <v>0</v>
      </c>
      <c r="Z402" s="25">
        <v>100</v>
      </c>
      <c r="AA402" s="25">
        <v>150</v>
      </c>
      <c r="AB402" s="25">
        <v>0</v>
      </c>
      <c r="AC402" s="25">
        <v>0</v>
      </c>
      <c r="AD402" s="25">
        <v>0</v>
      </c>
      <c r="AE402" s="25">
        <f t="shared" si="72"/>
        <v>380</v>
      </c>
      <c r="AF402" s="25">
        <f t="shared" si="73"/>
        <v>380</v>
      </c>
      <c r="AG402" s="25">
        <v>0</v>
      </c>
      <c r="AH402" s="25">
        <f t="shared" si="74"/>
        <v>5500</v>
      </c>
      <c r="AI402" s="25">
        <f t="shared" si="75"/>
        <v>59</v>
      </c>
      <c r="AJ402" s="25">
        <v>1</v>
      </c>
      <c r="AK402" s="25">
        <v>1000</v>
      </c>
      <c r="AL402" s="25">
        <v>100</v>
      </c>
      <c r="AM402" s="26">
        <v>10</v>
      </c>
      <c r="AN402" s="26">
        <v>10</v>
      </c>
      <c r="AO402" s="22" t="s">
        <v>2211</v>
      </c>
      <c r="AP402" s="26">
        <v>0</v>
      </c>
      <c r="AQ402" s="26">
        <f t="shared" si="76"/>
        <v>600</v>
      </c>
      <c r="AR402" s="18" t="str">
        <f ca="1">CONCATENATE(OFFSET(Sheet1!$A$2,RANDBETWEEN(2,500),0,1,1),OFFSET(Sheet1!$A$2,RANDBETWEEN(2,500),RANDBETWEEN(1,5),1,1))</f>
        <v>比尔德</v>
      </c>
      <c r="AS402">
        <f>SUMPRODUCT(P402:AI402,Sheet2!$B$3:$U$3)</f>
        <v>216947</v>
      </c>
    </row>
    <row r="403" spans="1:45" x14ac:dyDescent="0.15">
      <c r="A403" s="23">
        <v>402</v>
      </c>
      <c r="B403" s="18" t="s">
        <v>1382</v>
      </c>
      <c r="C403" s="18">
        <f t="shared" si="66"/>
        <v>190</v>
      </c>
      <c r="D403" s="19">
        <f t="shared" si="67"/>
        <v>2</v>
      </c>
      <c r="E403" s="19">
        <f>VLOOKUP(MOD(A403,4),各职业基础配置!C$32:D$35,2,FALSE)</f>
        <v>6</v>
      </c>
      <c r="F403" s="19">
        <f>IF(A403&lt;900,INDEX(各职业基础配置!C$23:C$28,MOD(ROW(A403),4)+1),0)</f>
        <v>16</v>
      </c>
      <c r="G403" s="19">
        <f t="shared" si="68"/>
        <v>48</v>
      </c>
      <c r="H403" s="27">
        <f t="shared" si="69"/>
        <v>2</v>
      </c>
      <c r="I403" s="6" t="s">
        <v>164</v>
      </c>
      <c r="J403" s="23" t="str">
        <f>VLOOKUP(E403,各职业基础配置!$B$9:$C$12,2,FALSE)</f>
        <v>111|112|113|4201|115</v>
      </c>
      <c r="K403" s="18" t="str">
        <f>VLOOKUP(E403,各职业基础配置!$B$15:$C$18,2,FALSE)</f>
        <v>32|33|34</v>
      </c>
      <c r="L403" s="18" t="str">
        <f>VLOOKUP(E403,各职业基础配置!B:C,2,FALSE)</f>
        <v>[{32,1,1},{33,1,1},{34,1,1},{35,1,1},{7,1,1},{8,1,1},{9,1,1}]</v>
      </c>
      <c r="M403" s="18">
        <v>0</v>
      </c>
      <c r="N403" s="18">
        <f t="shared" si="70"/>
        <v>7</v>
      </c>
      <c r="O403" s="18">
        <f>SUMPRODUCT(P403:AI403,Sheet2!$B$3:$U$3)</f>
        <v>216922</v>
      </c>
      <c r="P403" s="18">
        <f>CEILING(INDEX([1]系统模型!$VD:$VD,MATCH(C403,[1]系统模型!$A:$A,0))*POWER(C403/220,3.8)-50+(1000-A403),1)</f>
        <v>4455</v>
      </c>
      <c r="Q403" s="18">
        <f>CEILING(INDEX([1]系统模型!$VE:$VE,MATCH(C403,[1]系统模型!$A:$A,0))*POWER(C403/220,4),1)</f>
        <v>610</v>
      </c>
      <c r="R403" s="18">
        <f>INT(INDEX([1]系统模型!$VF:$VF,MATCH(C403,[1]系统模型!$A:$A,0))*MAX(POWER(C403/180,4),0.5))</f>
        <v>36072</v>
      </c>
      <c r="S403" s="5">
        <v>1000</v>
      </c>
      <c r="T403" s="25">
        <v>0</v>
      </c>
      <c r="U403" s="25">
        <v>0</v>
      </c>
      <c r="V403" s="25">
        <v>0</v>
      </c>
      <c r="W403" s="25">
        <v>0</v>
      </c>
      <c r="X403" s="25">
        <f t="shared" si="71"/>
        <v>1803</v>
      </c>
      <c r="Y403" s="12">
        <v>0</v>
      </c>
      <c r="Z403" s="25">
        <v>100</v>
      </c>
      <c r="AA403" s="25">
        <v>150</v>
      </c>
      <c r="AB403" s="25">
        <v>0</v>
      </c>
      <c r="AC403" s="25">
        <v>0</v>
      </c>
      <c r="AD403" s="25">
        <v>0</v>
      </c>
      <c r="AE403" s="25">
        <f t="shared" si="72"/>
        <v>380</v>
      </c>
      <c r="AF403" s="25">
        <f t="shared" si="73"/>
        <v>380</v>
      </c>
      <c r="AG403" s="25">
        <v>0</v>
      </c>
      <c r="AH403" s="25">
        <f t="shared" si="74"/>
        <v>5500</v>
      </c>
      <c r="AI403" s="25">
        <f t="shared" si="75"/>
        <v>59</v>
      </c>
      <c r="AJ403" s="25">
        <v>1</v>
      </c>
      <c r="AK403" s="25">
        <v>1000</v>
      </c>
      <c r="AL403" s="25">
        <v>100</v>
      </c>
      <c r="AM403" s="26">
        <v>10</v>
      </c>
      <c r="AN403" s="26">
        <v>10</v>
      </c>
      <c r="AO403" s="22" t="s">
        <v>2211</v>
      </c>
      <c r="AP403" s="26">
        <v>0</v>
      </c>
      <c r="AQ403" s="26">
        <f t="shared" si="76"/>
        <v>590</v>
      </c>
      <c r="AR403" s="18" t="str">
        <f ca="1">CONCATENATE(OFFSET(Sheet1!$A$2,RANDBETWEEN(2,500),0,1,1),OFFSET(Sheet1!$A$2,RANDBETWEEN(2,500),RANDBETWEEN(1,5),1,1))</f>
        <v>弗劳尔</v>
      </c>
      <c r="AS403">
        <f>SUMPRODUCT(P403:AI403,Sheet2!$B$3:$U$3)</f>
        <v>216922</v>
      </c>
    </row>
    <row r="404" spans="1:45" x14ac:dyDescent="0.15">
      <c r="A404" s="18">
        <v>403</v>
      </c>
      <c r="B404" s="18" t="s">
        <v>915</v>
      </c>
      <c r="C404" s="18">
        <f t="shared" si="66"/>
        <v>190</v>
      </c>
      <c r="D404" s="19">
        <f t="shared" si="67"/>
        <v>3</v>
      </c>
      <c r="E404" s="19">
        <f>VLOOKUP(MOD(A404,4),各职业基础配置!C$32:D$35,2,FALSE)</f>
        <v>9</v>
      </c>
      <c r="F404" s="19">
        <f>IF(A404&lt;900,INDEX(各职业基础配置!C$23:C$28,MOD(ROW(A404),4)+1),0)</f>
        <v>8</v>
      </c>
      <c r="G404" s="19">
        <f t="shared" si="68"/>
        <v>48</v>
      </c>
      <c r="H404" s="27">
        <f t="shared" si="69"/>
        <v>2</v>
      </c>
      <c r="I404" s="6" t="s">
        <v>164</v>
      </c>
      <c r="J404" s="23" t="str">
        <f>VLOOKUP(E404,各职业基础配置!$B$9:$C$12,2,FALSE)</f>
        <v>116|117|118|4201|120</v>
      </c>
      <c r="K404" s="18" t="str">
        <f>VLOOKUP(E404,各职业基础配置!$B$15:$C$18,2,FALSE)</f>
        <v>28|29|30|31</v>
      </c>
      <c r="L404" s="18" t="str">
        <f>VLOOKUP(E404,各职业基础配置!B:C,2,FALSE)</f>
        <v>[{28,1,1},{29,1,1},{30,1,1},{31,1,1},{10,1,1},{11,1,1},{12,1,1}]</v>
      </c>
      <c r="M404" s="18">
        <v>0</v>
      </c>
      <c r="N404" s="18">
        <f t="shared" si="70"/>
        <v>3</v>
      </c>
      <c r="O404" s="18">
        <f>SUMPRODUCT(P404:AI404,Sheet2!$B$3:$U$3)</f>
        <v>216897</v>
      </c>
      <c r="P404" s="18">
        <f>CEILING(INDEX([1]系统模型!$VD:$VD,MATCH(C404,[1]系统模型!$A:$A,0))*POWER(C404/220,3.8)-50+(1000-A404),1)</f>
        <v>4454</v>
      </c>
      <c r="Q404" s="18">
        <f>CEILING(INDEX([1]系统模型!$VE:$VE,MATCH(C404,[1]系统模型!$A:$A,0))*POWER(C404/220,4),1)</f>
        <v>610</v>
      </c>
      <c r="R404" s="18">
        <f>INT(INDEX([1]系统模型!$VF:$VF,MATCH(C404,[1]系统模型!$A:$A,0))*MAX(POWER(C404/180,4),0.5))</f>
        <v>36072</v>
      </c>
      <c r="S404" s="5">
        <v>1000</v>
      </c>
      <c r="T404" s="25">
        <v>0</v>
      </c>
      <c r="U404" s="25">
        <v>0</v>
      </c>
      <c r="V404" s="25">
        <v>0</v>
      </c>
      <c r="W404" s="25">
        <v>0</v>
      </c>
      <c r="X404" s="25">
        <f t="shared" si="71"/>
        <v>1803</v>
      </c>
      <c r="Y404" s="12">
        <v>0</v>
      </c>
      <c r="Z404" s="25">
        <v>100</v>
      </c>
      <c r="AA404" s="25">
        <v>150</v>
      </c>
      <c r="AB404" s="25">
        <v>0</v>
      </c>
      <c r="AC404" s="25">
        <v>0</v>
      </c>
      <c r="AD404" s="25">
        <v>0</v>
      </c>
      <c r="AE404" s="25">
        <f t="shared" si="72"/>
        <v>380</v>
      </c>
      <c r="AF404" s="25">
        <f t="shared" si="73"/>
        <v>380</v>
      </c>
      <c r="AG404" s="25">
        <v>0</v>
      </c>
      <c r="AH404" s="25">
        <f t="shared" si="74"/>
        <v>5500</v>
      </c>
      <c r="AI404" s="25">
        <f t="shared" si="75"/>
        <v>59</v>
      </c>
      <c r="AJ404" s="25">
        <v>1</v>
      </c>
      <c r="AK404" s="25">
        <v>1000</v>
      </c>
      <c r="AL404" s="25">
        <v>100</v>
      </c>
      <c r="AM404" s="26">
        <v>10</v>
      </c>
      <c r="AN404" s="26">
        <v>10</v>
      </c>
      <c r="AO404" s="22" t="s">
        <v>2211</v>
      </c>
      <c r="AP404" s="26">
        <v>0</v>
      </c>
      <c r="AQ404" s="26">
        <f t="shared" si="76"/>
        <v>590</v>
      </c>
      <c r="AR404" s="18" t="str">
        <f ca="1">CONCATENATE(OFFSET(Sheet1!$A$2,RANDBETWEEN(2,500),0,1,1),OFFSET(Sheet1!$A$2,RANDBETWEEN(2,500),RANDBETWEEN(1,5),1,1))</f>
        <v>埃文</v>
      </c>
      <c r="AS404">
        <f>SUMPRODUCT(P404:AI404,Sheet2!$B$3:$U$3)</f>
        <v>216897</v>
      </c>
    </row>
    <row r="405" spans="1:45" x14ac:dyDescent="0.15">
      <c r="A405" s="18">
        <v>404</v>
      </c>
      <c r="B405" s="18" t="s">
        <v>192</v>
      </c>
      <c r="C405" s="18">
        <f t="shared" si="66"/>
        <v>190</v>
      </c>
      <c r="D405" s="19">
        <f t="shared" si="67"/>
        <v>2</v>
      </c>
      <c r="E405" s="19">
        <f>VLOOKUP(MOD(A405,4),各职业基础配置!C$32:D$35,2,FALSE)</f>
        <v>1</v>
      </c>
      <c r="F405" s="19">
        <f>IF(A405&lt;900,INDEX(各职业基础配置!C$23:C$28,MOD(ROW(A405),4)+1),0)</f>
        <v>13</v>
      </c>
      <c r="G405" s="19">
        <f t="shared" si="68"/>
        <v>48</v>
      </c>
      <c r="H405" s="27">
        <f t="shared" si="69"/>
        <v>2</v>
      </c>
      <c r="I405" s="6" t="s">
        <v>164</v>
      </c>
      <c r="J405" s="23" t="str">
        <f>VLOOKUP(E405,各职业基础配置!$B$9:$C$12,2,FALSE)</f>
        <v>101|102|103|4201|105</v>
      </c>
      <c r="K405" s="18" t="str">
        <f>VLOOKUP(E405,各职业基础配置!$B$15:$C$18,2,FALSE)</f>
        <v>24|25|26|27</v>
      </c>
      <c r="L405" s="18" t="str">
        <f>VLOOKUP(E405,各职业基础配置!B:C,2,FALSE)</f>
        <v>[{24,1,1},{25,1,1},{26,1,1},{27,1,1},{1,1,1},{2,1,1},{3,1,1}]</v>
      </c>
      <c r="M405" s="18">
        <v>0</v>
      </c>
      <c r="N405" s="18">
        <f t="shared" si="70"/>
        <v>3</v>
      </c>
      <c r="O405" s="18">
        <f>SUMPRODUCT(P405:AI405,Sheet2!$B$3:$U$3)</f>
        <v>216872</v>
      </c>
      <c r="P405" s="18">
        <f>CEILING(INDEX([1]系统模型!$VD:$VD,MATCH(C405,[1]系统模型!$A:$A,0))*POWER(C405/220,3.8)-50+(1000-A405),1)</f>
        <v>4453</v>
      </c>
      <c r="Q405" s="18">
        <f>CEILING(INDEX([1]系统模型!$VE:$VE,MATCH(C405,[1]系统模型!$A:$A,0))*POWER(C405/220,4),1)</f>
        <v>610</v>
      </c>
      <c r="R405" s="18">
        <f>INT(INDEX([1]系统模型!$VF:$VF,MATCH(C405,[1]系统模型!$A:$A,0))*MAX(POWER(C405/180,4),0.5))</f>
        <v>36072</v>
      </c>
      <c r="S405" s="5">
        <v>1000</v>
      </c>
      <c r="T405" s="25">
        <v>0</v>
      </c>
      <c r="U405" s="25">
        <v>0</v>
      </c>
      <c r="V405" s="25">
        <v>0</v>
      </c>
      <c r="W405" s="25">
        <v>0</v>
      </c>
      <c r="X405" s="25">
        <f t="shared" si="71"/>
        <v>1803</v>
      </c>
      <c r="Y405" s="12">
        <v>0</v>
      </c>
      <c r="Z405" s="25">
        <v>100</v>
      </c>
      <c r="AA405" s="25">
        <v>150</v>
      </c>
      <c r="AB405" s="25">
        <v>0</v>
      </c>
      <c r="AC405" s="25">
        <v>0</v>
      </c>
      <c r="AD405" s="25">
        <v>0</v>
      </c>
      <c r="AE405" s="25">
        <f t="shared" si="72"/>
        <v>380</v>
      </c>
      <c r="AF405" s="25">
        <f t="shared" si="73"/>
        <v>380</v>
      </c>
      <c r="AG405" s="25">
        <v>0</v>
      </c>
      <c r="AH405" s="25">
        <f t="shared" si="74"/>
        <v>5500</v>
      </c>
      <c r="AI405" s="25">
        <f t="shared" si="75"/>
        <v>59</v>
      </c>
      <c r="AJ405" s="25">
        <v>1</v>
      </c>
      <c r="AK405" s="25">
        <v>1000</v>
      </c>
      <c r="AL405" s="25">
        <v>100</v>
      </c>
      <c r="AM405" s="26">
        <v>10</v>
      </c>
      <c r="AN405" s="26">
        <v>10</v>
      </c>
      <c r="AO405" s="22" t="s">
        <v>2211</v>
      </c>
      <c r="AP405" s="26">
        <v>0</v>
      </c>
      <c r="AQ405" s="26">
        <f t="shared" si="76"/>
        <v>590</v>
      </c>
      <c r="AR405" s="18" t="str">
        <f ca="1">CONCATENATE(OFFSET(Sheet1!$A$2,RANDBETWEEN(2,500),0,1,1),OFFSET(Sheet1!$A$2,RANDBETWEEN(2,500),RANDBETWEEN(1,5),1,1))</f>
        <v>格雷厄姆</v>
      </c>
      <c r="AS405">
        <f>SUMPRODUCT(P405:AI405,Sheet2!$B$3:$U$3)</f>
        <v>216872</v>
      </c>
    </row>
    <row r="406" spans="1:45" x14ac:dyDescent="0.15">
      <c r="A406" s="23">
        <v>405</v>
      </c>
      <c r="B406" s="18" t="s">
        <v>1985</v>
      </c>
      <c r="C406" s="18">
        <f t="shared" si="66"/>
        <v>190</v>
      </c>
      <c r="D406" s="19">
        <f t="shared" si="67"/>
        <v>3</v>
      </c>
      <c r="E406" s="19">
        <f>VLOOKUP(MOD(A406,4),各职业基础配置!C$32:D$35,2,FALSE)</f>
        <v>3</v>
      </c>
      <c r="F406" s="19">
        <f>IF(A406&lt;900,INDEX(各职业基础配置!C$23:C$28,MOD(ROW(A406),4)+1),0)</f>
        <v>14</v>
      </c>
      <c r="G406" s="19">
        <f t="shared" si="68"/>
        <v>48</v>
      </c>
      <c r="H406" s="27">
        <f t="shared" si="69"/>
        <v>2</v>
      </c>
      <c r="I406" s="6" t="s">
        <v>164</v>
      </c>
      <c r="J406" s="23" t="str">
        <f>VLOOKUP(E406,各职业基础配置!$B$9:$C$12,2,FALSE)</f>
        <v>106|107|108|4201|110</v>
      </c>
      <c r="K406" s="18" t="str">
        <f>VLOOKUP(E406,各职业基础配置!$B$15:$C$18,2,FALSE)</f>
        <v>20|21|22|23</v>
      </c>
      <c r="L406" s="18" t="str">
        <f>VLOOKUP(E406,各职业基础配置!B:C,2,FALSE)</f>
        <v>[{20,1,1},{21,1,1},{22,1,1},{23,1,1},{4,1,1},{5,1,1},{6,1,1}]</v>
      </c>
      <c r="M406" s="18">
        <v>0</v>
      </c>
      <c r="N406" s="18">
        <f t="shared" si="70"/>
        <v>7</v>
      </c>
      <c r="O406" s="18">
        <f>SUMPRODUCT(P406:AI406,Sheet2!$B$3:$U$3)</f>
        <v>216847</v>
      </c>
      <c r="P406" s="18">
        <f>CEILING(INDEX([1]系统模型!$VD:$VD,MATCH(C406,[1]系统模型!$A:$A,0))*POWER(C406/220,3.8)-50+(1000-A406),1)</f>
        <v>4452</v>
      </c>
      <c r="Q406" s="18">
        <f>CEILING(INDEX([1]系统模型!$VE:$VE,MATCH(C406,[1]系统模型!$A:$A,0))*POWER(C406/220,4),1)</f>
        <v>610</v>
      </c>
      <c r="R406" s="18">
        <f>INT(INDEX([1]系统模型!$VF:$VF,MATCH(C406,[1]系统模型!$A:$A,0))*MAX(POWER(C406/180,4),0.5))</f>
        <v>36072</v>
      </c>
      <c r="S406" s="5">
        <v>1000</v>
      </c>
      <c r="T406" s="25">
        <v>0</v>
      </c>
      <c r="U406" s="25">
        <v>0</v>
      </c>
      <c r="V406" s="25">
        <v>0</v>
      </c>
      <c r="W406" s="25">
        <v>0</v>
      </c>
      <c r="X406" s="25">
        <f t="shared" si="71"/>
        <v>1803</v>
      </c>
      <c r="Y406" s="12">
        <v>0</v>
      </c>
      <c r="Z406" s="25">
        <v>100</v>
      </c>
      <c r="AA406" s="25">
        <v>150</v>
      </c>
      <c r="AB406" s="25">
        <v>0</v>
      </c>
      <c r="AC406" s="25">
        <v>0</v>
      </c>
      <c r="AD406" s="25">
        <v>0</v>
      </c>
      <c r="AE406" s="25">
        <f t="shared" si="72"/>
        <v>380</v>
      </c>
      <c r="AF406" s="25">
        <f t="shared" si="73"/>
        <v>380</v>
      </c>
      <c r="AG406" s="25">
        <v>0</v>
      </c>
      <c r="AH406" s="25">
        <f t="shared" si="74"/>
        <v>5500</v>
      </c>
      <c r="AI406" s="25">
        <f t="shared" si="75"/>
        <v>59</v>
      </c>
      <c r="AJ406" s="25">
        <v>1</v>
      </c>
      <c r="AK406" s="25">
        <v>1000</v>
      </c>
      <c r="AL406" s="25">
        <v>100</v>
      </c>
      <c r="AM406" s="26">
        <v>10</v>
      </c>
      <c r="AN406" s="26">
        <v>10</v>
      </c>
      <c r="AO406" s="22" t="s">
        <v>2211</v>
      </c>
      <c r="AP406" s="26">
        <v>0</v>
      </c>
      <c r="AQ406" s="26">
        <f t="shared" si="76"/>
        <v>590</v>
      </c>
      <c r="AR406" s="18" t="str">
        <f ca="1">CONCATENATE(OFFSET(Sheet1!$A$2,RANDBETWEEN(2,500),0,1,1),OFFSET(Sheet1!$A$2,RANDBETWEEN(2,500),RANDBETWEEN(1,5),1,1))</f>
        <v>培根</v>
      </c>
      <c r="AS406">
        <f>SUMPRODUCT(P406:AI406,Sheet2!$B$3:$U$3)</f>
        <v>216847</v>
      </c>
    </row>
    <row r="407" spans="1:45" x14ac:dyDescent="0.15">
      <c r="A407" s="18">
        <v>406</v>
      </c>
      <c r="B407" s="18" t="s">
        <v>1986</v>
      </c>
      <c r="C407" s="18">
        <f t="shared" si="66"/>
        <v>189</v>
      </c>
      <c r="D407" s="19">
        <f t="shared" si="67"/>
        <v>2</v>
      </c>
      <c r="E407" s="19">
        <f>VLOOKUP(MOD(A407,4),各职业基础配置!C$32:D$35,2,FALSE)</f>
        <v>6</v>
      </c>
      <c r="F407" s="19">
        <f>IF(A407&lt;900,INDEX(各职业基础配置!C$23:C$28,MOD(ROW(A407),4)+1),0)</f>
        <v>16</v>
      </c>
      <c r="G407" s="19">
        <f t="shared" si="68"/>
        <v>46</v>
      </c>
      <c r="H407" s="27">
        <f t="shared" si="69"/>
        <v>2</v>
      </c>
      <c r="I407" s="6" t="s">
        <v>164</v>
      </c>
      <c r="J407" s="23" t="str">
        <f>VLOOKUP(E407,各职业基础配置!$B$9:$C$12,2,FALSE)</f>
        <v>111|112|113|4201|115</v>
      </c>
      <c r="K407" s="18" t="str">
        <f>VLOOKUP(E407,各职业基础配置!$B$15:$C$18,2,FALSE)</f>
        <v>32|33|34</v>
      </c>
      <c r="L407" s="18" t="str">
        <f>VLOOKUP(E407,各职业基础配置!B:C,2,FALSE)</f>
        <v>[{32,1,1},{33,1,1},{34,1,1},{35,1,1},{7,1,1},{8,1,1},{9,1,1}]</v>
      </c>
      <c r="M407" s="18">
        <v>0</v>
      </c>
      <c r="N407" s="18">
        <f t="shared" si="70"/>
        <v>7</v>
      </c>
      <c r="O407" s="18">
        <f>SUMPRODUCT(P407:AI407,Sheet2!$B$3:$U$3)</f>
        <v>211897</v>
      </c>
      <c r="P407" s="18">
        <f>CEILING(INDEX([1]系统模型!$VD:$VD,MATCH(C407,[1]系统模型!$A:$A,0))*POWER(C407/220,3.8)-50+(1000-A407),1)</f>
        <v>4350</v>
      </c>
      <c r="Q407" s="18">
        <f>CEILING(INDEX([1]系统模型!$VE:$VE,MATCH(C407,[1]系统模型!$A:$A,0))*POWER(C407/220,4),1)</f>
        <v>580</v>
      </c>
      <c r="R407" s="18">
        <f>INT(INDEX([1]系统模型!$VF:$VF,MATCH(C407,[1]系统模型!$A:$A,0))*MAX(POWER(C407/180,4),0.5))</f>
        <v>34922</v>
      </c>
      <c r="S407" s="5">
        <v>1000</v>
      </c>
      <c r="T407" s="25">
        <v>0</v>
      </c>
      <c r="U407" s="25">
        <v>0</v>
      </c>
      <c r="V407" s="25">
        <v>0</v>
      </c>
      <c r="W407" s="25">
        <v>0</v>
      </c>
      <c r="X407" s="25">
        <f t="shared" si="71"/>
        <v>1746</v>
      </c>
      <c r="Y407" s="12">
        <v>0</v>
      </c>
      <c r="Z407" s="25">
        <v>100</v>
      </c>
      <c r="AA407" s="25">
        <v>150</v>
      </c>
      <c r="AB407" s="25">
        <v>0</v>
      </c>
      <c r="AC407" s="25">
        <v>0</v>
      </c>
      <c r="AD407" s="25">
        <v>0</v>
      </c>
      <c r="AE407" s="25">
        <f t="shared" si="72"/>
        <v>378</v>
      </c>
      <c r="AF407" s="25">
        <f t="shared" si="73"/>
        <v>378</v>
      </c>
      <c r="AG407" s="25">
        <v>0</v>
      </c>
      <c r="AH407" s="25">
        <f t="shared" si="74"/>
        <v>5425</v>
      </c>
      <c r="AI407" s="25">
        <f t="shared" si="75"/>
        <v>58</v>
      </c>
      <c r="AJ407" s="25">
        <v>1</v>
      </c>
      <c r="AK407" s="25">
        <v>1000</v>
      </c>
      <c r="AL407" s="25">
        <v>100</v>
      </c>
      <c r="AM407" s="26">
        <v>10</v>
      </c>
      <c r="AN407" s="26">
        <v>10</v>
      </c>
      <c r="AO407" s="22" t="s">
        <v>2211</v>
      </c>
      <c r="AP407" s="26">
        <v>0</v>
      </c>
      <c r="AQ407" s="26">
        <f t="shared" si="76"/>
        <v>590</v>
      </c>
      <c r="AR407" s="18" t="str">
        <f ca="1">CONCATENATE(OFFSET(Sheet1!$A$2,RANDBETWEEN(2,500),0,1,1),OFFSET(Sheet1!$A$2,RANDBETWEEN(2,500),RANDBETWEEN(1,5),1,1))</f>
        <v>格雷西潘妮</v>
      </c>
      <c r="AS407">
        <f>SUMPRODUCT(P407:AI407,Sheet2!$B$3:$U$3)</f>
        <v>211897</v>
      </c>
    </row>
    <row r="408" spans="1:45" x14ac:dyDescent="0.15">
      <c r="A408" s="18">
        <v>407</v>
      </c>
      <c r="B408" s="18" t="s">
        <v>1325</v>
      </c>
      <c r="C408" s="18">
        <f t="shared" si="66"/>
        <v>189</v>
      </c>
      <c r="D408" s="19">
        <f t="shared" si="67"/>
        <v>3</v>
      </c>
      <c r="E408" s="19">
        <f>VLOOKUP(MOD(A408,4),各职业基础配置!C$32:D$35,2,FALSE)</f>
        <v>9</v>
      </c>
      <c r="F408" s="19">
        <f>IF(A408&lt;900,INDEX(各职业基础配置!C$23:C$28,MOD(ROW(A408),4)+1),0)</f>
        <v>8</v>
      </c>
      <c r="G408" s="19">
        <f t="shared" si="68"/>
        <v>46</v>
      </c>
      <c r="H408" s="27">
        <f t="shared" si="69"/>
        <v>2</v>
      </c>
      <c r="I408" s="6" t="s">
        <v>164</v>
      </c>
      <c r="J408" s="23" t="str">
        <f>VLOOKUP(E408,各职业基础配置!$B$9:$C$12,2,FALSE)</f>
        <v>116|117|118|4201|120</v>
      </c>
      <c r="K408" s="18" t="str">
        <f>VLOOKUP(E408,各职业基础配置!$B$15:$C$18,2,FALSE)</f>
        <v>28|29|30|31</v>
      </c>
      <c r="L408" s="18" t="str">
        <f>VLOOKUP(E408,各职业基础配置!B:C,2,FALSE)</f>
        <v>[{28,1,1},{29,1,1},{30,1,1},{31,1,1},{10,1,1},{11,1,1},{12,1,1}]</v>
      </c>
      <c r="M408" s="18">
        <v>0</v>
      </c>
      <c r="N408" s="18">
        <f t="shared" si="70"/>
        <v>3</v>
      </c>
      <c r="O408" s="18">
        <f>SUMPRODUCT(P408:AI408,Sheet2!$B$3:$U$3)</f>
        <v>211847</v>
      </c>
      <c r="P408" s="18">
        <f>CEILING(INDEX([1]系统模型!$VD:$VD,MATCH(C408,[1]系统模型!$A:$A,0))*POWER(C408/220,3.8)-50+(1000-A408),1)</f>
        <v>4349</v>
      </c>
      <c r="Q408" s="18">
        <f>CEILING(INDEX([1]系统模型!$VE:$VE,MATCH(C408,[1]系统模型!$A:$A,0))*POWER(C408/220,4),1)</f>
        <v>580</v>
      </c>
      <c r="R408" s="18">
        <f>INT(INDEX([1]系统模型!$VF:$VF,MATCH(C408,[1]系统模型!$A:$A,0))*MAX(POWER(C408/180,4),0.5))</f>
        <v>34922</v>
      </c>
      <c r="S408" s="5">
        <v>1000</v>
      </c>
      <c r="T408" s="25">
        <v>0</v>
      </c>
      <c r="U408" s="25">
        <v>0</v>
      </c>
      <c r="V408" s="25">
        <v>0</v>
      </c>
      <c r="W408" s="25">
        <v>0</v>
      </c>
      <c r="X408" s="25">
        <f t="shared" si="71"/>
        <v>1746</v>
      </c>
      <c r="Y408" s="12">
        <v>0</v>
      </c>
      <c r="Z408" s="25">
        <v>100</v>
      </c>
      <c r="AA408" s="25">
        <v>150</v>
      </c>
      <c r="AB408" s="25">
        <v>0</v>
      </c>
      <c r="AC408" s="25">
        <v>0</v>
      </c>
      <c r="AD408" s="25">
        <v>0</v>
      </c>
      <c r="AE408" s="25">
        <f t="shared" si="72"/>
        <v>378</v>
      </c>
      <c r="AF408" s="25">
        <f t="shared" si="73"/>
        <v>378</v>
      </c>
      <c r="AG408" s="25">
        <v>0</v>
      </c>
      <c r="AH408" s="25">
        <f t="shared" si="74"/>
        <v>5425</v>
      </c>
      <c r="AI408" s="25">
        <f t="shared" si="75"/>
        <v>57</v>
      </c>
      <c r="AJ408" s="25">
        <v>1</v>
      </c>
      <c r="AK408" s="25">
        <v>1000</v>
      </c>
      <c r="AL408" s="25">
        <v>100</v>
      </c>
      <c r="AM408" s="26">
        <v>10</v>
      </c>
      <c r="AN408" s="26">
        <v>10</v>
      </c>
      <c r="AO408" s="22" t="s">
        <v>2211</v>
      </c>
      <c r="AP408" s="26">
        <v>0</v>
      </c>
      <c r="AQ408" s="26">
        <f t="shared" si="76"/>
        <v>590</v>
      </c>
      <c r="AR408" s="18" t="str">
        <f ca="1">CONCATENATE(OFFSET(Sheet1!$A$2,RANDBETWEEN(2,500),0,1,1),OFFSET(Sheet1!$A$2,RANDBETWEEN(2,500),RANDBETWEEN(1,5),1,1))</f>
        <v>布尔韦尔</v>
      </c>
      <c r="AS408">
        <f>SUMPRODUCT(P408:AI408,Sheet2!$B$3:$U$3)</f>
        <v>211847</v>
      </c>
    </row>
    <row r="409" spans="1:45" x14ac:dyDescent="0.15">
      <c r="A409" s="23">
        <v>408</v>
      </c>
      <c r="B409" s="18" t="s">
        <v>1029</v>
      </c>
      <c r="C409" s="18">
        <f t="shared" si="66"/>
        <v>189</v>
      </c>
      <c r="D409" s="19">
        <f t="shared" si="67"/>
        <v>2</v>
      </c>
      <c r="E409" s="19">
        <f>VLOOKUP(MOD(A409,4),各职业基础配置!C$32:D$35,2,FALSE)</f>
        <v>1</v>
      </c>
      <c r="F409" s="19">
        <f>IF(A409&lt;900,INDEX(各职业基础配置!C$23:C$28,MOD(ROW(A409),4)+1),0)</f>
        <v>13</v>
      </c>
      <c r="G409" s="19">
        <f t="shared" si="68"/>
        <v>46</v>
      </c>
      <c r="H409" s="27">
        <f t="shared" si="69"/>
        <v>2</v>
      </c>
      <c r="I409" s="6" t="s">
        <v>164</v>
      </c>
      <c r="J409" s="23" t="str">
        <f>VLOOKUP(E409,各职业基础配置!$B$9:$C$12,2,FALSE)</f>
        <v>101|102|103|4201|105</v>
      </c>
      <c r="K409" s="18" t="str">
        <f>VLOOKUP(E409,各职业基础配置!$B$15:$C$18,2,FALSE)</f>
        <v>24|25|26|27</v>
      </c>
      <c r="L409" s="18" t="str">
        <f>VLOOKUP(E409,各职业基础配置!B:C,2,FALSE)</f>
        <v>[{24,1,1},{25,1,1},{26,1,1},{27,1,1},{1,1,1},{2,1,1},{3,1,1}]</v>
      </c>
      <c r="M409" s="18">
        <v>0</v>
      </c>
      <c r="N409" s="18">
        <f t="shared" si="70"/>
        <v>3</v>
      </c>
      <c r="O409" s="18">
        <f>SUMPRODUCT(P409:AI409,Sheet2!$B$3:$U$3)</f>
        <v>211822</v>
      </c>
      <c r="P409" s="18">
        <f>CEILING(INDEX([1]系统模型!$VD:$VD,MATCH(C409,[1]系统模型!$A:$A,0))*POWER(C409/220,3.8)-50+(1000-A409),1)</f>
        <v>4348</v>
      </c>
      <c r="Q409" s="18">
        <f>CEILING(INDEX([1]系统模型!$VE:$VE,MATCH(C409,[1]系统模型!$A:$A,0))*POWER(C409/220,4),1)</f>
        <v>580</v>
      </c>
      <c r="R409" s="18">
        <f>INT(INDEX([1]系统模型!$VF:$VF,MATCH(C409,[1]系统模型!$A:$A,0))*MAX(POWER(C409/180,4),0.5))</f>
        <v>34922</v>
      </c>
      <c r="S409" s="5">
        <v>1000</v>
      </c>
      <c r="T409" s="25">
        <v>0</v>
      </c>
      <c r="U409" s="25">
        <v>0</v>
      </c>
      <c r="V409" s="25">
        <v>0</v>
      </c>
      <c r="W409" s="25">
        <v>0</v>
      </c>
      <c r="X409" s="25">
        <f t="shared" si="71"/>
        <v>1746</v>
      </c>
      <c r="Y409" s="12">
        <v>0</v>
      </c>
      <c r="Z409" s="25">
        <v>100</v>
      </c>
      <c r="AA409" s="25">
        <v>150</v>
      </c>
      <c r="AB409" s="25">
        <v>0</v>
      </c>
      <c r="AC409" s="25">
        <v>0</v>
      </c>
      <c r="AD409" s="25">
        <v>0</v>
      </c>
      <c r="AE409" s="25">
        <f t="shared" si="72"/>
        <v>378</v>
      </c>
      <c r="AF409" s="25">
        <f t="shared" si="73"/>
        <v>378</v>
      </c>
      <c r="AG409" s="25">
        <v>0</v>
      </c>
      <c r="AH409" s="25">
        <f t="shared" si="74"/>
        <v>5425</v>
      </c>
      <c r="AI409" s="25">
        <f t="shared" si="75"/>
        <v>57</v>
      </c>
      <c r="AJ409" s="25">
        <v>1</v>
      </c>
      <c r="AK409" s="25">
        <v>1000</v>
      </c>
      <c r="AL409" s="25">
        <v>100</v>
      </c>
      <c r="AM409" s="26">
        <v>10</v>
      </c>
      <c r="AN409" s="26">
        <v>10</v>
      </c>
      <c r="AO409" s="22" t="s">
        <v>2211</v>
      </c>
      <c r="AP409" s="26">
        <v>0</v>
      </c>
      <c r="AQ409" s="26">
        <f t="shared" si="76"/>
        <v>590</v>
      </c>
      <c r="AR409" s="18" t="str">
        <f ca="1">CONCATENATE(OFFSET(Sheet1!$A$2,RANDBETWEEN(2,500),0,1,1),OFFSET(Sheet1!$A$2,RANDBETWEEN(2,500),RANDBETWEEN(1,5),1,1))</f>
        <v>卡门迪丽雅</v>
      </c>
      <c r="AS409">
        <f>SUMPRODUCT(P409:AI409,Sheet2!$B$3:$U$3)</f>
        <v>211822</v>
      </c>
    </row>
    <row r="410" spans="1:45" x14ac:dyDescent="0.15">
      <c r="A410" s="18">
        <v>409</v>
      </c>
      <c r="B410" s="18" t="s">
        <v>1987</v>
      </c>
      <c r="C410" s="18">
        <f t="shared" si="66"/>
        <v>189</v>
      </c>
      <c r="D410" s="19">
        <f t="shared" si="67"/>
        <v>3</v>
      </c>
      <c r="E410" s="19">
        <f>VLOOKUP(MOD(A410,4),各职业基础配置!C$32:D$35,2,FALSE)</f>
        <v>3</v>
      </c>
      <c r="F410" s="19">
        <f>IF(A410&lt;900,INDEX(各职业基础配置!C$23:C$28,MOD(ROW(A410),4)+1),0)</f>
        <v>14</v>
      </c>
      <c r="G410" s="19">
        <f t="shared" si="68"/>
        <v>46</v>
      </c>
      <c r="H410" s="27">
        <f t="shared" si="69"/>
        <v>2</v>
      </c>
      <c r="I410" s="6" t="s">
        <v>164</v>
      </c>
      <c r="J410" s="23" t="str">
        <f>VLOOKUP(E410,各职业基础配置!$B$9:$C$12,2,FALSE)</f>
        <v>106|107|108|4201|110</v>
      </c>
      <c r="K410" s="18" t="str">
        <f>VLOOKUP(E410,各职业基础配置!$B$15:$C$18,2,FALSE)</f>
        <v>20|21|22|23</v>
      </c>
      <c r="L410" s="18" t="str">
        <f>VLOOKUP(E410,各职业基础配置!B:C,2,FALSE)</f>
        <v>[{20,1,1},{21,1,1},{22,1,1},{23,1,1},{4,1,1},{5,1,1},{6,1,1}]</v>
      </c>
      <c r="M410" s="18">
        <v>0</v>
      </c>
      <c r="N410" s="18">
        <f t="shared" si="70"/>
        <v>7</v>
      </c>
      <c r="O410" s="18">
        <f>SUMPRODUCT(P410:AI410,Sheet2!$B$3:$U$3)</f>
        <v>211797</v>
      </c>
      <c r="P410" s="18">
        <f>CEILING(INDEX([1]系统模型!$VD:$VD,MATCH(C410,[1]系统模型!$A:$A,0))*POWER(C410/220,3.8)-50+(1000-A410),1)</f>
        <v>4347</v>
      </c>
      <c r="Q410" s="18">
        <f>CEILING(INDEX([1]系统模型!$VE:$VE,MATCH(C410,[1]系统模型!$A:$A,0))*POWER(C410/220,4),1)</f>
        <v>580</v>
      </c>
      <c r="R410" s="18">
        <f>INT(INDEX([1]系统模型!$VF:$VF,MATCH(C410,[1]系统模型!$A:$A,0))*MAX(POWER(C410/180,4),0.5))</f>
        <v>34922</v>
      </c>
      <c r="S410" s="5">
        <v>1000</v>
      </c>
      <c r="T410" s="25">
        <v>0</v>
      </c>
      <c r="U410" s="25">
        <v>0</v>
      </c>
      <c r="V410" s="25">
        <v>0</v>
      </c>
      <c r="W410" s="25">
        <v>0</v>
      </c>
      <c r="X410" s="25">
        <f t="shared" si="71"/>
        <v>1746</v>
      </c>
      <c r="Y410" s="12">
        <v>0</v>
      </c>
      <c r="Z410" s="25">
        <v>100</v>
      </c>
      <c r="AA410" s="25">
        <v>150</v>
      </c>
      <c r="AB410" s="25">
        <v>0</v>
      </c>
      <c r="AC410" s="25">
        <v>0</v>
      </c>
      <c r="AD410" s="25">
        <v>0</v>
      </c>
      <c r="AE410" s="25">
        <f t="shared" si="72"/>
        <v>378</v>
      </c>
      <c r="AF410" s="25">
        <f t="shared" si="73"/>
        <v>378</v>
      </c>
      <c r="AG410" s="25">
        <v>0</v>
      </c>
      <c r="AH410" s="25">
        <f t="shared" si="74"/>
        <v>5425</v>
      </c>
      <c r="AI410" s="25">
        <f t="shared" si="75"/>
        <v>57</v>
      </c>
      <c r="AJ410" s="25">
        <v>1</v>
      </c>
      <c r="AK410" s="25">
        <v>1000</v>
      </c>
      <c r="AL410" s="25">
        <v>100</v>
      </c>
      <c r="AM410" s="26">
        <v>10</v>
      </c>
      <c r="AN410" s="26">
        <v>10</v>
      </c>
      <c r="AO410" s="22" t="s">
        <v>2211</v>
      </c>
      <c r="AP410" s="26">
        <v>0</v>
      </c>
      <c r="AQ410" s="26">
        <f t="shared" si="76"/>
        <v>590</v>
      </c>
      <c r="AR410" s="18" t="str">
        <f ca="1">CONCATENATE(OFFSET(Sheet1!$A$2,RANDBETWEEN(2,500),0,1,1),OFFSET(Sheet1!$A$2,RANDBETWEEN(2,500),RANDBETWEEN(1,5),1,1))</f>
        <v>福勒列蒂西雅</v>
      </c>
      <c r="AS410">
        <f>SUMPRODUCT(P410:AI410,Sheet2!$B$3:$U$3)</f>
        <v>211797</v>
      </c>
    </row>
    <row r="411" spans="1:45" x14ac:dyDescent="0.15">
      <c r="A411" s="18">
        <v>410</v>
      </c>
      <c r="B411" s="18" t="s">
        <v>1988</v>
      </c>
      <c r="C411" s="18">
        <f t="shared" si="66"/>
        <v>189</v>
      </c>
      <c r="D411" s="19">
        <f t="shared" si="67"/>
        <v>2</v>
      </c>
      <c r="E411" s="19">
        <f>VLOOKUP(MOD(A411,4),各职业基础配置!C$32:D$35,2,FALSE)</f>
        <v>6</v>
      </c>
      <c r="F411" s="19">
        <f>IF(A411&lt;900,INDEX(各职业基础配置!C$23:C$28,MOD(ROW(A411),4)+1),0)</f>
        <v>16</v>
      </c>
      <c r="G411" s="19">
        <f t="shared" si="68"/>
        <v>46</v>
      </c>
      <c r="H411" s="27">
        <f t="shared" si="69"/>
        <v>2</v>
      </c>
      <c r="I411" s="6" t="s">
        <v>164</v>
      </c>
      <c r="J411" s="23" t="str">
        <f>VLOOKUP(E411,各职业基础配置!$B$9:$C$12,2,FALSE)</f>
        <v>111|112|113|4201|115</v>
      </c>
      <c r="K411" s="18" t="str">
        <f>VLOOKUP(E411,各职业基础配置!$B$15:$C$18,2,FALSE)</f>
        <v>32|33|34</v>
      </c>
      <c r="L411" s="18" t="str">
        <f>VLOOKUP(E411,各职业基础配置!B:C,2,FALSE)</f>
        <v>[{32,1,1},{33,1,1},{34,1,1},{35,1,1},{7,1,1},{8,1,1},{9,1,1}]</v>
      </c>
      <c r="M411" s="18">
        <v>0</v>
      </c>
      <c r="N411" s="18">
        <f t="shared" si="70"/>
        <v>7</v>
      </c>
      <c r="O411" s="18">
        <f>SUMPRODUCT(P411:AI411,Sheet2!$B$3:$U$3)</f>
        <v>211772</v>
      </c>
      <c r="P411" s="18">
        <f>CEILING(INDEX([1]系统模型!$VD:$VD,MATCH(C411,[1]系统模型!$A:$A,0))*POWER(C411/220,3.8)-50+(1000-A411),1)</f>
        <v>4346</v>
      </c>
      <c r="Q411" s="18">
        <f>CEILING(INDEX([1]系统模型!$VE:$VE,MATCH(C411,[1]系统模型!$A:$A,0))*POWER(C411/220,4),1)</f>
        <v>580</v>
      </c>
      <c r="R411" s="18">
        <f>INT(INDEX([1]系统模型!$VF:$VF,MATCH(C411,[1]系统模型!$A:$A,0))*MAX(POWER(C411/180,4),0.5))</f>
        <v>34922</v>
      </c>
      <c r="S411" s="5">
        <v>1000</v>
      </c>
      <c r="T411" s="25">
        <v>0</v>
      </c>
      <c r="U411" s="25">
        <v>0</v>
      </c>
      <c r="V411" s="25">
        <v>0</v>
      </c>
      <c r="W411" s="25">
        <v>0</v>
      </c>
      <c r="X411" s="25">
        <f t="shared" si="71"/>
        <v>1746</v>
      </c>
      <c r="Y411" s="12">
        <v>0</v>
      </c>
      <c r="Z411" s="25">
        <v>100</v>
      </c>
      <c r="AA411" s="25">
        <v>150</v>
      </c>
      <c r="AB411" s="25">
        <v>0</v>
      </c>
      <c r="AC411" s="25">
        <v>0</v>
      </c>
      <c r="AD411" s="25">
        <v>0</v>
      </c>
      <c r="AE411" s="25">
        <f t="shared" si="72"/>
        <v>378</v>
      </c>
      <c r="AF411" s="25">
        <f t="shared" si="73"/>
        <v>378</v>
      </c>
      <c r="AG411" s="25">
        <v>0</v>
      </c>
      <c r="AH411" s="25">
        <f t="shared" si="74"/>
        <v>5425</v>
      </c>
      <c r="AI411" s="25">
        <f t="shared" si="75"/>
        <v>57</v>
      </c>
      <c r="AJ411" s="25">
        <v>1</v>
      </c>
      <c r="AK411" s="25">
        <v>1000</v>
      </c>
      <c r="AL411" s="25">
        <v>100</v>
      </c>
      <c r="AM411" s="26">
        <v>10</v>
      </c>
      <c r="AN411" s="26">
        <v>10</v>
      </c>
      <c r="AO411" s="22" t="s">
        <v>2211</v>
      </c>
      <c r="AP411" s="26">
        <v>0</v>
      </c>
      <c r="AQ411" s="26">
        <f t="shared" si="76"/>
        <v>590</v>
      </c>
      <c r="AR411" s="18" t="str">
        <f ca="1">CONCATENATE(OFFSET(Sheet1!$A$2,RANDBETWEEN(2,500),0,1,1),OFFSET(Sheet1!$A$2,RANDBETWEEN(2,500),RANDBETWEEN(1,5),1,1))</f>
        <v>弗朗西斯娜</v>
      </c>
      <c r="AS411">
        <f>SUMPRODUCT(P411:AI411,Sheet2!$B$3:$U$3)</f>
        <v>211772</v>
      </c>
    </row>
    <row r="412" spans="1:45" x14ac:dyDescent="0.15">
      <c r="A412" s="23">
        <v>411</v>
      </c>
      <c r="B412" s="18" t="s">
        <v>1135</v>
      </c>
      <c r="C412" s="18">
        <f t="shared" si="66"/>
        <v>189</v>
      </c>
      <c r="D412" s="19">
        <f t="shared" si="67"/>
        <v>3</v>
      </c>
      <c r="E412" s="19">
        <f>VLOOKUP(MOD(A412,4),各职业基础配置!C$32:D$35,2,FALSE)</f>
        <v>9</v>
      </c>
      <c r="F412" s="19">
        <f>IF(A412&lt;900,INDEX(各职业基础配置!C$23:C$28,MOD(ROW(A412),4)+1),0)</f>
        <v>8</v>
      </c>
      <c r="G412" s="19">
        <f t="shared" si="68"/>
        <v>46</v>
      </c>
      <c r="H412" s="27">
        <f t="shared" si="69"/>
        <v>2</v>
      </c>
      <c r="I412" s="6" t="s">
        <v>164</v>
      </c>
      <c r="J412" s="23" t="str">
        <f>VLOOKUP(E412,各职业基础配置!$B$9:$C$12,2,FALSE)</f>
        <v>116|117|118|4201|120</v>
      </c>
      <c r="K412" s="18" t="str">
        <f>VLOOKUP(E412,各职业基础配置!$B$15:$C$18,2,FALSE)</f>
        <v>28|29|30|31</v>
      </c>
      <c r="L412" s="18" t="str">
        <f>VLOOKUP(E412,各职业基础配置!B:C,2,FALSE)</f>
        <v>[{28,1,1},{29,1,1},{30,1,1},{31,1,1},{10,1,1},{11,1,1},{12,1,1}]</v>
      </c>
      <c r="M412" s="18">
        <v>0</v>
      </c>
      <c r="N412" s="18">
        <f t="shared" si="70"/>
        <v>3</v>
      </c>
      <c r="O412" s="18">
        <f>SUMPRODUCT(P412:AI412,Sheet2!$B$3:$U$3)</f>
        <v>211747</v>
      </c>
      <c r="P412" s="18">
        <f>CEILING(INDEX([1]系统模型!$VD:$VD,MATCH(C412,[1]系统模型!$A:$A,0))*POWER(C412/220,3.8)-50+(1000-A412),1)</f>
        <v>4345</v>
      </c>
      <c r="Q412" s="18">
        <f>CEILING(INDEX([1]系统模型!$VE:$VE,MATCH(C412,[1]系统模型!$A:$A,0))*POWER(C412/220,4),1)</f>
        <v>580</v>
      </c>
      <c r="R412" s="18">
        <f>INT(INDEX([1]系统模型!$VF:$VF,MATCH(C412,[1]系统模型!$A:$A,0))*MAX(POWER(C412/180,4),0.5))</f>
        <v>34922</v>
      </c>
      <c r="S412" s="5">
        <v>1000</v>
      </c>
      <c r="T412" s="25">
        <v>0</v>
      </c>
      <c r="U412" s="25">
        <v>0</v>
      </c>
      <c r="V412" s="25">
        <v>0</v>
      </c>
      <c r="W412" s="25">
        <v>0</v>
      </c>
      <c r="X412" s="25">
        <f t="shared" si="71"/>
        <v>1746</v>
      </c>
      <c r="Y412" s="12">
        <v>0</v>
      </c>
      <c r="Z412" s="25">
        <v>100</v>
      </c>
      <c r="AA412" s="25">
        <v>150</v>
      </c>
      <c r="AB412" s="25">
        <v>0</v>
      </c>
      <c r="AC412" s="25">
        <v>0</v>
      </c>
      <c r="AD412" s="25">
        <v>0</v>
      </c>
      <c r="AE412" s="25">
        <f t="shared" si="72"/>
        <v>378</v>
      </c>
      <c r="AF412" s="25">
        <f t="shared" si="73"/>
        <v>378</v>
      </c>
      <c r="AG412" s="25">
        <v>0</v>
      </c>
      <c r="AH412" s="25">
        <f t="shared" si="74"/>
        <v>5425</v>
      </c>
      <c r="AI412" s="25">
        <f t="shared" si="75"/>
        <v>57</v>
      </c>
      <c r="AJ412" s="25">
        <v>1</v>
      </c>
      <c r="AK412" s="25">
        <v>1000</v>
      </c>
      <c r="AL412" s="25">
        <v>100</v>
      </c>
      <c r="AM412" s="26">
        <v>10</v>
      </c>
      <c r="AN412" s="26">
        <v>10</v>
      </c>
      <c r="AO412" s="22" t="s">
        <v>2211</v>
      </c>
      <c r="AP412" s="26">
        <v>0</v>
      </c>
      <c r="AQ412" s="26">
        <f t="shared" si="76"/>
        <v>590</v>
      </c>
      <c r="AR412" s="18" t="str">
        <f ca="1">CONCATENATE(OFFSET(Sheet1!$A$2,RANDBETWEEN(2,500),0,1,1),OFFSET(Sheet1!$A$2,RANDBETWEEN(2,500),RANDBETWEEN(1,5),1,1))</f>
        <v>奥斯汀</v>
      </c>
      <c r="AS412">
        <f>SUMPRODUCT(P412:AI412,Sheet2!$B$3:$U$3)</f>
        <v>211747</v>
      </c>
    </row>
    <row r="413" spans="1:45" x14ac:dyDescent="0.15">
      <c r="A413" s="18">
        <v>412</v>
      </c>
      <c r="B413" s="18" t="s">
        <v>1989</v>
      </c>
      <c r="C413" s="18">
        <f t="shared" si="66"/>
        <v>189</v>
      </c>
      <c r="D413" s="19">
        <f t="shared" si="67"/>
        <v>2</v>
      </c>
      <c r="E413" s="19">
        <f>VLOOKUP(MOD(A413,4),各职业基础配置!C$32:D$35,2,FALSE)</f>
        <v>1</v>
      </c>
      <c r="F413" s="19">
        <f>IF(A413&lt;900,INDEX(各职业基础配置!C$23:C$28,MOD(ROW(A413),4)+1),0)</f>
        <v>13</v>
      </c>
      <c r="G413" s="19">
        <f t="shared" si="68"/>
        <v>46</v>
      </c>
      <c r="H413" s="27">
        <f t="shared" si="69"/>
        <v>2</v>
      </c>
      <c r="I413" s="6" t="s">
        <v>164</v>
      </c>
      <c r="J413" s="23" t="str">
        <f>VLOOKUP(E413,各职业基础配置!$B$9:$C$12,2,FALSE)</f>
        <v>101|102|103|4201|105</v>
      </c>
      <c r="K413" s="18" t="str">
        <f>VLOOKUP(E413,各职业基础配置!$B$15:$C$18,2,FALSE)</f>
        <v>24|25|26|27</v>
      </c>
      <c r="L413" s="18" t="str">
        <f>VLOOKUP(E413,各职业基础配置!B:C,2,FALSE)</f>
        <v>[{24,1,1},{25,1,1},{26,1,1},{27,1,1},{1,1,1},{2,1,1},{3,1,1}]</v>
      </c>
      <c r="M413" s="18">
        <v>0</v>
      </c>
      <c r="N413" s="18">
        <f t="shared" si="70"/>
        <v>3</v>
      </c>
      <c r="O413" s="18">
        <f>SUMPRODUCT(P413:AI413,Sheet2!$B$3:$U$3)</f>
        <v>211722</v>
      </c>
      <c r="P413" s="18">
        <f>CEILING(INDEX([1]系统模型!$VD:$VD,MATCH(C413,[1]系统模型!$A:$A,0))*POWER(C413/220,3.8)-50+(1000-A413),1)</f>
        <v>4344</v>
      </c>
      <c r="Q413" s="18">
        <f>CEILING(INDEX([1]系统模型!$VE:$VE,MATCH(C413,[1]系统模型!$A:$A,0))*POWER(C413/220,4),1)</f>
        <v>580</v>
      </c>
      <c r="R413" s="18">
        <f>INT(INDEX([1]系统模型!$VF:$VF,MATCH(C413,[1]系统模型!$A:$A,0))*MAX(POWER(C413/180,4),0.5))</f>
        <v>34922</v>
      </c>
      <c r="S413" s="5">
        <v>1000</v>
      </c>
      <c r="T413" s="25">
        <v>0</v>
      </c>
      <c r="U413" s="25">
        <v>0</v>
      </c>
      <c r="V413" s="25">
        <v>0</v>
      </c>
      <c r="W413" s="25">
        <v>0</v>
      </c>
      <c r="X413" s="25">
        <f t="shared" si="71"/>
        <v>1746</v>
      </c>
      <c r="Y413" s="12">
        <v>0</v>
      </c>
      <c r="Z413" s="25">
        <v>100</v>
      </c>
      <c r="AA413" s="25">
        <v>150</v>
      </c>
      <c r="AB413" s="25">
        <v>0</v>
      </c>
      <c r="AC413" s="25">
        <v>0</v>
      </c>
      <c r="AD413" s="25">
        <v>0</v>
      </c>
      <c r="AE413" s="25">
        <f t="shared" si="72"/>
        <v>378</v>
      </c>
      <c r="AF413" s="25">
        <f t="shared" si="73"/>
        <v>378</v>
      </c>
      <c r="AG413" s="25">
        <v>0</v>
      </c>
      <c r="AH413" s="25">
        <f t="shared" si="74"/>
        <v>5425</v>
      </c>
      <c r="AI413" s="25">
        <f t="shared" si="75"/>
        <v>57</v>
      </c>
      <c r="AJ413" s="25">
        <v>1</v>
      </c>
      <c r="AK413" s="25">
        <v>1000</v>
      </c>
      <c r="AL413" s="25">
        <v>100</v>
      </c>
      <c r="AM413" s="26">
        <v>10</v>
      </c>
      <c r="AN413" s="26">
        <v>10</v>
      </c>
      <c r="AO413" s="22" t="s">
        <v>2211</v>
      </c>
      <c r="AP413" s="26">
        <v>0</v>
      </c>
      <c r="AQ413" s="26">
        <f t="shared" si="76"/>
        <v>580</v>
      </c>
      <c r="AR413" s="18" t="str">
        <f ca="1">CONCATENATE(OFFSET(Sheet1!$A$2,RANDBETWEEN(2,500),0,1,1),OFFSET(Sheet1!$A$2,RANDBETWEEN(2,500),RANDBETWEEN(1,5),1,1))</f>
        <v>杰罗姆演绎</v>
      </c>
      <c r="AS413">
        <f>SUMPRODUCT(P413:AI413,Sheet2!$B$3:$U$3)</f>
        <v>211722</v>
      </c>
    </row>
    <row r="414" spans="1:45" x14ac:dyDescent="0.15">
      <c r="A414" s="18">
        <v>413</v>
      </c>
      <c r="B414" s="18" t="s">
        <v>923</v>
      </c>
      <c r="C414" s="18">
        <f t="shared" si="66"/>
        <v>188</v>
      </c>
      <c r="D414" s="19">
        <f t="shared" si="67"/>
        <v>3</v>
      </c>
      <c r="E414" s="19">
        <f>VLOOKUP(MOD(A414,4),各职业基础配置!C$32:D$35,2,FALSE)</f>
        <v>3</v>
      </c>
      <c r="F414" s="19">
        <f>IF(A414&lt;900,INDEX(各职业基础配置!C$23:C$28,MOD(ROW(A414),4)+1),0)</f>
        <v>14</v>
      </c>
      <c r="G414" s="19">
        <f t="shared" si="68"/>
        <v>45</v>
      </c>
      <c r="H414" s="27">
        <f t="shared" si="69"/>
        <v>2</v>
      </c>
      <c r="I414" s="6" t="s">
        <v>164</v>
      </c>
      <c r="J414" s="23" t="str">
        <f>VLOOKUP(E414,各职业基础配置!$B$9:$C$12,2,FALSE)</f>
        <v>106|107|108|4201|110</v>
      </c>
      <c r="K414" s="18" t="str">
        <f>VLOOKUP(E414,各职业基础配置!$B$15:$C$18,2,FALSE)</f>
        <v>20|21|22|23</v>
      </c>
      <c r="L414" s="18" t="str">
        <f>VLOOKUP(E414,各职业基础配置!B:C,2,FALSE)</f>
        <v>[{20,1,1},{21,1,1},{22,1,1},{23,1,1},{4,1,1},{5,1,1},{6,1,1}]</v>
      </c>
      <c r="M414" s="18">
        <v>0</v>
      </c>
      <c r="N414" s="18">
        <f t="shared" si="70"/>
        <v>7</v>
      </c>
      <c r="O414" s="18">
        <f>SUMPRODUCT(P414:AI414,Sheet2!$B$3:$U$3)</f>
        <v>207208</v>
      </c>
      <c r="P414" s="18">
        <f>CEILING(INDEX([1]系统模型!$VD:$VD,MATCH(C414,[1]系统模型!$A:$A,0))*POWER(C414/220,3.8)-50+(1000-A414),1)</f>
        <v>4245</v>
      </c>
      <c r="Q414" s="18">
        <f>CEILING(INDEX([1]系统模型!$VE:$VE,MATCH(C414,[1]系统模型!$A:$A,0))*POWER(C414/220,4),1)</f>
        <v>561</v>
      </c>
      <c r="R414" s="18">
        <f>INT(INDEX([1]系统模型!$VF:$VF,MATCH(C414,[1]系统模型!$A:$A,0))*MAX(POWER(C414/180,4),0.5))</f>
        <v>33858</v>
      </c>
      <c r="S414" s="5">
        <v>1000</v>
      </c>
      <c r="T414" s="25">
        <v>0</v>
      </c>
      <c r="U414" s="25">
        <v>0</v>
      </c>
      <c r="V414" s="25">
        <v>0</v>
      </c>
      <c r="W414" s="25">
        <v>0</v>
      </c>
      <c r="X414" s="25">
        <f t="shared" si="71"/>
        <v>1692</v>
      </c>
      <c r="Y414" s="12">
        <v>0</v>
      </c>
      <c r="Z414" s="25">
        <v>100</v>
      </c>
      <c r="AA414" s="25">
        <v>150</v>
      </c>
      <c r="AB414" s="25">
        <v>0</v>
      </c>
      <c r="AC414" s="25">
        <v>0</v>
      </c>
      <c r="AD414" s="25">
        <v>0</v>
      </c>
      <c r="AE414" s="25">
        <f t="shared" si="72"/>
        <v>376</v>
      </c>
      <c r="AF414" s="25">
        <f t="shared" si="73"/>
        <v>376</v>
      </c>
      <c r="AG414" s="25">
        <v>0</v>
      </c>
      <c r="AH414" s="25">
        <f t="shared" si="74"/>
        <v>5350</v>
      </c>
      <c r="AI414" s="25">
        <f t="shared" si="75"/>
        <v>56</v>
      </c>
      <c r="AJ414" s="25">
        <v>1</v>
      </c>
      <c r="AK414" s="25">
        <v>1000</v>
      </c>
      <c r="AL414" s="25">
        <v>100</v>
      </c>
      <c r="AM414" s="26">
        <v>10</v>
      </c>
      <c r="AN414" s="26">
        <v>10</v>
      </c>
      <c r="AO414" s="22" t="s">
        <v>2211</v>
      </c>
      <c r="AP414" s="26">
        <v>0</v>
      </c>
      <c r="AQ414" s="26">
        <f t="shared" si="76"/>
        <v>580</v>
      </c>
      <c r="AR414" s="18" t="str">
        <f ca="1">CONCATENATE(OFFSET(Sheet1!$A$2,RANDBETWEEN(2,500),0,1,1),OFFSET(Sheet1!$A$2,RANDBETWEEN(2,500),RANDBETWEEN(1,5),1,1))</f>
        <v>贝齐蜜妮安</v>
      </c>
      <c r="AS414">
        <f>SUMPRODUCT(P414:AI414,Sheet2!$B$3:$U$3)</f>
        <v>207208</v>
      </c>
    </row>
    <row r="415" spans="1:45" x14ac:dyDescent="0.15">
      <c r="A415" s="23">
        <v>414</v>
      </c>
      <c r="B415" s="18" t="s">
        <v>331</v>
      </c>
      <c r="C415" s="18">
        <f t="shared" si="66"/>
        <v>188</v>
      </c>
      <c r="D415" s="19">
        <f t="shared" si="67"/>
        <v>2</v>
      </c>
      <c r="E415" s="19">
        <f>VLOOKUP(MOD(A415,4),各职业基础配置!C$32:D$35,2,FALSE)</f>
        <v>6</v>
      </c>
      <c r="F415" s="19">
        <f>IF(A415&lt;900,INDEX(各职业基础配置!C$23:C$28,MOD(ROW(A415),4)+1),0)</f>
        <v>16</v>
      </c>
      <c r="G415" s="19">
        <f t="shared" si="68"/>
        <v>45</v>
      </c>
      <c r="H415" s="27">
        <f t="shared" si="69"/>
        <v>2</v>
      </c>
      <c r="I415" s="6" t="s">
        <v>164</v>
      </c>
      <c r="J415" s="23" t="str">
        <f>VLOOKUP(E415,各职业基础配置!$B$9:$C$12,2,FALSE)</f>
        <v>111|112|113|4201|115</v>
      </c>
      <c r="K415" s="18" t="str">
        <f>VLOOKUP(E415,各职业基础配置!$B$15:$C$18,2,FALSE)</f>
        <v>32|33|34</v>
      </c>
      <c r="L415" s="18" t="str">
        <f>VLOOKUP(E415,各职业基础配置!B:C,2,FALSE)</f>
        <v>[{32,1,1},{33,1,1},{34,1,1},{35,1,1},{7,1,1},{8,1,1},{9,1,1}]</v>
      </c>
      <c r="M415" s="18">
        <v>0</v>
      </c>
      <c r="N415" s="18">
        <f t="shared" si="70"/>
        <v>7</v>
      </c>
      <c r="O415" s="18">
        <f>SUMPRODUCT(P415:AI415,Sheet2!$B$3:$U$3)</f>
        <v>207183</v>
      </c>
      <c r="P415" s="18">
        <f>CEILING(INDEX([1]系统模型!$VD:$VD,MATCH(C415,[1]系统模型!$A:$A,0))*POWER(C415/220,3.8)-50+(1000-A415),1)</f>
        <v>4244</v>
      </c>
      <c r="Q415" s="18">
        <f>CEILING(INDEX([1]系统模型!$VE:$VE,MATCH(C415,[1]系统模型!$A:$A,0))*POWER(C415/220,4),1)</f>
        <v>561</v>
      </c>
      <c r="R415" s="18">
        <f>INT(INDEX([1]系统模型!$VF:$VF,MATCH(C415,[1]系统模型!$A:$A,0))*MAX(POWER(C415/180,4),0.5))</f>
        <v>33858</v>
      </c>
      <c r="S415" s="5">
        <v>1000</v>
      </c>
      <c r="T415" s="25">
        <v>0</v>
      </c>
      <c r="U415" s="25">
        <v>0</v>
      </c>
      <c r="V415" s="25">
        <v>0</v>
      </c>
      <c r="W415" s="25">
        <v>0</v>
      </c>
      <c r="X415" s="25">
        <f t="shared" si="71"/>
        <v>1692</v>
      </c>
      <c r="Y415" s="12">
        <v>0</v>
      </c>
      <c r="Z415" s="25">
        <v>100</v>
      </c>
      <c r="AA415" s="25">
        <v>150</v>
      </c>
      <c r="AB415" s="25">
        <v>0</v>
      </c>
      <c r="AC415" s="25">
        <v>0</v>
      </c>
      <c r="AD415" s="25">
        <v>0</v>
      </c>
      <c r="AE415" s="25">
        <f t="shared" si="72"/>
        <v>376</v>
      </c>
      <c r="AF415" s="25">
        <f t="shared" si="73"/>
        <v>376</v>
      </c>
      <c r="AG415" s="25">
        <v>0</v>
      </c>
      <c r="AH415" s="25">
        <f t="shared" si="74"/>
        <v>5350</v>
      </c>
      <c r="AI415" s="25">
        <f t="shared" si="75"/>
        <v>56</v>
      </c>
      <c r="AJ415" s="25">
        <v>1</v>
      </c>
      <c r="AK415" s="25">
        <v>1000</v>
      </c>
      <c r="AL415" s="25">
        <v>100</v>
      </c>
      <c r="AM415" s="26">
        <v>10</v>
      </c>
      <c r="AN415" s="26">
        <v>10</v>
      </c>
      <c r="AO415" s="22" t="s">
        <v>2211</v>
      </c>
      <c r="AP415" s="26">
        <v>0</v>
      </c>
      <c r="AQ415" s="26">
        <f t="shared" si="76"/>
        <v>580</v>
      </c>
      <c r="AR415" s="18" t="str">
        <f ca="1">CONCATENATE(OFFSET(Sheet1!$A$2,RANDBETWEEN(2,500),0,1,1),OFFSET(Sheet1!$A$2,RANDBETWEEN(2,500),RANDBETWEEN(1,5),1,1))</f>
        <v>哈金斯神圣</v>
      </c>
      <c r="AS415">
        <f>SUMPRODUCT(P415:AI415,Sheet2!$B$3:$U$3)</f>
        <v>207183</v>
      </c>
    </row>
    <row r="416" spans="1:45" x14ac:dyDescent="0.15">
      <c r="A416" s="18">
        <v>415</v>
      </c>
      <c r="B416" s="18" t="s">
        <v>1990</v>
      </c>
      <c r="C416" s="18">
        <f t="shared" si="66"/>
        <v>188</v>
      </c>
      <c r="D416" s="19">
        <f t="shared" si="67"/>
        <v>3</v>
      </c>
      <c r="E416" s="19">
        <f>VLOOKUP(MOD(A416,4),各职业基础配置!C$32:D$35,2,FALSE)</f>
        <v>9</v>
      </c>
      <c r="F416" s="19">
        <f>IF(A416&lt;900,INDEX(各职业基础配置!C$23:C$28,MOD(ROW(A416),4)+1),0)</f>
        <v>8</v>
      </c>
      <c r="G416" s="19">
        <f t="shared" si="68"/>
        <v>45</v>
      </c>
      <c r="H416" s="27">
        <f t="shared" si="69"/>
        <v>2</v>
      </c>
      <c r="I416" s="6" t="s">
        <v>164</v>
      </c>
      <c r="J416" s="23" t="str">
        <f>VLOOKUP(E416,各职业基础配置!$B$9:$C$12,2,FALSE)</f>
        <v>116|117|118|4201|120</v>
      </c>
      <c r="K416" s="18" t="str">
        <f>VLOOKUP(E416,各职业基础配置!$B$15:$C$18,2,FALSE)</f>
        <v>28|29|30|31</v>
      </c>
      <c r="L416" s="18" t="str">
        <f>VLOOKUP(E416,各职业基础配置!B:C,2,FALSE)</f>
        <v>[{28,1,1},{29,1,1},{30,1,1},{31,1,1},{10,1,1},{11,1,1},{12,1,1}]</v>
      </c>
      <c r="M416" s="18">
        <v>0</v>
      </c>
      <c r="N416" s="18">
        <f t="shared" si="70"/>
        <v>3</v>
      </c>
      <c r="O416" s="18">
        <f>SUMPRODUCT(P416:AI416,Sheet2!$B$3:$U$3)</f>
        <v>207158</v>
      </c>
      <c r="P416" s="18">
        <f>CEILING(INDEX([1]系统模型!$VD:$VD,MATCH(C416,[1]系统模型!$A:$A,0))*POWER(C416/220,3.8)-50+(1000-A416),1)</f>
        <v>4243</v>
      </c>
      <c r="Q416" s="18">
        <f>CEILING(INDEX([1]系统模型!$VE:$VE,MATCH(C416,[1]系统模型!$A:$A,0))*POWER(C416/220,4),1)</f>
        <v>561</v>
      </c>
      <c r="R416" s="18">
        <f>INT(INDEX([1]系统模型!$VF:$VF,MATCH(C416,[1]系统模型!$A:$A,0))*MAX(POWER(C416/180,4),0.5))</f>
        <v>33858</v>
      </c>
      <c r="S416" s="5">
        <v>1000</v>
      </c>
      <c r="T416" s="25">
        <v>0</v>
      </c>
      <c r="U416" s="25">
        <v>0</v>
      </c>
      <c r="V416" s="25">
        <v>0</v>
      </c>
      <c r="W416" s="25">
        <v>0</v>
      </c>
      <c r="X416" s="25">
        <f t="shared" si="71"/>
        <v>1692</v>
      </c>
      <c r="Y416" s="12">
        <v>0</v>
      </c>
      <c r="Z416" s="25">
        <v>100</v>
      </c>
      <c r="AA416" s="25">
        <v>150</v>
      </c>
      <c r="AB416" s="25">
        <v>0</v>
      </c>
      <c r="AC416" s="25">
        <v>0</v>
      </c>
      <c r="AD416" s="25">
        <v>0</v>
      </c>
      <c r="AE416" s="25">
        <f t="shared" si="72"/>
        <v>376</v>
      </c>
      <c r="AF416" s="25">
        <f t="shared" si="73"/>
        <v>376</v>
      </c>
      <c r="AG416" s="25">
        <v>0</v>
      </c>
      <c r="AH416" s="25">
        <f t="shared" si="74"/>
        <v>5350</v>
      </c>
      <c r="AI416" s="25">
        <f t="shared" si="75"/>
        <v>56</v>
      </c>
      <c r="AJ416" s="25">
        <v>1</v>
      </c>
      <c r="AK416" s="25">
        <v>1000</v>
      </c>
      <c r="AL416" s="25">
        <v>100</v>
      </c>
      <c r="AM416" s="26">
        <v>10</v>
      </c>
      <c r="AN416" s="26">
        <v>10</v>
      </c>
      <c r="AO416" s="22" t="s">
        <v>2211</v>
      </c>
      <c r="AP416" s="26">
        <v>0</v>
      </c>
      <c r="AQ416" s="26">
        <f t="shared" si="76"/>
        <v>580</v>
      </c>
      <c r="AR416" s="18" t="str">
        <f ca="1">CONCATENATE(OFFSET(Sheet1!$A$2,RANDBETWEEN(2,500),0,1,1),OFFSET(Sheet1!$A$2,RANDBETWEEN(2,500),RANDBETWEEN(1,5),1,1))</f>
        <v>约翰斯顿丝特勒</v>
      </c>
      <c r="AS416">
        <f>SUMPRODUCT(P416:AI416,Sheet2!$B$3:$U$3)</f>
        <v>207158</v>
      </c>
    </row>
    <row r="417" spans="1:45" x14ac:dyDescent="0.15">
      <c r="A417" s="18">
        <v>416</v>
      </c>
      <c r="B417" s="18" t="s">
        <v>1991</v>
      </c>
      <c r="C417" s="18">
        <f t="shared" si="66"/>
        <v>188</v>
      </c>
      <c r="D417" s="19">
        <f t="shared" si="67"/>
        <v>2</v>
      </c>
      <c r="E417" s="19">
        <f>VLOOKUP(MOD(A417,4),各职业基础配置!C$32:D$35,2,FALSE)</f>
        <v>1</v>
      </c>
      <c r="F417" s="19">
        <f>IF(A417&lt;900,INDEX(各职业基础配置!C$23:C$28,MOD(ROW(A417),4)+1),0)</f>
        <v>13</v>
      </c>
      <c r="G417" s="19">
        <f t="shared" si="68"/>
        <v>45</v>
      </c>
      <c r="H417" s="27">
        <f t="shared" si="69"/>
        <v>2</v>
      </c>
      <c r="I417" s="6" t="s">
        <v>164</v>
      </c>
      <c r="J417" s="23" t="str">
        <f>VLOOKUP(E417,各职业基础配置!$B$9:$C$12,2,FALSE)</f>
        <v>101|102|103|4201|105</v>
      </c>
      <c r="K417" s="18" t="str">
        <f>VLOOKUP(E417,各职业基础配置!$B$15:$C$18,2,FALSE)</f>
        <v>24|25|26|27</v>
      </c>
      <c r="L417" s="18" t="str">
        <f>VLOOKUP(E417,各职业基础配置!B:C,2,FALSE)</f>
        <v>[{24,1,1},{25,1,1},{26,1,1},{27,1,1},{1,1,1},{2,1,1},{3,1,1}]</v>
      </c>
      <c r="M417" s="18">
        <v>0</v>
      </c>
      <c r="N417" s="18">
        <f t="shared" si="70"/>
        <v>3</v>
      </c>
      <c r="O417" s="18">
        <f>SUMPRODUCT(P417:AI417,Sheet2!$B$3:$U$3)</f>
        <v>207133</v>
      </c>
      <c r="P417" s="18">
        <f>CEILING(INDEX([1]系统模型!$VD:$VD,MATCH(C417,[1]系统模型!$A:$A,0))*POWER(C417/220,3.8)-50+(1000-A417),1)</f>
        <v>4242</v>
      </c>
      <c r="Q417" s="18">
        <f>CEILING(INDEX([1]系统模型!$VE:$VE,MATCH(C417,[1]系统模型!$A:$A,0))*POWER(C417/220,4),1)</f>
        <v>561</v>
      </c>
      <c r="R417" s="18">
        <f>INT(INDEX([1]系统模型!$VF:$VF,MATCH(C417,[1]系统模型!$A:$A,0))*MAX(POWER(C417/180,4),0.5))</f>
        <v>33858</v>
      </c>
      <c r="S417" s="5">
        <v>1000</v>
      </c>
      <c r="T417" s="25">
        <v>0</v>
      </c>
      <c r="U417" s="25">
        <v>0</v>
      </c>
      <c r="V417" s="25">
        <v>0</v>
      </c>
      <c r="W417" s="25">
        <v>0</v>
      </c>
      <c r="X417" s="25">
        <f t="shared" si="71"/>
        <v>1692</v>
      </c>
      <c r="Y417" s="12">
        <v>0</v>
      </c>
      <c r="Z417" s="25">
        <v>100</v>
      </c>
      <c r="AA417" s="25">
        <v>150</v>
      </c>
      <c r="AB417" s="25">
        <v>0</v>
      </c>
      <c r="AC417" s="25">
        <v>0</v>
      </c>
      <c r="AD417" s="25">
        <v>0</v>
      </c>
      <c r="AE417" s="25">
        <f t="shared" si="72"/>
        <v>376</v>
      </c>
      <c r="AF417" s="25">
        <f t="shared" si="73"/>
        <v>376</v>
      </c>
      <c r="AG417" s="25">
        <v>0</v>
      </c>
      <c r="AH417" s="25">
        <f t="shared" si="74"/>
        <v>5350</v>
      </c>
      <c r="AI417" s="25">
        <f t="shared" si="75"/>
        <v>56</v>
      </c>
      <c r="AJ417" s="25">
        <v>1</v>
      </c>
      <c r="AK417" s="25">
        <v>1000</v>
      </c>
      <c r="AL417" s="25">
        <v>100</v>
      </c>
      <c r="AM417" s="26">
        <v>10</v>
      </c>
      <c r="AN417" s="26">
        <v>10</v>
      </c>
      <c r="AO417" s="22" t="s">
        <v>2211</v>
      </c>
      <c r="AP417" s="26">
        <v>0</v>
      </c>
      <c r="AQ417" s="26">
        <f t="shared" si="76"/>
        <v>580</v>
      </c>
      <c r="AR417" s="18" t="str">
        <f ca="1">CONCATENATE(OFFSET(Sheet1!$A$2,RANDBETWEEN(2,500),0,1,1),OFFSET(Sheet1!$A$2,RANDBETWEEN(2,500),RANDBETWEEN(1,5),1,1))</f>
        <v>戈德温</v>
      </c>
      <c r="AS417">
        <f>SUMPRODUCT(P417:AI417,Sheet2!$B$3:$U$3)</f>
        <v>207133</v>
      </c>
    </row>
    <row r="418" spans="1:45" x14ac:dyDescent="0.15">
      <c r="A418" s="23">
        <v>417</v>
      </c>
      <c r="B418" s="18" t="s">
        <v>533</v>
      </c>
      <c r="C418" s="18">
        <f t="shared" si="66"/>
        <v>188</v>
      </c>
      <c r="D418" s="19">
        <f t="shared" si="67"/>
        <v>3</v>
      </c>
      <c r="E418" s="19">
        <f>VLOOKUP(MOD(A418,4),各职业基础配置!C$32:D$35,2,FALSE)</f>
        <v>3</v>
      </c>
      <c r="F418" s="19">
        <f>IF(A418&lt;900,INDEX(各职业基础配置!C$23:C$28,MOD(ROW(A418),4)+1),0)</f>
        <v>14</v>
      </c>
      <c r="G418" s="19">
        <f t="shared" si="68"/>
        <v>45</v>
      </c>
      <c r="H418" s="27">
        <f t="shared" si="69"/>
        <v>2</v>
      </c>
      <c r="I418" s="6" t="s">
        <v>164</v>
      </c>
      <c r="J418" s="23" t="str">
        <f>VLOOKUP(E418,各职业基础配置!$B$9:$C$12,2,FALSE)</f>
        <v>106|107|108|4201|110</v>
      </c>
      <c r="K418" s="18" t="str">
        <f>VLOOKUP(E418,各职业基础配置!$B$15:$C$18,2,FALSE)</f>
        <v>20|21|22|23</v>
      </c>
      <c r="L418" s="18" t="str">
        <f>VLOOKUP(E418,各职业基础配置!B:C,2,FALSE)</f>
        <v>[{20,1,1},{21,1,1},{22,1,1},{23,1,1},{4,1,1},{5,1,1},{6,1,1}]</v>
      </c>
      <c r="M418" s="18">
        <v>0</v>
      </c>
      <c r="N418" s="18">
        <f t="shared" si="70"/>
        <v>7</v>
      </c>
      <c r="O418" s="18">
        <f>SUMPRODUCT(P418:AI418,Sheet2!$B$3:$U$3)</f>
        <v>207108</v>
      </c>
      <c r="P418" s="18">
        <f>CEILING(INDEX([1]系统模型!$VD:$VD,MATCH(C418,[1]系统模型!$A:$A,0))*POWER(C418/220,3.8)-50+(1000-A418),1)</f>
        <v>4241</v>
      </c>
      <c r="Q418" s="18">
        <f>CEILING(INDEX([1]系统模型!$VE:$VE,MATCH(C418,[1]系统模型!$A:$A,0))*POWER(C418/220,4),1)</f>
        <v>561</v>
      </c>
      <c r="R418" s="18">
        <f>INT(INDEX([1]系统模型!$VF:$VF,MATCH(C418,[1]系统模型!$A:$A,0))*MAX(POWER(C418/180,4),0.5))</f>
        <v>33858</v>
      </c>
      <c r="S418" s="5">
        <v>1000</v>
      </c>
      <c r="T418" s="25">
        <v>0</v>
      </c>
      <c r="U418" s="25">
        <v>0</v>
      </c>
      <c r="V418" s="25">
        <v>0</v>
      </c>
      <c r="W418" s="25">
        <v>0</v>
      </c>
      <c r="X418" s="25">
        <f t="shared" si="71"/>
        <v>1692</v>
      </c>
      <c r="Y418" s="12">
        <v>0</v>
      </c>
      <c r="Z418" s="25">
        <v>100</v>
      </c>
      <c r="AA418" s="25">
        <v>150</v>
      </c>
      <c r="AB418" s="25">
        <v>0</v>
      </c>
      <c r="AC418" s="25">
        <v>0</v>
      </c>
      <c r="AD418" s="25">
        <v>0</v>
      </c>
      <c r="AE418" s="25">
        <f t="shared" si="72"/>
        <v>376</v>
      </c>
      <c r="AF418" s="25">
        <f t="shared" si="73"/>
        <v>376</v>
      </c>
      <c r="AG418" s="25">
        <v>0</v>
      </c>
      <c r="AH418" s="25">
        <f t="shared" si="74"/>
        <v>5350</v>
      </c>
      <c r="AI418" s="25">
        <f t="shared" si="75"/>
        <v>56</v>
      </c>
      <c r="AJ418" s="25">
        <v>1</v>
      </c>
      <c r="AK418" s="25">
        <v>1000</v>
      </c>
      <c r="AL418" s="25">
        <v>100</v>
      </c>
      <c r="AM418" s="26">
        <v>10</v>
      </c>
      <c r="AN418" s="26">
        <v>10</v>
      </c>
      <c r="AO418" s="22" t="s">
        <v>2211</v>
      </c>
      <c r="AP418" s="26">
        <v>0</v>
      </c>
      <c r="AQ418" s="26">
        <f t="shared" si="76"/>
        <v>580</v>
      </c>
      <c r="AR418" s="18" t="str">
        <f ca="1">CONCATENATE(OFFSET(Sheet1!$A$2,RANDBETWEEN(2,500),0,1,1),OFFSET(Sheet1!$A$2,RANDBETWEEN(2,500),RANDBETWEEN(1,5),1,1))</f>
        <v>杜威</v>
      </c>
      <c r="AS418">
        <f>SUMPRODUCT(P418:AI418,Sheet2!$B$3:$U$3)</f>
        <v>207108</v>
      </c>
    </row>
    <row r="419" spans="1:45" x14ac:dyDescent="0.15">
      <c r="A419" s="18">
        <v>418</v>
      </c>
      <c r="B419" s="18" t="s">
        <v>1348</v>
      </c>
      <c r="C419" s="18">
        <f t="shared" si="66"/>
        <v>188</v>
      </c>
      <c r="D419" s="19">
        <f t="shared" si="67"/>
        <v>2</v>
      </c>
      <c r="E419" s="19">
        <f>VLOOKUP(MOD(A419,4),各职业基础配置!C$32:D$35,2,FALSE)</f>
        <v>6</v>
      </c>
      <c r="F419" s="19">
        <f>IF(A419&lt;900,INDEX(各职业基础配置!C$23:C$28,MOD(ROW(A419),4)+1),0)</f>
        <v>16</v>
      </c>
      <c r="G419" s="19">
        <f t="shared" si="68"/>
        <v>45</v>
      </c>
      <c r="H419" s="27">
        <f t="shared" si="69"/>
        <v>2</v>
      </c>
      <c r="I419" s="6" t="s">
        <v>164</v>
      </c>
      <c r="J419" s="23" t="str">
        <f>VLOOKUP(E419,各职业基础配置!$B$9:$C$12,2,FALSE)</f>
        <v>111|112|113|4201|115</v>
      </c>
      <c r="K419" s="18" t="str">
        <f>VLOOKUP(E419,各职业基础配置!$B$15:$C$18,2,FALSE)</f>
        <v>32|33|34</v>
      </c>
      <c r="L419" s="18" t="str">
        <f>VLOOKUP(E419,各职业基础配置!B:C,2,FALSE)</f>
        <v>[{32,1,1},{33,1,1},{34,1,1},{35,1,1},{7,1,1},{8,1,1},{9,1,1}]</v>
      </c>
      <c r="M419" s="18">
        <v>0</v>
      </c>
      <c r="N419" s="18">
        <f t="shared" si="70"/>
        <v>7</v>
      </c>
      <c r="O419" s="18">
        <f>SUMPRODUCT(P419:AI419,Sheet2!$B$3:$U$3)</f>
        <v>207083</v>
      </c>
      <c r="P419" s="18">
        <f>CEILING(INDEX([1]系统模型!$VD:$VD,MATCH(C419,[1]系统模型!$A:$A,0))*POWER(C419/220,3.8)-50+(1000-A419),1)</f>
        <v>4240</v>
      </c>
      <c r="Q419" s="18">
        <f>CEILING(INDEX([1]系统模型!$VE:$VE,MATCH(C419,[1]系统模型!$A:$A,0))*POWER(C419/220,4),1)</f>
        <v>561</v>
      </c>
      <c r="R419" s="18">
        <f>INT(INDEX([1]系统模型!$VF:$VF,MATCH(C419,[1]系统模型!$A:$A,0))*MAX(POWER(C419/180,4),0.5))</f>
        <v>33858</v>
      </c>
      <c r="S419" s="5">
        <v>1000</v>
      </c>
      <c r="T419" s="25">
        <v>0</v>
      </c>
      <c r="U419" s="25">
        <v>0</v>
      </c>
      <c r="V419" s="25">
        <v>0</v>
      </c>
      <c r="W419" s="25">
        <v>0</v>
      </c>
      <c r="X419" s="25">
        <f t="shared" si="71"/>
        <v>1692</v>
      </c>
      <c r="Y419" s="12">
        <v>0</v>
      </c>
      <c r="Z419" s="25">
        <v>100</v>
      </c>
      <c r="AA419" s="25">
        <v>150</v>
      </c>
      <c r="AB419" s="25">
        <v>0</v>
      </c>
      <c r="AC419" s="25">
        <v>0</v>
      </c>
      <c r="AD419" s="25">
        <v>0</v>
      </c>
      <c r="AE419" s="25">
        <f t="shared" si="72"/>
        <v>376</v>
      </c>
      <c r="AF419" s="25">
        <f t="shared" si="73"/>
        <v>376</v>
      </c>
      <c r="AG419" s="25">
        <v>0</v>
      </c>
      <c r="AH419" s="25">
        <f t="shared" si="74"/>
        <v>5350</v>
      </c>
      <c r="AI419" s="25">
        <f t="shared" si="75"/>
        <v>56</v>
      </c>
      <c r="AJ419" s="25">
        <v>1</v>
      </c>
      <c r="AK419" s="25">
        <v>1000</v>
      </c>
      <c r="AL419" s="25">
        <v>100</v>
      </c>
      <c r="AM419" s="26">
        <v>10</v>
      </c>
      <c r="AN419" s="26">
        <v>10</v>
      </c>
      <c r="AO419" s="22" t="s">
        <v>2211</v>
      </c>
      <c r="AP419" s="26">
        <v>0</v>
      </c>
      <c r="AQ419" s="26">
        <f t="shared" si="76"/>
        <v>580</v>
      </c>
      <c r="AR419" s="18" t="str">
        <f ca="1">CONCATENATE(OFFSET(Sheet1!$A$2,RANDBETWEEN(2,500),0,1,1),OFFSET(Sheet1!$A$2,RANDBETWEEN(2,500),RANDBETWEEN(1,5),1,1))</f>
        <v>哈特</v>
      </c>
      <c r="AS419">
        <f>SUMPRODUCT(P419:AI419,Sheet2!$B$3:$U$3)</f>
        <v>207083</v>
      </c>
    </row>
    <row r="420" spans="1:45" x14ac:dyDescent="0.15">
      <c r="A420" s="18">
        <v>419</v>
      </c>
      <c r="B420" s="18" t="s">
        <v>1030</v>
      </c>
      <c r="C420" s="18">
        <f t="shared" si="66"/>
        <v>187</v>
      </c>
      <c r="D420" s="19">
        <f t="shared" si="67"/>
        <v>3</v>
      </c>
      <c r="E420" s="19">
        <f>VLOOKUP(MOD(A420,4),各职业基础配置!C$32:D$35,2,FALSE)</f>
        <v>9</v>
      </c>
      <c r="F420" s="19">
        <f>IF(A420&lt;900,INDEX(各职业基础配置!C$23:C$28,MOD(ROW(A420),4)+1),0)</f>
        <v>8</v>
      </c>
      <c r="G420" s="19">
        <f t="shared" si="68"/>
        <v>43</v>
      </c>
      <c r="H420" s="27">
        <f t="shared" si="69"/>
        <v>2</v>
      </c>
      <c r="I420" s="6" t="s">
        <v>164</v>
      </c>
      <c r="J420" s="23" t="str">
        <f>VLOOKUP(E420,各职业基础配置!$B$9:$C$12,2,FALSE)</f>
        <v>116|117|118|4201|120</v>
      </c>
      <c r="K420" s="18" t="str">
        <f>VLOOKUP(E420,各职业基础配置!$B$15:$C$18,2,FALSE)</f>
        <v>28|29|30|31</v>
      </c>
      <c r="L420" s="18" t="str">
        <f>VLOOKUP(E420,各职业基础配置!B:C,2,FALSE)</f>
        <v>[{28,1,1},{29,1,1},{30,1,1},{31,1,1},{10,1,1},{11,1,1},{12,1,1}]</v>
      </c>
      <c r="M420" s="18">
        <v>0</v>
      </c>
      <c r="N420" s="18">
        <f t="shared" si="70"/>
        <v>3</v>
      </c>
      <c r="O420" s="18">
        <f>SUMPRODUCT(P420:AI420,Sheet2!$B$3:$U$3)</f>
        <v>202259</v>
      </c>
      <c r="P420" s="18">
        <f>CEILING(INDEX([1]系统模型!$VD:$VD,MATCH(C420,[1]系统模型!$A:$A,0))*POWER(C420/220,3.8)-50+(1000-A420),1)</f>
        <v>4128</v>
      </c>
      <c r="Q420" s="18">
        <f>CEILING(INDEX([1]系统模型!$VE:$VE,MATCH(C420,[1]系统模型!$A:$A,0))*POWER(C420/220,4),1)</f>
        <v>542</v>
      </c>
      <c r="R420" s="18">
        <f>INT(INDEX([1]系统模型!$VF:$VF,MATCH(C420,[1]系统模型!$A:$A,0))*MAX(POWER(C420/180,4),0.5))</f>
        <v>32809</v>
      </c>
      <c r="S420" s="5">
        <v>1000</v>
      </c>
      <c r="T420" s="25">
        <v>0</v>
      </c>
      <c r="U420" s="25">
        <v>0</v>
      </c>
      <c r="V420" s="25">
        <v>0</v>
      </c>
      <c r="W420" s="25">
        <v>0</v>
      </c>
      <c r="X420" s="25">
        <f t="shared" si="71"/>
        <v>1640</v>
      </c>
      <c r="Y420" s="12">
        <v>0</v>
      </c>
      <c r="Z420" s="25">
        <v>100</v>
      </c>
      <c r="AA420" s="25">
        <v>150</v>
      </c>
      <c r="AB420" s="25">
        <v>0</v>
      </c>
      <c r="AC420" s="25">
        <v>0</v>
      </c>
      <c r="AD420" s="25">
        <v>0</v>
      </c>
      <c r="AE420" s="25">
        <f t="shared" si="72"/>
        <v>374</v>
      </c>
      <c r="AF420" s="25">
        <f t="shared" si="73"/>
        <v>374</v>
      </c>
      <c r="AG420" s="25">
        <v>0</v>
      </c>
      <c r="AH420" s="25">
        <f t="shared" si="74"/>
        <v>5275</v>
      </c>
      <c r="AI420" s="25">
        <f t="shared" si="75"/>
        <v>55</v>
      </c>
      <c r="AJ420" s="25">
        <v>1</v>
      </c>
      <c r="AK420" s="25">
        <v>1000</v>
      </c>
      <c r="AL420" s="25">
        <v>100</v>
      </c>
      <c r="AM420" s="26">
        <v>10</v>
      </c>
      <c r="AN420" s="26">
        <v>10</v>
      </c>
      <c r="AO420" s="22" t="s">
        <v>2211</v>
      </c>
      <c r="AP420" s="26">
        <v>0</v>
      </c>
      <c r="AQ420" s="26">
        <f t="shared" si="76"/>
        <v>580</v>
      </c>
      <c r="AR420" s="18" t="str">
        <f ca="1">CONCATENATE(OFFSET(Sheet1!$A$2,RANDBETWEEN(2,500),0,1,1),OFFSET(Sheet1!$A$2,RANDBETWEEN(2,500),RANDBETWEEN(1,5),1,1))</f>
        <v>贝克倾城</v>
      </c>
      <c r="AS420">
        <f>SUMPRODUCT(P420:AI420,Sheet2!$B$3:$U$3)</f>
        <v>202259</v>
      </c>
    </row>
    <row r="421" spans="1:45" x14ac:dyDescent="0.15">
      <c r="A421" s="23">
        <v>420</v>
      </c>
      <c r="B421" s="18" t="s">
        <v>1315</v>
      </c>
      <c r="C421" s="18">
        <f t="shared" si="66"/>
        <v>187</v>
      </c>
      <c r="D421" s="19">
        <f t="shared" si="67"/>
        <v>2</v>
      </c>
      <c r="E421" s="19">
        <f>VLOOKUP(MOD(A421,4),各职业基础配置!C$32:D$35,2,FALSE)</f>
        <v>1</v>
      </c>
      <c r="F421" s="19">
        <f>IF(A421&lt;900,INDEX(各职业基础配置!C$23:C$28,MOD(ROW(A421),4)+1),0)</f>
        <v>13</v>
      </c>
      <c r="G421" s="19">
        <f t="shared" si="68"/>
        <v>43</v>
      </c>
      <c r="H421" s="27">
        <f t="shared" si="69"/>
        <v>2</v>
      </c>
      <c r="I421" s="6" t="s">
        <v>164</v>
      </c>
      <c r="J421" s="23" t="str">
        <f>VLOOKUP(E421,各职业基础配置!$B$9:$C$12,2,FALSE)</f>
        <v>101|102|103|4201|105</v>
      </c>
      <c r="K421" s="18" t="str">
        <f>VLOOKUP(E421,各职业基础配置!$B$15:$C$18,2,FALSE)</f>
        <v>24|25|26|27</v>
      </c>
      <c r="L421" s="18" t="str">
        <f>VLOOKUP(E421,各职业基础配置!B:C,2,FALSE)</f>
        <v>[{24,1,1},{25,1,1},{26,1,1},{27,1,1},{1,1,1},{2,1,1},{3,1,1}]</v>
      </c>
      <c r="M421" s="18">
        <v>0</v>
      </c>
      <c r="N421" s="18">
        <f t="shared" si="70"/>
        <v>3</v>
      </c>
      <c r="O421" s="18">
        <f>SUMPRODUCT(P421:AI421,Sheet2!$B$3:$U$3)</f>
        <v>202234</v>
      </c>
      <c r="P421" s="18">
        <f>CEILING(INDEX([1]系统模型!$VD:$VD,MATCH(C421,[1]系统模型!$A:$A,0))*POWER(C421/220,3.8)-50+(1000-A421),1)</f>
        <v>4127</v>
      </c>
      <c r="Q421" s="18">
        <f>CEILING(INDEX([1]系统模型!$VE:$VE,MATCH(C421,[1]系统模型!$A:$A,0))*POWER(C421/220,4),1)</f>
        <v>542</v>
      </c>
      <c r="R421" s="18">
        <f>INT(INDEX([1]系统模型!$VF:$VF,MATCH(C421,[1]系统模型!$A:$A,0))*MAX(POWER(C421/180,4),0.5))</f>
        <v>32809</v>
      </c>
      <c r="S421" s="5">
        <v>1000</v>
      </c>
      <c r="T421" s="25">
        <v>0</v>
      </c>
      <c r="U421" s="25">
        <v>0</v>
      </c>
      <c r="V421" s="25">
        <v>0</v>
      </c>
      <c r="W421" s="25">
        <v>0</v>
      </c>
      <c r="X421" s="25">
        <f t="shared" si="71"/>
        <v>1640</v>
      </c>
      <c r="Y421" s="12">
        <v>0</v>
      </c>
      <c r="Z421" s="25">
        <v>100</v>
      </c>
      <c r="AA421" s="25">
        <v>150</v>
      </c>
      <c r="AB421" s="25">
        <v>0</v>
      </c>
      <c r="AC421" s="25">
        <v>0</v>
      </c>
      <c r="AD421" s="25">
        <v>0</v>
      </c>
      <c r="AE421" s="25">
        <f t="shared" si="72"/>
        <v>374</v>
      </c>
      <c r="AF421" s="25">
        <f t="shared" si="73"/>
        <v>374</v>
      </c>
      <c r="AG421" s="25">
        <v>0</v>
      </c>
      <c r="AH421" s="25">
        <f t="shared" si="74"/>
        <v>5275</v>
      </c>
      <c r="AI421" s="25">
        <f t="shared" si="75"/>
        <v>55</v>
      </c>
      <c r="AJ421" s="25">
        <v>1</v>
      </c>
      <c r="AK421" s="25">
        <v>1000</v>
      </c>
      <c r="AL421" s="25">
        <v>100</v>
      </c>
      <c r="AM421" s="26">
        <v>10</v>
      </c>
      <c r="AN421" s="26">
        <v>10</v>
      </c>
      <c r="AO421" s="22" t="s">
        <v>2211</v>
      </c>
      <c r="AP421" s="26">
        <v>0</v>
      </c>
      <c r="AQ421" s="26">
        <f t="shared" si="76"/>
        <v>580</v>
      </c>
      <c r="AR421" s="18" t="str">
        <f ca="1">CONCATENATE(OFFSET(Sheet1!$A$2,RANDBETWEEN(2,500),0,1,1),OFFSET(Sheet1!$A$2,RANDBETWEEN(2,500),RANDBETWEEN(1,5),1,1))</f>
        <v>弗雷德奥克塔薇尔</v>
      </c>
      <c r="AS421">
        <f>SUMPRODUCT(P421:AI421,Sheet2!$B$3:$U$3)</f>
        <v>202234</v>
      </c>
    </row>
    <row r="422" spans="1:45" x14ac:dyDescent="0.15">
      <c r="A422" s="18">
        <v>421</v>
      </c>
      <c r="B422" s="18" t="s">
        <v>1992</v>
      </c>
      <c r="C422" s="18">
        <f t="shared" si="66"/>
        <v>187</v>
      </c>
      <c r="D422" s="19">
        <f t="shared" si="67"/>
        <v>3</v>
      </c>
      <c r="E422" s="19">
        <f>VLOOKUP(MOD(A422,4),各职业基础配置!C$32:D$35,2,FALSE)</f>
        <v>3</v>
      </c>
      <c r="F422" s="19">
        <f>IF(A422&lt;900,INDEX(各职业基础配置!C$23:C$28,MOD(ROW(A422),4)+1),0)</f>
        <v>14</v>
      </c>
      <c r="G422" s="19">
        <f t="shared" si="68"/>
        <v>43</v>
      </c>
      <c r="H422" s="27">
        <f t="shared" si="69"/>
        <v>2</v>
      </c>
      <c r="I422" s="6" t="s">
        <v>164</v>
      </c>
      <c r="J422" s="23" t="str">
        <f>VLOOKUP(E422,各职业基础配置!$B$9:$C$12,2,FALSE)</f>
        <v>106|107|108|4201|110</v>
      </c>
      <c r="K422" s="18" t="str">
        <f>VLOOKUP(E422,各职业基础配置!$B$15:$C$18,2,FALSE)</f>
        <v>20|21|22|23</v>
      </c>
      <c r="L422" s="18" t="str">
        <f>VLOOKUP(E422,各职业基础配置!B:C,2,FALSE)</f>
        <v>[{20,1,1},{21,1,1},{22,1,1},{23,1,1},{4,1,1},{5,1,1},{6,1,1}]</v>
      </c>
      <c r="M422" s="18">
        <v>0</v>
      </c>
      <c r="N422" s="18">
        <f t="shared" si="70"/>
        <v>7</v>
      </c>
      <c r="O422" s="18">
        <f>SUMPRODUCT(P422:AI422,Sheet2!$B$3:$U$3)</f>
        <v>202209</v>
      </c>
      <c r="P422" s="18">
        <f>CEILING(INDEX([1]系统模型!$VD:$VD,MATCH(C422,[1]系统模型!$A:$A,0))*POWER(C422/220,3.8)-50+(1000-A422),1)</f>
        <v>4126</v>
      </c>
      <c r="Q422" s="18">
        <f>CEILING(INDEX([1]系统模型!$VE:$VE,MATCH(C422,[1]系统模型!$A:$A,0))*POWER(C422/220,4),1)</f>
        <v>542</v>
      </c>
      <c r="R422" s="18">
        <f>INT(INDEX([1]系统模型!$VF:$VF,MATCH(C422,[1]系统模型!$A:$A,0))*MAX(POWER(C422/180,4),0.5))</f>
        <v>32809</v>
      </c>
      <c r="S422" s="5">
        <v>1000</v>
      </c>
      <c r="T422" s="25">
        <v>0</v>
      </c>
      <c r="U422" s="25">
        <v>0</v>
      </c>
      <c r="V422" s="25">
        <v>0</v>
      </c>
      <c r="W422" s="25">
        <v>0</v>
      </c>
      <c r="X422" s="25">
        <f t="shared" si="71"/>
        <v>1640</v>
      </c>
      <c r="Y422" s="12">
        <v>0</v>
      </c>
      <c r="Z422" s="25">
        <v>100</v>
      </c>
      <c r="AA422" s="25">
        <v>150</v>
      </c>
      <c r="AB422" s="25">
        <v>0</v>
      </c>
      <c r="AC422" s="25">
        <v>0</v>
      </c>
      <c r="AD422" s="25">
        <v>0</v>
      </c>
      <c r="AE422" s="25">
        <f t="shared" si="72"/>
        <v>374</v>
      </c>
      <c r="AF422" s="25">
        <f t="shared" si="73"/>
        <v>374</v>
      </c>
      <c r="AG422" s="25">
        <v>0</v>
      </c>
      <c r="AH422" s="25">
        <f t="shared" si="74"/>
        <v>5275</v>
      </c>
      <c r="AI422" s="25">
        <f t="shared" si="75"/>
        <v>55</v>
      </c>
      <c r="AJ422" s="25">
        <v>1</v>
      </c>
      <c r="AK422" s="25">
        <v>1000</v>
      </c>
      <c r="AL422" s="25">
        <v>100</v>
      </c>
      <c r="AM422" s="26">
        <v>10</v>
      </c>
      <c r="AN422" s="26">
        <v>10</v>
      </c>
      <c r="AO422" s="22" t="s">
        <v>2211</v>
      </c>
      <c r="AP422" s="26">
        <v>0</v>
      </c>
      <c r="AQ422" s="26">
        <f t="shared" si="76"/>
        <v>580</v>
      </c>
      <c r="AR422" s="18" t="str">
        <f ca="1">CONCATENATE(OFFSET(Sheet1!$A$2,RANDBETWEEN(2,500),0,1,1),OFFSET(Sheet1!$A$2,RANDBETWEEN(2,500),RANDBETWEEN(1,5),1,1))</f>
        <v>哈里曼</v>
      </c>
      <c r="AS422">
        <f>SUMPRODUCT(P422:AI422,Sheet2!$B$3:$U$3)</f>
        <v>202209</v>
      </c>
    </row>
    <row r="423" spans="1:45" x14ac:dyDescent="0.15">
      <c r="A423" s="18">
        <v>422</v>
      </c>
      <c r="B423" s="18" t="s">
        <v>1049</v>
      </c>
      <c r="C423" s="18">
        <f t="shared" si="66"/>
        <v>187</v>
      </c>
      <c r="D423" s="19">
        <f t="shared" si="67"/>
        <v>2</v>
      </c>
      <c r="E423" s="19">
        <f>VLOOKUP(MOD(A423,4),各职业基础配置!C$32:D$35,2,FALSE)</f>
        <v>6</v>
      </c>
      <c r="F423" s="19">
        <f>IF(A423&lt;900,INDEX(各职业基础配置!C$23:C$28,MOD(ROW(A423),4)+1),0)</f>
        <v>16</v>
      </c>
      <c r="G423" s="19">
        <f t="shared" si="68"/>
        <v>43</v>
      </c>
      <c r="H423" s="27">
        <f t="shared" si="69"/>
        <v>2</v>
      </c>
      <c r="I423" s="6" t="s">
        <v>164</v>
      </c>
      <c r="J423" s="23" t="str">
        <f>VLOOKUP(E423,各职业基础配置!$B$9:$C$12,2,FALSE)</f>
        <v>111|112|113|4201|115</v>
      </c>
      <c r="K423" s="18" t="str">
        <f>VLOOKUP(E423,各职业基础配置!$B$15:$C$18,2,FALSE)</f>
        <v>32|33|34</v>
      </c>
      <c r="L423" s="18" t="str">
        <f>VLOOKUP(E423,各职业基础配置!B:C,2,FALSE)</f>
        <v>[{32,1,1},{33,1,1},{34,1,1},{35,1,1},{7,1,1},{8,1,1},{9,1,1}]</v>
      </c>
      <c r="M423" s="18">
        <v>0</v>
      </c>
      <c r="N423" s="18">
        <f t="shared" si="70"/>
        <v>7</v>
      </c>
      <c r="O423" s="18">
        <f>SUMPRODUCT(P423:AI423,Sheet2!$B$3:$U$3)</f>
        <v>202184</v>
      </c>
      <c r="P423" s="18">
        <f>CEILING(INDEX([1]系统模型!$VD:$VD,MATCH(C423,[1]系统模型!$A:$A,0))*POWER(C423/220,3.8)-50+(1000-A423),1)</f>
        <v>4125</v>
      </c>
      <c r="Q423" s="18">
        <f>CEILING(INDEX([1]系统模型!$VE:$VE,MATCH(C423,[1]系统模型!$A:$A,0))*POWER(C423/220,4),1)</f>
        <v>542</v>
      </c>
      <c r="R423" s="18">
        <f>INT(INDEX([1]系统模型!$VF:$VF,MATCH(C423,[1]系统模型!$A:$A,0))*MAX(POWER(C423/180,4),0.5))</f>
        <v>32809</v>
      </c>
      <c r="S423" s="5">
        <v>1000</v>
      </c>
      <c r="T423" s="25">
        <v>0</v>
      </c>
      <c r="U423" s="25">
        <v>0</v>
      </c>
      <c r="V423" s="25">
        <v>0</v>
      </c>
      <c r="W423" s="25">
        <v>0</v>
      </c>
      <c r="X423" s="25">
        <f t="shared" si="71"/>
        <v>1640</v>
      </c>
      <c r="Y423" s="12">
        <v>0</v>
      </c>
      <c r="Z423" s="25">
        <v>100</v>
      </c>
      <c r="AA423" s="25">
        <v>150</v>
      </c>
      <c r="AB423" s="25">
        <v>0</v>
      </c>
      <c r="AC423" s="25">
        <v>0</v>
      </c>
      <c r="AD423" s="25">
        <v>0</v>
      </c>
      <c r="AE423" s="25">
        <f t="shared" si="72"/>
        <v>374</v>
      </c>
      <c r="AF423" s="25">
        <f t="shared" si="73"/>
        <v>374</v>
      </c>
      <c r="AG423" s="25">
        <v>0</v>
      </c>
      <c r="AH423" s="25">
        <f t="shared" si="74"/>
        <v>5275</v>
      </c>
      <c r="AI423" s="25">
        <f t="shared" si="75"/>
        <v>55</v>
      </c>
      <c r="AJ423" s="25">
        <v>1</v>
      </c>
      <c r="AK423" s="25">
        <v>1000</v>
      </c>
      <c r="AL423" s="25">
        <v>100</v>
      </c>
      <c r="AM423" s="26">
        <v>10</v>
      </c>
      <c r="AN423" s="26">
        <v>10</v>
      </c>
      <c r="AO423" s="22" t="s">
        <v>2211</v>
      </c>
      <c r="AP423" s="26">
        <v>0</v>
      </c>
      <c r="AQ423" s="26">
        <f t="shared" si="76"/>
        <v>570</v>
      </c>
      <c r="AR423" s="18" t="str">
        <f ca="1">CONCATENATE(OFFSET(Sheet1!$A$2,RANDBETWEEN(2,500),0,1,1),OFFSET(Sheet1!$A$2,RANDBETWEEN(2,500),RANDBETWEEN(1,5),1,1))</f>
        <v>勃特勒</v>
      </c>
      <c r="AS423">
        <f>SUMPRODUCT(P423:AI423,Sheet2!$B$3:$U$3)</f>
        <v>202184</v>
      </c>
    </row>
    <row r="424" spans="1:45" x14ac:dyDescent="0.15">
      <c r="A424" s="23">
        <v>423</v>
      </c>
      <c r="B424" s="18" t="s">
        <v>1993</v>
      </c>
      <c r="C424" s="18">
        <f t="shared" si="66"/>
        <v>187</v>
      </c>
      <c r="D424" s="19">
        <f t="shared" si="67"/>
        <v>3</v>
      </c>
      <c r="E424" s="19">
        <f>VLOOKUP(MOD(A424,4),各职业基础配置!C$32:D$35,2,FALSE)</f>
        <v>9</v>
      </c>
      <c r="F424" s="19">
        <f>IF(A424&lt;900,INDEX(各职业基础配置!C$23:C$28,MOD(ROW(A424),4)+1),0)</f>
        <v>8</v>
      </c>
      <c r="G424" s="19">
        <f t="shared" si="68"/>
        <v>43</v>
      </c>
      <c r="H424" s="27">
        <f t="shared" si="69"/>
        <v>2</v>
      </c>
      <c r="I424" s="6" t="s">
        <v>164</v>
      </c>
      <c r="J424" s="23" t="str">
        <f>VLOOKUP(E424,各职业基础配置!$B$9:$C$12,2,FALSE)</f>
        <v>116|117|118|4201|120</v>
      </c>
      <c r="K424" s="18" t="str">
        <f>VLOOKUP(E424,各职业基础配置!$B$15:$C$18,2,FALSE)</f>
        <v>28|29|30|31</v>
      </c>
      <c r="L424" s="18" t="str">
        <f>VLOOKUP(E424,各职业基础配置!B:C,2,FALSE)</f>
        <v>[{28,1,1},{29,1,1},{30,1,1},{31,1,1},{10,1,1},{11,1,1},{12,1,1}]</v>
      </c>
      <c r="M424" s="18">
        <v>0</v>
      </c>
      <c r="N424" s="18">
        <f t="shared" si="70"/>
        <v>3</v>
      </c>
      <c r="O424" s="18">
        <f>SUMPRODUCT(P424:AI424,Sheet2!$B$3:$U$3)</f>
        <v>202134</v>
      </c>
      <c r="P424" s="18">
        <f>CEILING(INDEX([1]系统模型!$VD:$VD,MATCH(C424,[1]系统模型!$A:$A,0))*POWER(C424/220,3.8)-50+(1000-A424),1)</f>
        <v>4124</v>
      </c>
      <c r="Q424" s="18">
        <f>CEILING(INDEX([1]系统模型!$VE:$VE,MATCH(C424,[1]系统模型!$A:$A,0))*POWER(C424/220,4),1)</f>
        <v>542</v>
      </c>
      <c r="R424" s="18">
        <f>INT(INDEX([1]系统模型!$VF:$VF,MATCH(C424,[1]系统模型!$A:$A,0))*MAX(POWER(C424/180,4),0.5))</f>
        <v>32809</v>
      </c>
      <c r="S424" s="5">
        <v>1000</v>
      </c>
      <c r="T424" s="25">
        <v>0</v>
      </c>
      <c r="U424" s="25">
        <v>0</v>
      </c>
      <c r="V424" s="25">
        <v>0</v>
      </c>
      <c r="W424" s="25">
        <v>0</v>
      </c>
      <c r="X424" s="25">
        <f t="shared" si="71"/>
        <v>1640</v>
      </c>
      <c r="Y424" s="12">
        <v>0</v>
      </c>
      <c r="Z424" s="25">
        <v>100</v>
      </c>
      <c r="AA424" s="25">
        <v>150</v>
      </c>
      <c r="AB424" s="25">
        <v>0</v>
      </c>
      <c r="AC424" s="25">
        <v>0</v>
      </c>
      <c r="AD424" s="25">
        <v>0</v>
      </c>
      <c r="AE424" s="25">
        <f t="shared" si="72"/>
        <v>374</v>
      </c>
      <c r="AF424" s="25">
        <f t="shared" si="73"/>
        <v>374</v>
      </c>
      <c r="AG424" s="25">
        <v>0</v>
      </c>
      <c r="AH424" s="25">
        <f t="shared" si="74"/>
        <v>5275</v>
      </c>
      <c r="AI424" s="25">
        <f t="shared" si="75"/>
        <v>54</v>
      </c>
      <c r="AJ424" s="25">
        <v>1</v>
      </c>
      <c r="AK424" s="25">
        <v>1000</v>
      </c>
      <c r="AL424" s="25">
        <v>100</v>
      </c>
      <c r="AM424" s="26">
        <v>10</v>
      </c>
      <c r="AN424" s="26">
        <v>10</v>
      </c>
      <c r="AO424" s="22" t="s">
        <v>2211</v>
      </c>
      <c r="AP424" s="26">
        <v>0</v>
      </c>
      <c r="AQ424" s="26">
        <f t="shared" si="76"/>
        <v>570</v>
      </c>
      <c r="AR424" s="18" t="str">
        <f ca="1">CONCATENATE(OFFSET(Sheet1!$A$2,RANDBETWEEN(2,500),0,1,1),OFFSET(Sheet1!$A$2,RANDBETWEEN(2,500),RANDBETWEEN(1,5),1,1))</f>
        <v>锡西</v>
      </c>
      <c r="AS424">
        <f>SUMPRODUCT(P424:AI424,Sheet2!$B$3:$U$3)</f>
        <v>202134</v>
      </c>
    </row>
    <row r="425" spans="1:45" x14ac:dyDescent="0.15">
      <c r="A425" s="18">
        <v>424</v>
      </c>
      <c r="B425" s="18" t="s">
        <v>1994</v>
      </c>
      <c r="C425" s="18">
        <f t="shared" si="66"/>
        <v>187</v>
      </c>
      <c r="D425" s="19">
        <f t="shared" si="67"/>
        <v>2</v>
      </c>
      <c r="E425" s="19">
        <f>VLOOKUP(MOD(A425,4),各职业基础配置!C$32:D$35,2,FALSE)</f>
        <v>1</v>
      </c>
      <c r="F425" s="19">
        <f>IF(A425&lt;900,INDEX(各职业基础配置!C$23:C$28,MOD(ROW(A425),4)+1),0)</f>
        <v>13</v>
      </c>
      <c r="G425" s="19">
        <f t="shared" si="68"/>
        <v>43</v>
      </c>
      <c r="H425" s="27">
        <f t="shared" si="69"/>
        <v>2</v>
      </c>
      <c r="I425" s="6" t="s">
        <v>164</v>
      </c>
      <c r="J425" s="23" t="str">
        <f>VLOOKUP(E425,各职业基础配置!$B$9:$C$12,2,FALSE)</f>
        <v>101|102|103|4201|105</v>
      </c>
      <c r="K425" s="18" t="str">
        <f>VLOOKUP(E425,各职业基础配置!$B$15:$C$18,2,FALSE)</f>
        <v>24|25|26|27</v>
      </c>
      <c r="L425" s="18" t="str">
        <f>VLOOKUP(E425,各职业基础配置!B:C,2,FALSE)</f>
        <v>[{24,1,1},{25,1,1},{26,1,1},{27,1,1},{1,1,1},{2,1,1},{3,1,1}]</v>
      </c>
      <c r="M425" s="18">
        <v>0</v>
      </c>
      <c r="N425" s="18">
        <f t="shared" si="70"/>
        <v>3</v>
      </c>
      <c r="O425" s="18">
        <f>SUMPRODUCT(P425:AI425,Sheet2!$B$3:$U$3)</f>
        <v>202109</v>
      </c>
      <c r="P425" s="18">
        <f>CEILING(INDEX([1]系统模型!$VD:$VD,MATCH(C425,[1]系统模型!$A:$A,0))*POWER(C425/220,3.8)-50+(1000-A425),1)</f>
        <v>4123</v>
      </c>
      <c r="Q425" s="18">
        <f>CEILING(INDEX([1]系统模型!$VE:$VE,MATCH(C425,[1]系统模型!$A:$A,0))*POWER(C425/220,4),1)</f>
        <v>542</v>
      </c>
      <c r="R425" s="18">
        <f>INT(INDEX([1]系统模型!$VF:$VF,MATCH(C425,[1]系统模型!$A:$A,0))*MAX(POWER(C425/180,4),0.5))</f>
        <v>32809</v>
      </c>
      <c r="S425" s="5">
        <v>1000</v>
      </c>
      <c r="T425" s="25">
        <v>0</v>
      </c>
      <c r="U425" s="25">
        <v>0</v>
      </c>
      <c r="V425" s="25">
        <v>0</v>
      </c>
      <c r="W425" s="25">
        <v>0</v>
      </c>
      <c r="X425" s="25">
        <f t="shared" si="71"/>
        <v>1640</v>
      </c>
      <c r="Y425" s="12">
        <v>0</v>
      </c>
      <c r="Z425" s="25">
        <v>100</v>
      </c>
      <c r="AA425" s="25">
        <v>150</v>
      </c>
      <c r="AB425" s="25">
        <v>0</v>
      </c>
      <c r="AC425" s="25">
        <v>0</v>
      </c>
      <c r="AD425" s="25">
        <v>0</v>
      </c>
      <c r="AE425" s="25">
        <f t="shared" si="72"/>
        <v>374</v>
      </c>
      <c r="AF425" s="25">
        <f t="shared" si="73"/>
        <v>374</v>
      </c>
      <c r="AG425" s="25">
        <v>0</v>
      </c>
      <c r="AH425" s="25">
        <f t="shared" si="74"/>
        <v>5275</v>
      </c>
      <c r="AI425" s="25">
        <f t="shared" si="75"/>
        <v>54</v>
      </c>
      <c r="AJ425" s="25">
        <v>1</v>
      </c>
      <c r="AK425" s="25">
        <v>1000</v>
      </c>
      <c r="AL425" s="25">
        <v>100</v>
      </c>
      <c r="AM425" s="26">
        <v>10</v>
      </c>
      <c r="AN425" s="26">
        <v>10</v>
      </c>
      <c r="AO425" s="22" t="s">
        <v>2211</v>
      </c>
      <c r="AP425" s="26">
        <v>0</v>
      </c>
      <c r="AQ425" s="26">
        <f t="shared" si="76"/>
        <v>570</v>
      </c>
      <c r="AR425" s="18" t="str">
        <f ca="1">CONCATENATE(OFFSET(Sheet1!$A$2,RANDBETWEEN(2,500),0,1,1),OFFSET(Sheet1!$A$2,RANDBETWEEN(2,500),RANDBETWEEN(1,5),1,1))</f>
        <v>波伊尔浪漫</v>
      </c>
      <c r="AS425">
        <f>SUMPRODUCT(P425:AI425,Sheet2!$B$3:$U$3)</f>
        <v>202109</v>
      </c>
    </row>
    <row r="426" spans="1:45" x14ac:dyDescent="0.15">
      <c r="A426" s="18">
        <v>425</v>
      </c>
      <c r="B426" s="18" t="s">
        <v>1043</v>
      </c>
      <c r="C426" s="18">
        <f t="shared" si="66"/>
        <v>187</v>
      </c>
      <c r="D426" s="19">
        <f t="shared" si="67"/>
        <v>3</v>
      </c>
      <c r="E426" s="19">
        <f>VLOOKUP(MOD(A426,4),各职业基础配置!C$32:D$35,2,FALSE)</f>
        <v>3</v>
      </c>
      <c r="F426" s="19">
        <f>IF(A426&lt;900,INDEX(各职业基础配置!C$23:C$28,MOD(ROW(A426),4)+1),0)</f>
        <v>14</v>
      </c>
      <c r="G426" s="19">
        <f t="shared" si="68"/>
        <v>43</v>
      </c>
      <c r="H426" s="27">
        <f t="shared" si="69"/>
        <v>2</v>
      </c>
      <c r="I426" s="6" t="s">
        <v>164</v>
      </c>
      <c r="J426" s="23" t="str">
        <f>VLOOKUP(E426,各职业基础配置!$B$9:$C$12,2,FALSE)</f>
        <v>106|107|108|4201|110</v>
      </c>
      <c r="K426" s="18" t="str">
        <f>VLOOKUP(E426,各职业基础配置!$B$15:$C$18,2,FALSE)</f>
        <v>20|21|22|23</v>
      </c>
      <c r="L426" s="18" t="str">
        <f>VLOOKUP(E426,各职业基础配置!B:C,2,FALSE)</f>
        <v>[{20,1,1},{21,1,1},{22,1,1},{23,1,1},{4,1,1},{5,1,1},{6,1,1}]</v>
      </c>
      <c r="M426" s="18">
        <v>0</v>
      </c>
      <c r="N426" s="18">
        <f t="shared" si="70"/>
        <v>7</v>
      </c>
      <c r="O426" s="18">
        <f>SUMPRODUCT(P426:AI426,Sheet2!$B$3:$U$3)</f>
        <v>202084</v>
      </c>
      <c r="P426" s="18">
        <f>CEILING(INDEX([1]系统模型!$VD:$VD,MATCH(C426,[1]系统模型!$A:$A,0))*POWER(C426/220,3.8)-50+(1000-A426),1)</f>
        <v>4122</v>
      </c>
      <c r="Q426" s="18">
        <f>CEILING(INDEX([1]系统模型!$VE:$VE,MATCH(C426,[1]系统模型!$A:$A,0))*POWER(C426/220,4),1)</f>
        <v>542</v>
      </c>
      <c r="R426" s="18">
        <f>INT(INDEX([1]系统模型!$VF:$VF,MATCH(C426,[1]系统模型!$A:$A,0))*MAX(POWER(C426/180,4),0.5))</f>
        <v>32809</v>
      </c>
      <c r="S426" s="5">
        <v>1000</v>
      </c>
      <c r="T426" s="25">
        <v>0</v>
      </c>
      <c r="U426" s="25">
        <v>0</v>
      </c>
      <c r="V426" s="25">
        <v>0</v>
      </c>
      <c r="W426" s="25">
        <v>0</v>
      </c>
      <c r="X426" s="25">
        <f t="shared" si="71"/>
        <v>1640</v>
      </c>
      <c r="Y426" s="12">
        <v>0</v>
      </c>
      <c r="Z426" s="25">
        <v>100</v>
      </c>
      <c r="AA426" s="25">
        <v>150</v>
      </c>
      <c r="AB426" s="25">
        <v>0</v>
      </c>
      <c r="AC426" s="25">
        <v>0</v>
      </c>
      <c r="AD426" s="25">
        <v>0</v>
      </c>
      <c r="AE426" s="25">
        <f t="shared" si="72"/>
        <v>374</v>
      </c>
      <c r="AF426" s="25">
        <f t="shared" si="73"/>
        <v>374</v>
      </c>
      <c r="AG426" s="25">
        <v>0</v>
      </c>
      <c r="AH426" s="25">
        <f t="shared" si="74"/>
        <v>5275</v>
      </c>
      <c r="AI426" s="25">
        <f t="shared" si="75"/>
        <v>54</v>
      </c>
      <c r="AJ426" s="25">
        <v>1</v>
      </c>
      <c r="AK426" s="25">
        <v>1000</v>
      </c>
      <c r="AL426" s="25">
        <v>100</v>
      </c>
      <c r="AM426" s="26">
        <v>10</v>
      </c>
      <c r="AN426" s="26">
        <v>10</v>
      </c>
      <c r="AO426" s="22" t="s">
        <v>2211</v>
      </c>
      <c r="AP426" s="26">
        <v>0</v>
      </c>
      <c r="AQ426" s="26">
        <f t="shared" si="76"/>
        <v>570</v>
      </c>
      <c r="AR426" s="18" t="str">
        <f ca="1">CONCATENATE(OFFSET(Sheet1!$A$2,RANDBETWEEN(2,500),0,1,1),OFFSET(Sheet1!$A$2,RANDBETWEEN(2,500),RANDBETWEEN(1,5),1,1))</f>
        <v>克罗夫特</v>
      </c>
      <c r="AS426">
        <f>SUMPRODUCT(P426:AI426,Sheet2!$B$3:$U$3)</f>
        <v>202084</v>
      </c>
    </row>
    <row r="427" spans="1:45" x14ac:dyDescent="0.15">
      <c r="A427" s="23">
        <v>426</v>
      </c>
      <c r="B427" s="18" t="s">
        <v>1379</v>
      </c>
      <c r="C427" s="18">
        <f t="shared" si="66"/>
        <v>186</v>
      </c>
      <c r="D427" s="19">
        <f t="shared" si="67"/>
        <v>2</v>
      </c>
      <c r="E427" s="19">
        <f>VLOOKUP(MOD(A427,4),各职业基础配置!C$32:D$35,2,FALSE)</f>
        <v>6</v>
      </c>
      <c r="F427" s="19">
        <f>IF(A427&lt;900,INDEX(各职业基础配置!C$23:C$28,MOD(ROW(A427),4)+1),0)</f>
        <v>16</v>
      </c>
      <c r="G427" s="19">
        <f t="shared" si="68"/>
        <v>42</v>
      </c>
      <c r="H427" s="27">
        <f t="shared" si="69"/>
        <v>2</v>
      </c>
      <c r="I427" s="6" t="s">
        <v>164</v>
      </c>
      <c r="J427" s="23" t="str">
        <f>VLOOKUP(E427,各职业基础配置!$B$9:$C$12,2,FALSE)</f>
        <v>111|112|113|4201|115</v>
      </c>
      <c r="K427" s="18" t="str">
        <f>VLOOKUP(E427,各职业基础配置!$B$15:$C$18,2,FALSE)</f>
        <v>32|33|34</v>
      </c>
      <c r="L427" s="18" t="str">
        <f>VLOOKUP(E427,各职业基础配置!B:C,2,FALSE)</f>
        <v>[{32,1,1},{33,1,1},{34,1,1},{35,1,1},{7,1,1},{8,1,1},{9,1,1}]</v>
      </c>
      <c r="M427" s="18">
        <v>0</v>
      </c>
      <c r="N427" s="18">
        <f t="shared" si="70"/>
        <v>7</v>
      </c>
      <c r="O427" s="18">
        <f>SUMPRODUCT(P427:AI427,Sheet2!$B$3:$U$3)</f>
        <v>197092</v>
      </c>
      <c r="P427" s="18">
        <f>CEILING(INDEX([1]系统模型!$VD:$VD,MATCH(C427,[1]系统模型!$A:$A,0))*POWER(C427/220,3.8)-50+(1000-A427),1)</f>
        <v>4010</v>
      </c>
      <c r="Q427" s="18">
        <f>CEILING(INDEX([1]系统模型!$VE:$VE,MATCH(C427,[1]系统模型!$A:$A,0))*POWER(C427/220,4),1)</f>
        <v>521</v>
      </c>
      <c r="R427" s="18">
        <f>INT(INDEX([1]系统模型!$VF:$VF,MATCH(C427,[1]系统模型!$A:$A,0))*MAX(POWER(C427/180,4),0.5))</f>
        <v>31642</v>
      </c>
      <c r="S427" s="5">
        <v>1000</v>
      </c>
      <c r="T427" s="25">
        <v>0</v>
      </c>
      <c r="U427" s="25">
        <v>0</v>
      </c>
      <c r="V427" s="25">
        <v>0</v>
      </c>
      <c r="W427" s="25">
        <v>0</v>
      </c>
      <c r="X427" s="25">
        <f t="shared" si="71"/>
        <v>1582</v>
      </c>
      <c r="Y427" s="12">
        <v>0</v>
      </c>
      <c r="Z427" s="25">
        <v>100</v>
      </c>
      <c r="AA427" s="25">
        <v>150</v>
      </c>
      <c r="AB427" s="25">
        <v>0</v>
      </c>
      <c r="AC427" s="25">
        <v>0</v>
      </c>
      <c r="AD427" s="25">
        <v>0</v>
      </c>
      <c r="AE427" s="25">
        <f t="shared" si="72"/>
        <v>372</v>
      </c>
      <c r="AF427" s="25">
        <f t="shared" si="73"/>
        <v>372</v>
      </c>
      <c r="AG427" s="25">
        <v>0</v>
      </c>
      <c r="AH427" s="25">
        <f t="shared" si="74"/>
        <v>5200</v>
      </c>
      <c r="AI427" s="25">
        <f t="shared" si="75"/>
        <v>53</v>
      </c>
      <c r="AJ427" s="25">
        <v>1</v>
      </c>
      <c r="AK427" s="25">
        <v>1000</v>
      </c>
      <c r="AL427" s="25">
        <v>100</v>
      </c>
      <c r="AM427" s="26">
        <v>10</v>
      </c>
      <c r="AN427" s="26">
        <v>10</v>
      </c>
      <c r="AO427" s="22" t="s">
        <v>2211</v>
      </c>
      <c r="AP427" s="26">
        <v>0</v>
      </c>
      <c r="AQ427" s="26">
        <f t="shared" si="76"/>
        <v>570</v>
      </c>
      <c r="AR427" s="18" t="str">
        <f ca="1">CONCATENATE(OFFSET(Sheet1!$A$2,RANDBETWEEN(2,500),0,1,1),OFFSET(Sheet1!$A$2,RANDBETWEEN(2,500),RANDBETWEEN(1,5),1,1))</f>
        <v>豪斯回忆</v>
      </c>
      <c r="AS427">
        <f>SUMPRODUCT(P427:AI427,Sheet2!$B$3:$U$3)</f>
        <v>197092</v>
      </c>
    </row>
    <row r="428" spans="1:45" x14ac:dyDescent="0.15">
      <c r="A428" s="18">
        <v>427</v>
      </c>
      <c r="B428" s="18" t="s">
        <v>1338</v>
      </c>
      <c r="C428" s="18">
        <f t="shared" si="66"/>
        <v>186</v>
      </c>
      <c r="D428" s="19">
        <f t="shared" si="67"/>
        <v>3</v>
      </c>
      <c r="E428" s="19">
        <f>VLOOKUP(MOD(A428,4),各职业基础配置!C$32:D$35,2,FALSE)</f>
        <v>9</v>
      </c>
      <c r="F428" s="19">
        <f>IF(A428&lt;900,INDEX(各职业基础配置!C$23:C$28,MOD(ROW(A428),4)+1),0)</f>
        <v>8</v>
      </c>
      <c r="G428" s="19">
        <f t="shared" si="68"/>
        <v>42</v>
      </c>
      <c r="H428" s="27">
        <f t="shared" si="69"/>
        <v>2</v>
      </c>
      <c r="I428" s="6" t="s">
        <v>164</v>
      </c>
      <c r="J428" s="23" t="str">
        <f>VLOOKUP(E428,各职业基础配置!$B$9:$C$12,2,FALSE)</f>
        <v>116|117|118|4201|120</v>
      </c>
      <c r="K428" s="18" t="str">
        <f>VLOOKUP(E428,各职业基础配置!$B$15:$C$18,2,FALSE)</f>
        <v>28|29|30|31</v>
      </c>
      <c r="L428" s="18" t="str">
        <f>VLOOKUP(E428,各职业基础配置!B:C,2,FALSE)</f>
        <v>[{28,1,1},{29,1,1},{30,1,1},{31,1,1},{10,1,1},{11,1,1},{12,1,1}]</v>
      </c>
      <c r="M428" s="18">
        <v>0</v>
      </c>
      <c r="N428" s="18">
        <f t="shared" si="70"/>
        <v>3</v>
      </c>
      <c r="O428" s="18">
        <f>SUMPRODUCT(P428:AI428,Sheet2!$B$3:$U$3)</f>
        <v>197067</v>
      </c>
      <c r="P428" s="18">
        <f>CEILING(INDEX([1]系统模型!$VD:$VD,MATCH(C428,[1]系统模型!$A:$A,0))*POWER(C428/220,3.8)-50+(1000-A428),1)</f>
        <v>4009</v>
      </c>
      <c r="Q428" s="18">
        <f>CEILING(INDEX([1]系统模型!$VE:$VE,MATCH(C428,[1]系统模型!$A:$A,0))*POWER(C428/220,4),1)</f>
        <v>521</v>
      </c>
      <c r="R428" s="18">
        <f>INT(INDEX([1]系统模型!$VF:$VF,MATCH(C428,[1]系统模型!$A:$A,0))*MAX(POWER(C428/180,4),0.5))</f>
        <v>31642</v>
      </c>
      <c r="S428" s="5">
        <v>1000</v>
      </c>
      <c r="T428" s="25">
        <v>0</v>
      </c>
      <c r="U428" s="25">
        <v>0</v>
      </c>
      <c r="V428" s="25">
        <v>0</v>
      </c>
      <c r="W428" s="25">
        <v>0</v>
      </c>
      <c r="X428" s="25">
        <f t="shared" si="71"/>
        <v>1582</v>
      </c>
      <c r="Y428" s="12">
        <v>0</v>
      </c>
      <c r="Z428" s="25">
        <v>100</v>
      </c>
      <c r="AA428" s="25">
        <v>150</v>
      </c>
      <c r="AB428" s="25">
        <v>0</v>
      </c>
      <c r="AC428" s="25">
        <v>0</v>
      </c>
      <c r="AD428" s="25">
        <v>0</v>
      </c>
      <c r="AE428" s="25">
        <f t="shared" si="72"/>
        <v>372</v>
      </c>
      <c r="AF428" s="25">
        <f t="shared" si="73"/>
        <v>372</v>
      </c>
      <c r="AG428" s="25">
        <v>0</v>
      </c>
      <c r="AH428" s="25">
        <f t="shared" si="74"/>
        <v>5200</v>
      </c>
      <c r="AI428" s="25">
        <f t="shared" si="75"/>
        <v>53</v>
      </c>
      <c r="AJ428" s="25">
        <v>1</v>
      </c>
      <c r="AK428" s="25">
        <v>1000</v>
      </c>
      <c r="AL428" s="25">
        <v>100</v>
      </c>
      <c r="AM428" s="26">
        <v>10</v>
      </c>
      <c r="AN428" s="26">
        <v>10</v>
      </c>
      <c r="AO428" s="22" t="s">
        <v>2211</v>
      </c>
      <c r="AP428" s="26">
        <v>0</v>
      </c>
      <c r="AQ428" s="26">
        <f t="shared" si="76"/>
        <v>570</v>
      </c>
      <c r="AR428" s="18" t="str">
        <f ca="1">CONCATENATE(OFFSET(Sheet1!$A$2,RANDBETWEEN(2,500),0,1,1),OFFSET(Sheet1!$A$2,RANDBETWEEN(2,500),RANDBETWEEN(1,5),1,1))</f>
        <v>艾森豪威尔</v>
      </c>
      <c r="AS428">
        <f>SUMPRODUCT(P428:AI428,Sheet2!$B$3:$U$3)</f>
        <v>197067</v>
      </c>
    </row>
    <row r="429" spans="1:45" x14ac:dyDescent="0.15">
      <c r="A429" s="18">
        <v>428</v>
      </c>
      <c r="B429" s="18" t="s">
        <v>1995</v>
      </c>
      <c r="C429" s="18">
        <f t="shared" si="66"/>
        <v>186</v>
      </c>
      <c r="D429" s="19">
        <f t="shared" si="67"/>
        <v>2</v>
      </c>
      <c r="E429" s="19">
        <f>VLOOKUP(MOD(A429,4),各职业基础配置!C$32:D$35,2,FALSE)</f>
        <v>1</v>
      </c>
      <c r="F429" s="19">
        <f>IF(A429&lt;900,INDEX(各职业基础配置!C$23:C$28,MOD(ROW(A429),4)+1),0)</f>
        <v>13</v>
      </c>
      <c r="G429" s="19">
        <f t="shared" si="68"/>
        <v>42</v>
      </c>
      <c r="H429" s="27">
        <f t="shared" si="69"/>
        <v>2</v>
      </c>
      <c r="I429" s="6" t="s">
        <v>164</v>
      </c>
      <c r="J429" s="23" t="str">
        <f>VLOOKUP(E429,各职业基础配置!$B$9:$C$12,2,FALSE)</f>
        <v>101|102|103|4201|105</v>
      </c>
      <c r="K429" s="18" t="str">
        <f>VLOOKUP(E429,各职业基础配置!$B$15:$C$18,2,FALSE)</f>
        <v>24|25|26|27</v>
      </c>
      <c r="L429" s="18" t="str">
        <f>VLOOKUP(E429,各职业基础配置!B:C,2,FALSE)</f>
        <v>[{24,1,1},{25,1,1},{26,1,1},{27,1,1},{1,1,1},{2,1,1},{3,1,1}]</v>
      </c>
      <c r="M429" s="18">
        <v>0</v>
      </c>
      <c r="N429" s="18">
        <f t="shared" si="70"/>
        <v>3</v>
      </c>
      <c r="O429" s="18">
        <f>SUMPRODUCT(P429:AI429,Sheet2!$B$3:$U$3)</f>
        <v>197042</v>
      </c>
      <c r="P429" s="18">
        <f>CEILING(INDEX([1]系统模型!$VD:$VD,MATCH(C429,[1]系统模型!$A:$A,0))*POWER(C429/220,3.8)-50+(1000-A429),1)</f>
        <v>4008</v>
      </c>
      <c r="Q429" s="18">
        <f>CEILING(INDEX([1]系统模型!$VE:$VE,MATCH(C429,[1]系统模型!$A:$A,0))*POWER(C429/220,4),1)</f>
        <v>521</v>
      </c>
      <c r="R429" s="18">
        <f>INT(INDEX([1]系统模型!$VF:$VF,MATCH(C429,[1]系统模型!$A:$A,0))*MAX(POWER(C429/180,4),0.5))</f>
        <v>31642</v>
      </c>
      <c r="S429" s="5">
        <v>1000</v>
      </c>
      <c r="T429" s="25">
        <v>0</v>
      </c>
      <c r="U429" s="25">
        <v>0</v>
      </c>
      <c r="V429" s="25">
        <v>0</v>
      </c>
      <c r="W429" s="25">
        <v>0</v>
      </c>
      <c r="X429" s="25">
        <f t="shared" si="71"/>
        <v>1582</v>
      </c>
      <c r="Y429" s="12">
        <v>0</v>
      </c>
      <c r="Z429" s="25">
        <v>100</v>
      </c>
      <c r="AA429" s="25">
        <v>150</v>
      </c>
      <c r="AB429" s="25">
        <v>0</v>
      </c>
      <c r="AC429" s="25">
        <v>0</v>
      </c>
      <c r="AD429" s="25">
        <v>0</v>
      </c>
      <c r="AE429" s="25">
        <f t="shared" si="72"/>
        <v>372</v>
      </c>
      <c r="AF429" s="25">
        <f t="shared" si="73"/>
        <v>372</v>
      </c>
      <c r="AG429" s="25">
        <v>0</v>
      </c>
      <c r="AH429" s="25">
        <f t="shared" si="74"/>
        <v>5200</v>
      </c>
      <c r="AI429" s="25">
        <f t="shared" si="75"/>
        <v>53</v>
      </c>
      <c r="AJ429" s="25">
        <v>1</v>
      </c>
      <c r="AK429" s="25">
        <v>1000</v>
      </c>
      <c r="AL429" s="25">
        <v>100</v>
      </c>
      <c r="AM429" s="26">
        <v>10</v>
      </c>
      <c r="AN429" s="26">
        <v>10</v>
      </c>
      <c r="AO429" s="22" t="s">
        <v>2211</v>
      </c>
      <c r="AP429" s="26">
        <v>0</v>
      </c>
      <c r="AQ429" s="26">
        <f t="shared" si="76"/>
        <v>570</v>
      </c>
      <c r="AR429" s="18" t="str">
        <f ca="1">CONCATENATE(OFFSET(Sheet1!$A$2,RANDBETWEEN(2,500),0,1,1),OFFSET(Sheet1!$A$2,RANDBETWEEN(2,500),RANDBETWEEN(1,5),1,1))</f>
        <v>科尔克拉夫</v>
      </c>
      <c r="AS429">
        <f>SUMPRODUCT(P429:AI429,Sheet2!$B$3:$U$3)</f>
        <v>197042</v>
      </c>
    </row>
    <row r="430" spans="1:45" x14ac:dyDescent="0.15">
      <c r="A430" s="23">
        <v>429</v>
      </c>
      <c r="B430" s="18" t="s">
        <v>1269</v>
      </c>
      <c r="C430" s="18">
        <f t="shared" si="66"/>
        <v>186</v>
      </c>
      <c r="D430" s="19">
        <f t="shared" si="67"/>
        <v>3</v>
      </c>
      <c r="E430" s="19">
        <f>VLOOKUP(MOD(A430,4),各职业基础配置!C$32:D$35,2,FALSE)</f>
        <v>3</v>
      </c>
      <c r="F430" s="19">
        <f>IF(A430&lt;900,INDEX(各职业基础配置!C$23:C$28,MOD(ROW(A430),4)+1),0)</f>
        <v>14</v>
      </c>
      <c r="G430" s="19">
        <f t="shared" si="68"/>
        <v>42</v>
      </c>
      <c r="H430" s="27">
        <f t="shared" si="69"/>
        <v>2</v>
      </c>
      <c r="I430" s="6" t="s">
        <v>164</v>
      </c>
      <c r="J430" s="23" t="str">
        <f>VLOOKUP(E430,各职业基础配置!$B$9:$C$12,2,FALSE)</f>
        <v>106|107|108|4201|110</v>
      </c>
      <c r="K430" s="18" t="str">
        <f>VLOOKUP(E430,各职业基础配置!$B$15:$C$18,2,FALSE)</f>
        <v>20|21|22|23</v>
      </c>
      <c r="L430" s="18" t="str">
        <f>VLOOKUP(E430,各职业基础配置!B:C,2,FALSE)</f>
        <v>[{20,1,1},{21,1,1},{22,1,1},{23,1,1},{4,1,1},{5,1,1},{6,1,1}]</v>
      </c>
      <c r="M430" s="18">
        <v>0</v>
      </c>
      <c r="N430" s="18">
        <f t="shared" si="70"/>
        <v>7</v>
      </c>
      <c r="O430" s="18">
        <f>SUMPRODUCT(P430:AI430,Sheet2!$B$3:$U$3)</f>
        <v>197017</v>
      </c>
      <c r="P430" s="18">
        <f>CEILING(INDEX([1]系统模型!$VD:$VD,MATCH(C430,[1]系统模型!$A:$A,0))*POWER(C430/220,3.8)-50+(1000-A430),1)</f>
        <v>4007</v>
      </c>
      <c r="Q430" s="18">
        <f>CEILING(INDEX([1]系统模型!$VE:$VE,MATCH(C430,[1]系统模型!$A:$A,0))*POWER(C430/220,4),1)</f>
        <v>521</v>
      </c>
      <c r="R430" s="18">
        <f>INT(INDEX([1]系统模型!$VF:$VF,MATCH(C430,[1]系统模型!$A:$A,0))*MAX(POWER(C430/180,4),0.5))</f>
        <v>31642</v>
      </c>
      <c r="S430" s="5">
        <v>1000</v>
      </c>
      <c r="T430" s="25">
        <v>0</v>
      </c>
      <c r="U430" s="25">
        <v>0</v>
      </c>
      <c r="V430" s="25">
        <v>0</v>
      </c>
      <c r="W430" s="25">
        <v>0</v>
      </c>
      <c r="X430" s="25">
        <f t="shared" si="71"/>
        <v>1582</v>
      </c>
      <c r="Y430" s="12">
        <v>0</v>
      </c>
      <c r="Z430" s="25">
        <v>100</v>
      </c>
      <c r="AA430" s="25">
        <v>150</v>
      </c>
      <c r="AB430" s="25">
        <v>0</v>
      </c>
      <c r="AC430" s="25">
        <v>0</v>
      </c>
      <c r="AD430" s="25">
        <v>0</v>
      </c>
      <c r="AE430" s="25">
        <f t="shared" si="72"/>
        <v>372</v>
      </c>
      <c r="AF430" s="25">
        <f t="shared" si="73"/>
        <v>372</v>
      </c>
      <c r="AG430" s="25">
        <v>0</v>
      </c>
      <c r="AH430" s="25">
        <f t="shared" si="74"/>
        <v>5200</v>
      </c>
      <c r="AI430" s="25">
        <f t="shared" si="75"/>
        <v>53</v>
      </c>
      <c r="AJ430" s="25">
        <v>1</v>
      </c>
      <c r="AK430" s="25">
        <v>1000</v>
      </c>
      <c r="AL430" s="25">
        <v>100</v>
      </c>
      <c r="AM430" s="26">
        <v>10</v>
      </c>
      <c r="AN430" s="26">
        <v>10</v>
      </c>
      <c r="AO430" s="22" t="s">
        <v>2211</v>
      </c>
      <c r="AP430" s="26">
        <v>0</v>
      </c>
      <c r="AQ430" s="26">
        <f t="shared" si="76"/>
        <v>570</v>
      </c>
      <c r="AR430" s="18" t="str">
        <f ca="1">CONCATENATE(OFFSET(Sheet1!$A$2,RANDBETWEEN(2,500),0,1,1),OFFSET(Sheet1!$A$2,RANDBETWEEN(2,500),RANDBETWEEN(1,5),1,1))</f>
        <v>库克</v>
      </c>
      <c r="AS430">
        <f>SUMPRODUCT(P430:AI430,Sheet2!$B$3:$U$3)</f>
        <v>197017</v>
      </c>
    </row>
    <row r="431" spans="1:45" x14ac:dyDescent="0.15">
      <c r="A431" s="18">
        <v>430</v>
      </c>
      <c r="B431" s="18" t="s">
        <v>1282</v>
      </c>
      <c r="C431" s="18">
        <f t="shared" si="66"/>
        <v>186</v>
      </c>
      <c r="D431" s="19">
        <f t="shared" si="67"/>
        <v>2</v>
      </c>
      <c r="E431" s="19">
        <f>VLOOKUP(MOD(A431,4),各职业基础配置!C$32:D$35,2,FALSE)</f>
        <v>6</v>
      </c>
      <c r="F431" s="19">
        <f>IF(A431&lt;900,INDEX(各职业基础配置!C$23:C$28,MOD(ROW(A431),4)+1),0)</f>
        <v>16</v>
      </c>
      <c r="G431" s="19">
        <f t="shared" si="68"/>
        <v>42</v>
      </c>
      <c r="H431" s="27">
        <f t="shared" si="69"/>
        <v>2</v>
      </c>
      <c r="I431" s="6" t="s">
        <v>164</v>
      </c>
      <c r="J431" s="23" t="str">
        <f>VLOOKUP(E431,各职业基础配置!$B$9:$C$12,2,FALSE)</f>
        <v>111|112|113|4201|115</v>
      </c>
      <c r="K431" s="18" t="str">
        <f>VLOOKUP(E431,各职业基础配置!$B$15:$C$18,2,FALSE)</f>
        <v>32|33|34</v>
      </c>
      <c r="L431" s="18" t="str">
        <f>VLOOKUP(E431,各职业基础配置!B:C,2,FALSE)</f>
        <v>[{32,1,1},{33,1,1},{34,1,1},{35,1,1},{7,1,1},{8,1,1},{9,1,1}]</v>
      </c>
      <c r="M431" s="18">
        <v>0</v>
      </c>
      <c r="N431" s="18">
        <f t="shared" si="70"/>
        <v>7</v>
      </c>
      <c r="O431" s="18">
        <f>SUMPRODUCT(P431:AI431,Sheet2!$B$3:$U$3)</f>
        <v>196992</v>
      </c>
      <c r="P431" s="18">
        <f>CEILING(INDEX([1]系统模型!$VD:$VD,MATCH(C431,[1]系统模型!$A:$A,0))*POWER(C431/220,3.8)-50+(1000-A431),1)</f>
        <v>4006</v>
      </c>
      <c r="Q431" s="18">
        <f>CEILING(INDEX([1]系统模型!$VE:$VE,MATCH(C431,[1]系统模型!$A:$A,0))*POWER(C431/220,4),1)</f>
        <v>521</v>
      </c>
      <c r="R431" s="18">
        <f>INT(INDEX([1]系统模型!$VF:$VF,MATCH(C431,[1]系统模型!$A:$A,0))*MAX(POWER(C431/180,4),0.5))</f>
        <v>31642</v>
      </c>
      <c r="S431" s="5">
        <v>1000</v>
      </c>
      <c r="T431" s="25">
        <v>0</v>
      </c>
      <c r="U431" s="25">
        <v>0</v>
      </c>
      <c r="V431" s="25">
        <v>0</v>
      </c>
      <c r="W431" s="25">
        <v>0</v>
      </c>
      <c r="X431" s="25">
        <f t="shared" si="71"/>
        <v>1582</v>
      </c>
      <c r="Y431" s="12">
        <v>0</v>
      </c>
      <c r="Z431" s="25">
        <v>100</v>
      </c>
      <c r="AA431" s="25">
        <v>150</v>
      </c>
      <c r="AB431" s="25">
        <v>0</v>
      </c>
      <c r="AC431" s="25">
        <v>0</v>
      </c>
      <c r="AD431" s="25">
        <v>0</v>
      </c>
      <c r="AE431" s="25">
        <f t="shared" si="72"/>
        <v>372</v>
      </c>
      <c r="AF431" s="25">
        <f t="shared" si="73"/>
        <v>372</v>
      </c>
      <c r="AG431" s="25">
        <v>0</v>
      </c>
      <c r="AH431" s="25">
        <f t="shared" si="74"/>
        <v>5200</v>
      </c>
      <c r="AI431" s="25">
        <f t="shared" si="75"/>
        <v>53</v>
      </c>
      <c r="AJ431" s="25">
        <v>1</v>
      </c>
      <c r="AK431" s="25">
        <v>1000</v>
      </c>
      <c r="AL431" s="25">
        <v>100</v>
      </c>
      <c r="AM431" s="26">
        <v>10</v>
      </c>
      <c r="AN431" s="26">
        <v>10</v>
      </c>
      <c r="AO431" s="22" t="s">
        <v>2211</v>
      </c>
      <c r="AP431" s="26">
        <v>0</v>
      </c>
      <c r="AQ431" s="26">
        <f t="shared" si="76"/>
        <v>570</v>
      </c>
      <c r="AR431" s="18" t="str">
        <f ca="1">CONCATENATE(OFFSET(Sheet1!$A$2,RANDBETWEEN(2,500),0,1,1),OFFSET(Sheet1!$A$2,RANDBETWEEN(2,500),RANDBETWEEN(1,5),1,1))</f>
        <v>本</v>
      </c>
      <c r="AS431">
        <f>SUMPRODUCT(P431:AI431,Sheet2!$B$3:$U$3)</f>
        <v>196992</v>
      </c>
    </row>
    <row r="432" spans="1:45" x14ac:dyDescent="0.15">
      <c r="A432" s="18">
        <v>431</v>
      </c>
      <c r="B432" s="18" t="s">
        <v>1996</v>
      </c>
      <c r="C432" s="18">
        <f t="shared" si="66"/>
        <v>186</v>
      </c>
      <c r="D432" s="19">
        <f t="shared" si="67"/>
        <v>3</v>
      </c>
      <c r="E432" s="19">
        <f>VLOOKUP(MOD(A432,4),各职业基础配置!C$32:D$35,2,FALSE)</f>
        <v>9</v>
      </c>
      <c r="F432" s="19">
        <f>IF(A432&lt;900,INDEX(各职业基础配置!C$23:C$28,MOD(ROW(A432),4)+1),0)</f>
        <v>8</v>
      </c>
      <c r="G432" s="19">
        <f t="shared" si="68"/>
        <v>42</v>
      </c>
      <c r="H432" s="27">
        <f t="shared" si="69"/>
        <v>2</v>
      </c>
      <c r="I432" s="6" t="s">
        <v>164</v>
      </c>
      <c r="J432" s="23" t="str">
        <f>VLOOKUP(E432,各职业基础配置!$B$9:$C$12,2,FALSE)</f>
        <v>116|117|118|4201|120</v>
      </c>
      <c r="K432" s="18" t="str">
        <f>VLOOKUP(E432,各职业基础配置!$B$15:$C$18,2,FALSE)</f>
        <v>28|29|30|31</v>
      </c>
      <c r="L432" s="18" t="str">
        <f>VLOOKUP(E432,各职业基础配置!B:C,2,FALSE)</f>
        <v>[{28,1,1},{29,1,1},{30,1,1},{31,1,1},{10,1,1},{11,1,1},{12,1,1}]</v>
      </c>
      <c r="M432" s="18">
        <v>0</v>
      </c>
      <c r="N432" s="18">
        <f t="shared" si="70"/>
        <v>3</v>
      </c>
      <c r="O432" s="18">
        <f>SUMPRODUCT(P432:AI432,Sheet2!$B$3:$U$3)</f>
        <v>196967</v>
      </c>
      <c r="P432" s="18">
        <f>CEILING(INDEX([1]系统模型!$VD:$VD,MATCH(C432,[1]系统模型!$A:$A,0))*POWER(C432/220,3.8)-50+(1000-A432),1)</f>
        <v>4005</v>
      </c>
      <c r="Q432" s="18">
        <f>CEILING(INDEX([1]系统模型!$VE:$VE,MATCH(C432,[1]系统模型!$A:$A,0))*POWER(C432/220,4),1)</f>
        <v>521</v>
      </c>
      <c r="R432" s="18">
        <f>INT(INDEX([1]系统模型!$VF:$VF,MATCH(C432,[1]系统模型!$A:$A,0))*MAX(POWER(C432/180,4),0.5))</f>
        <v>31642</v>
      </c>
      <c r="S432" s="5">
        <v>1000</v>
      </c>
      <c r="T432" s="25">
        <v>0</v>
      </c>
      <c r="U432" s="25">
        <v>0</v>
      </c>
      <c r="V432" s="25">
        <v>0</v>
      </c>
      <c r="W432" s="25">
        <v>0</v>
      </c>
      <c r="X432" s="25">
        <f t="shared" si="71"/>
        <v>1582</v>
      </c>
      <c r="Y432" s="12">
        <v>0</v>
      </c>
      <c r="Z432" s="25">
        <v>100</v>
      </c>
      <c r="AA432" s="25">
        <v>150</v>
      </c>
      <c r="AB432" s="25">
        <v>0</v>
      </c>
      <c r="AC432" s="25">
        <v>0</v>
      </c>
      <c r="AD432" s="25">
        <v>0</v>
      </c>
      <c r="AE432" s="25">
        <f t="shared" si="72"/>
        <v>372</v>
      </c>
      <c r="AF432" s="25">
        <f t="shared" si="73"/>
        <v>372</v>
      </c>
      <c r="AG432" s="25">
        <v>0</v>
      </c>
      <c r="AH432" s="25">
        <f t="shared" si="74"/>
        <v>5200</v>
      </c>
      <c r="AI432" s="25">
        <f t="shared" si="75"/>
        <v>53</v>
      </c>
      <c r="AJ432" s="25">
        <v>1</v>
      </c>
      <c r="AK432" s="25">
        <v>1000</v>
      </c>
      <c r="AL432" s="25">
        <v>100</v>
      </c>
      <c r="AM432" s="26">
        <v>10</v>
      </c>
      <c r="AN432" s="26">
        <v>10</v>
      </c>
      <c r="AO432" s="22" t="s">
        <v>2211</v>
      </c>
      <c r="AP432" s="26">
        <v>0</v>
      </c>
      <c r="AQ432" s="26">
        <f t="shared" si="76"/>
        <v>570</v>
      </c>
      <c r="AR432" s="18" t="str">
        <f ca="1">CONCATENATE(OFFSET(Sheet1!$A$2,RANDBETWEEN(2,500),0,1,1),OFFSET(Sheet1!$A$2,RANDBETWEEN(2,500),RANDBETWEEN(1,5),1,1))</f>
        <v>埃尔西萨琳娜</v>
      </c>
      <c r="AS432">
        <f>SUMPRODUCT(P432:AI432,Sheet2!$B$3:$U$3)</f>
        <v>196967</v>
      </c>
    </row>
    <row r="433" spans="1:45" x14ac:dyDescent="0.15">
      <c r="A433" s="23">
        <v>432</v>
      </c>
      <c r="B433" s="18" t="s">
        <v>1997</v>
      </c>
      <c r="C433" s="18">
        <f t="shared" si="66"/>
        <v>186</v>
      </c>
      <c r="D433" s="19">
        <f t="shared" si="67"/>
        <v>2</v>
      </c>
      <c r="E433" s="19">
        <f>VLOOKUP(MOD(A433,4),各职业基础配置!C$32:D$35,2,FALSE)</f>
        <v>1</v>
      </c>
      <c r="F433" s="19">
        <f>IF(A433&lt;900,INDEX(各职业基础配置!C$23:C$28,MOD(ROW(A433),4)+1),0)</f>
        <v>13</v>
      </c>
      <c r="G433" s="19">
        <f t="shared" si="68"/>
        <v>42</v>
      </c>
      <c r="H433" s="27">
        <f t="shared" si="69"/>
        <v>2</v>
      </c>
      <c r="I433" s="6" t="s">
        <v>164</v>
      </c>
      <c r="J433" s="23" t="str">
        <f>VLOOKUP(E433,各职业基础配置!$B$9:$C$12,2,FALSE)</f>
        <v>101|102|103|4201|105</v>
      </c>
      <c r="K433" s="18" t="str">
        <f>VLOOKUP(E433,各职业基础配置!$B$15:$C$18,2,FALSE)</f>
        <v>24|25|26|27</v>
      </c>
      <c r="L433" s="18" t="str">
        <f>VLOOKUP(E433,各职业基础配置!B:C,2,FALSE)</f>
        <v>[{24,1,1},{25,1,1},{26,1,1},{27,1,1},{1,1,1},{2,1,1},{3,1,1}]</v>
      </c>
      <c r="M433" s="18">
        <v>0</v>
      </c>
      <c r="N433" s="18">
        <f t="shared" si="70"/>
        <v>3</v>
      </c>
      <c r="O433" s="18">
        <f>SUMPRODUCT(P433:AI433,Sheet2!$B$3:$U$3)</f>
        <v>196942</v>
      </c>
      <c r="P433" s="18">
        <f>CEILING(INDEX([1]系统模型!$VD:$VD,MATCH(C433,[1]系统模型!$A:$A,0))*POWER(C433/220,3.8)-50+(1000-A433),1)</f>
        <v>4004</v>
      </c>
      <c r="Q433" s="18">
        <f>CEILING(INDEX([1]系统模型!$VE:$VE,MATCH(C433,[1]系统模型!$A:$A,0))*POWER(C433/220,4),1)</f>
        <v>521</v>
      </c>
      <c r="R433" s="18">
        <f>INT(INDEX([1]系统模型!$VF:$VF,MATCH(C433,[1]系统模型!$A:$A,0))*MAX(POWER(C433/180,4),0.5))</f>
        <v>31642</v>
      </c>
      <c r="S433" s="5">
        <v>1000</v>
      </c>
      <c r="T433" s="25">
        <v>0</v>
      </c>
      <c r="U433" s="25">
        <v>0</v>
      </c>
      <c r="V433" s="25">
        <v>0</v>
      </c>
      <c r="W433" s="25">
        <v>0</v>
      </c>
      <c r="X433" s="25">
        <f t="shared" si="71"/>
        <v>1582</v>
      </c>
      <c r="Y433" s="12">
        <v>0</v>
      </c>
      <c r="Z433" s="25">
        <v>100</v>
      </c>
      <c r="AA433" s="25">
        <v>150</v>
      </c>
      <c r="AB433" s="25">
        <v>0</v>
      </c>
      <c r="AC433" s="25">
        <v>0</v>
      </c>
      <c r="AD433" s="25">
        <v>0</v>
      </c>
      <c r="AE433" s="25">
        <f t="shared" si="72"/>
        <v>372</v>
      </c>
      <c r="AF433" s="25">
        <f t="shared" si="73"/>
        <v>372</v>
      </c>
      <c r="AG433" s="25">
        <v>0</v>
      </c>
      <c r="AH433" s="25">
        <f t="shared" si="74"/>
        <v>5200</v>
      </c>
      <c r="AI433" s="25">
        <f t="shared" si="75"/>
        <v>53</v>
      </c>
      <c r="AJ433" s="25">
        <v>1</v>
      </c>
      <c r="AK433" s="25">
        <v>1000</v>
      </c>
      <c r="AL433" s="25">
        <v>100</v>
      </c>
      <c r="AM433" s="26">
        <v>10</v>
      </c>
      <c r="AN433" s="26">
        <v>10</v>
      </c>
      <c r="AO433" s="22" t="s">
        <v>2211</v>
      </c>
      <c r="AP433" s="26">
        <v>0</v>
      </c>
      <c r="AQ433" s="26">
        <f t="shared" si="76"/>
        <v>560</v>
      </c>
      <c r="AR433" s="18" t="str">
        <f ca="1">CONCATENATE(OFFSET(Sheet1!$A$2,RANDBETWEEN(2,500),0,1,1),OFFSET(Sheet1!$A$2,RANDBETWEEN(2,500),RANDBETWEEN(1,5),1,1))</f>
        <v>娜</v>
      </c>
      <c r="AS433">
        <f>SUMPRODUCT(P433:AI433,Sheet2!$B$3:$U$3)</f>
        <v>196942</v>
      </c>
    </row>
    <row r="434" spans="1:45" x14ac:dyDescent="0.15">
      <c r="A434" s="18">
        <v>433</v>
      </c>
      <c r="B434" s="18" t="s">
        <v>1212</v>
      </c>
      <c r="C434" s="18">
        <f t="shared" si="66"/>
        <v>185</v>
      </c>
      <c r="D434" s="19">
        <f t="shared" si="67"/>
        <v>3</v>
      </c>
      <c r="E434" s="19">
        <f>VLOOKUP(MOD(A434,4),各职业基础配置!C$32:D$35,2,FALSE)</f>
        <v>3</v>
      </c>
      <c r="F434" s="19">
        <f>IF(A434&lt;900,INDEX(各职业基础配置!C$23:C$28,MOD(ROW(A434),4)+1),0)</f>
        <v>14</v>
      </c>
      <c r="G434" s="19">
        <f t="shared" si="68"/>
        <v>41</v>
      </c>
      <c r="H434" s="27">
        <f t="shared" si="69"/>
        <v>2</v>
      </c>
      <c r="I434" s="6" t="s">
        <v>164</v>
      </c>
      <c r="J434" s="23" t="str">
        <f>VLOOKUP(E434,各职业基础配置!$B$9:$C$12,2,FALSE)</f>
        <v>106|107|108|4201|110</v>
      </c>
      <c r="K434" s="18" t="str">
        <f>VLOOKUP(E434,各职业基础配置!$B$15:$C$18,2,FALSE)</f>
        <v>20|21|22|23</v>
      </c>
      <c r="L434" s="18" t="str">
        <f>VLOOKUP(E434,各职业基础配置!B:C,2,FALSE)</f>
        <v>[{20,1,1},{21,1,1},{22,1,1},{23,1,1},{4,1,1},{5,1,1},{6,1,1}]</v>
      </c>
      <c r="M434" s="18">
        <v>0</v>
      </c>
      <c r="N434" s="18">
        <f t="shared" si="70"/>
        <v>7</v>
      </c>
      <c r="O434" s="18">
        <f>SUMPRODUCT(P434:AI434,Sheet2!$B$3:$U$3)</f>
        <v>192242</v>
      </c>
      <c r="P434" s="18">
        <f>CEILING(INDEX([1]系统模型!$VD:$VD,MATCH(C434,[1]系统模型!$A:$A,0))*POWER(C434/220,3.8)-50+(1000-A434),1)</f>
        <v>3920</v>
      </c>
      <c r="Q434" s="18">
        <f>CEILING(INDEX([1]系统模型!$VE:$VE,MATCH(C434,[1]系统模型!$A:$A,0))*POWER(C434/220,4),1)</f>
        <v>493</v>
      </c>
      <c r="R434" s="18">
        <f>INT(INDEX([1]系统模型!$VF:$VF,MATCH(C434,[1]系统模型!$A:$A,0))*MAX(POWER(C434/180,4),0.5))</f>
        <v>30242</v>
      </c>
      <c r="S434" s="5">
        <v>1000</v>
      </c>
      <c r="T434" s="25">
        <v>0</v>
      </c>
      <c r="U434" s="25">
        <v>0</v>
      </c>
      <c r="V434" s="25">
        <v>0</v>
      </c>
      <c r="W434" s="25">
        <v>0</v>
      </c>
      <c r="X434" s="25">
        <f t="shared" si="71"/>
        <v>1512</v>
      </c>
      <c r="Y434" s="12">
        <v>0</v>
      </c>
      <c r="Z434" s="25">
        <v>100</v>
      </c>
      <c r="AA434" s="25">
        <v>150</v>
      </c>
      <c r="AB434" s="25">
        <v>0</v>
      </c>
      <c r="AC434" s="25">
        <v>0</v>
      </c>
      <c r="AD434" s="25">
        <v>0</v>
      </c>
      <c r="AE434" s="25">
        <f t="shared" si="72"/>
        <v>370</v>
      </c>
      <c r="AF434" s="25">
        <f t="shared" si="73"/>
        <v>370</v>
      </c>
      <c r="AG434" s="25">
        <v>0</v>
      </c>
      <c r="AH434" s="25">
        <f t="shared" si="74"/>
        <v>5125</v>
      </c>
      <c r="AI434" s="25">
        <f t="shared" si="75"/>
        <v>52</v>
      </c>
      <c r="AJ434" s="25">
        <v>1</v>
      </c>
      <c r="AK434" s="25">
        <v>1000</v>
      </c>
      <c r="AL434" s="25">
        <v>100</v>
      </c>
      <c r="AM434" s="26">
        <v>10</v>
      </c>
      <c r="AN434" s="26">
        <v>10</v>
      </c>
      <c r="AO434" s="22" t="s">
        <v>2211</v>
      </c>
      <c r="AP434" s="26">
        <v>0</v>
      </c>
      <c r="AQ434" s="26">
        <f t="shared" si="76"/>
        <v>560</v>
      </c>
      <c r="AR434" s="18" t="str">
        <f ca="1">CONCATENATE(OFFSET(Sheet1!$A$2,RANDBETWEEN(2,500),0,1,1),OFFSET(Sheet1!$A$2,RANDBETWEEN(2,500),RANDBETWEEN(1,5),1,1))</f>
        <v>乔布</v>
      </c>
      <c r="AS434">
        <f>SUMPRODUCT(P434:AI434,Sheet2!$B$3:$U$3)</f>
        <v>192242</v>
      </c>
    </row>
    <row r="435" spans="1:45" x14ac:dyDescent="0.15">
      <c r="A435" s="18">
        <v>434</v>
      </c>
      <c r="B435" s="18" t="s">
        <v>323</v>
      </c>
      <c r="C435" s="18">
        <f t="shared" si="66"/>
        <v>185</v>
      </c>
      <c r="D435" s="19">
        <f t="shared" si="67"/>
        <v>2</v>
      </c>
      <c r="E435" s="19">
        <f>VLOOKUP(MOD(A435,4),各职业基础配置!C$32:D$35,2,FALSE)</f>
        <v>6</v>
      </c>
      <c r="F435" s="19">
        <f>IF(A435&lt;900,INDEX(各职业基础配置!C$23:C$28,MOD(ROW(A435),4)+1),0)</f>
        <v>16</v>
      </c>
      <c r="G435" s="19">
        <f t="shared" si="68"/>
        <v>41</v>
      </c>
      <c r="H435" s="27">
        <f t="shared" si="69"/>
        <v>2</v>
      </c>
      <c r="I435" s="6" t="s">
        <v>164</v>
      </c>
      <c r="J435" s="23" t="str">
        <f>VLOOKUP(E435,各职业基础配置!$B$9:$C$12,2,FALSE)</f>
        <v>111|112|113|4201|115</v>
      </c>
      <c r="K435" s="18" t="str">
        <f>VLOOKUP(E435,各职业基础配置!$B$15:$C$18,2,FALSE)</f>
        <v>32|33|34</v>
      </c>
      <c r="L435" s="18" t="str">
        <f>VLOOKUP(E435,各职业基础配置!B:C,2,FALSE)</f>
        <v>[{32,1,1},{33,1,1},{34,1,1},{35,1,1},{7,1,1},{8,1,1},{9,1,1}]</v>
      </c>
      <c r="M435" s="18">
        <v>0</v>
      </c>
      <c r="N435" s="18">
        <f t="shared" si="70"/>
        <v>7</v>
      </c>
      <c r="O435" s="18">
        <f>SUMPRODUCT(P435:AI435,Sheet2!$B$3:$U$3)</f>
        <v>192217</v>
      </c>
      <c r="P435" s="18">
        <f>CEILING(INDEX([1]系统模型!$VD:$VD,MATCH(C435,[1]系统模型!$A:$A,0))*POWER(C435/220,3.8)-50+(1000-A435),1)</f>
        <v>3919</v>
      </c>
      <c r="Q435" s="18">
        <f>CEILING(INDEX([1]系统模型!$VE:$VE,MATCH(C435,[1]系统模型!$A:$A,0))*POWER(C435/220,4),1)</f>
        <v>493</v>
      </c>
      <c r="R435" s="18">
        <f>INT(INDEX([1]系统模型!$VF:$VF,MATCH(C435,[1]系统模型!$A:$A,0))*MAX(POWER(C435/180,4),0.5))</f>
        <v>30242</v>
      </c>
      <c r="S435" s="5">
        <v>1000</v>
      </c>
      <c r="T435" s="25">
        <v>0</v>
      </c>
      <c r="U435" s="25">
        <v>0</v>
      </c>
      <c r="V435" s="25">
        <v>0</v>
      </c>
      <c r="W435" s="25">
        <v>0</v>
      </c>
      <c r="X435" s="25">
        <f t="shared" si="71"/>
        <v>1512</v>
      </c>
      <c r="Y435" s="12">
        <v>0</v>
      </c>
      <c r="Z435" s="25">
        <v>100</v>
      </c>
      <c r="AA435" s="25">
        <v>150</v>
      </c>
      <c r="AB435" s="25">
        <v>0</v>
      </c>
      <c r="AC435" s="25">
        <v>0</v>
      </c>
      <c r="AD435" s="25">
        <v>0</v>
      </c>
      <c r="AE435" s="25">
        <f t="shared" si="72"/>
        <v>370</v>
      </c>
      <c r="AF435" s="25">
        <f t="shared" si="73"/>
        <v>370</v>
      </c>
      <c r="AG435" s="25">
        <v>0</v>
      </c>
      <c r="AH435" s="25">
        <f t="shared" si="74"/>
        <v>5125</v>
      </c>
      <c r="AI435" s="25">
        <f t="shared" si="75"/>
        <v>52</v>
      </c>
      <c r="AJ435" s="25">
        <v>1</v>
      </c>
      <c r="AK435" s="25">
        <v>1000</v>
      </c>
      <c r="AL435" s="25">
        <v>100</v>
      </c>
      <c r="AM435" s="26">
        <v>10</v>
      </c>
      <c r="AN435" s="26">
        <v>10</v>
      </c>
      <c r="AO435" s="22" t="s">
        <v>2211</v>
      </c>
      <c r="AP435" s="26">
        <v>0</v>
      </c>
      <c r="AQ435" s="26">
        <f t="shared" si="76"/>
        <v>560</v>
      </c>
      <c r="AR435" s="18" t="str">
        <f ca="1">CONCATENATE(OFFSET(Sheet1!$A$2,RANDBETWEEN(2,500),0,1,1),OFFSET(Sheet1!$A$2,RANDBETWEEN(2,500),RANDBETWEEN(1,5),1,1))</f>
        <v>爱德华</v>
      </c>
      <c r="AS435">
        <f>SUMPRODUCT(P435:AI435,Sheet2!$B$3:$U$3)</f>
        <v>192217</v>
      </c>
    </row>
    <row r="436" spans="1:45" x14ac:dyDescent="0.15">
      <c r="A436" s="23">
        <v>435</v>
      </c>
      <c r="B436" s="18" t="s">
        <v>1998</v>
      </c>
      <c r="C436" s="18">
        <f t="shared" si="66"/>
        <v>185</v>
      </c>
      <c r="D436" s="19">
        <f t="shared" si="67"/>
        <v>3</v>
      </c>
      <c r="E436" s="19">
        <f>VLOOKUP(MOD(A436,4),各职业基础配置!C$32:D$35,2,FALSE)</f>
        <v>9</v>
      </c>
      <c r="F436" s="19">
        <f>IF(A436&lt;900,INDEX(各职业基础配置!C$23:C$28,MOD(ROW(A436),4)+1),0)</f>
        <v>8</v>
      </c>
      <c r="G436" s="19">
        <f t="shared" si="68"/>
        <v>41</v>
      </c>
      <c r="H436" s="27">
        <f t="shared" si="69"/>
        <v>2</v>
      </c>
      <c r="I436" s="6" t="s">
        <v>164</v>
      </c>
      <c r="J436" s="23" t="str">
        <f>VLOOKUP(E436,各职业基础配置!$B$9:$C$12,2,FALSE)</f>
        <v>116|117|118|4201|120</v>
      </c>
      <c r="K436" s="18" t="str">
        <f>VLOOKUP(E436,各职业基础配置!$B$15:$C$18,2,FALSE)</f>
        <v>28|29|30|31</v>
      </c>
      <c r="L436" s="18" t="str">
        <f>VLOOKUP(E436,各职业基础配置!B:C,2,FALSE)</f>
        <v>[{28,1,1},{29,1,1},{30,1,1},{31,1,1},{10,1,1},{11,1,1},{12,1,1}]</v>
      </c>
      <c r="M436" s="18">
        <v>0</v>
      </c>
      <c r="N436" s="18">
        <f t="shared" si="70"/>
        <v>3</v>
      </c>
      <c r="O436" s="18">
        <f>SUMPRODUCT(P436:AI436,Sheet2!$B$3:$U$3)</f>
        <v>192192</v>
      </c>
      <c r="P436" s="18">
        <f>CEILING(INDEX([1]系统模型!$VD:$VD,MATCH(C436,[1]系统模型!$A:$A,0))*POWER(C436/220,3.8)-50+(1000-A436),1)</f>
        <v>3918</v>
      </c>
      <c r="Q436" s="18">
        <f>CEILING(INDEX([1]系统模型!$VE:$VE,MATCH(C436,[1]系统模型!$A:$A,0))*POWER(C436/220,4),1)</f>
        <v>493</v>
      </c>
      <c r="R436" s="18">
        <f>INT(INDEX([1]系统模型!$VF:$VF,MATCH(C436,[1]系统模型!$A:$A,0))*MAX(POWER(C436/180,4),0.5))</f>
        <v>30242</v>
      </c>
      <c r="S436" s="5">
        <v>1000</v>
      </c>
      <c r="T436" s="25">
        <v>0</v>
      </c>
      <c r="U436" s="25">
        <v>0</v>
      </c>
      <c r="V436" s="25">
        <v>0</v>
      </c>
      <c r="W436" s="25">
        <v>0</v>
      </c>
      <c r="X436" s="25">
        <f t="shared" si="71"/>
        <v>1512</v>
      </c>
      <c r="Y436" s="12">
        <v>0</v>
      </c>
      <c r="Z436" s="25">
        <v>100</v>
      </c>
      <c r="AA436" s="25">
        <v>150</v>
      </c>
      <c r="AB436" s="25">
        <v>0</v>
      </c>
      <c r="AC436" s="25">
        <v>0</v>
      </c>
      <c r="AD436" s="25">
        <v>0</v>
      </c>
      <c r="AE436" s="25">
        <f t="shared" si="72"/>
        <v>370</v>
      </c>
      <c r="AF436" s="25">
        <f t="shared" si="73"/>
        <v>370</v>
      </c>
      <c r="AG436" s="25">
        <v>0</v>
      </c>
      <c r="AH436" s="25">
        <f t="shared" si="74"/>
        <v>5125</v>
      </c>
      <c r="AI436" s="25">
        <f t="shared" si="75"/>
        <v>52</v>
      </c>
      <c r="AJ436" s="25">
        <v>1</v>
      </c>
      <c r="AK436" s="25">
        <v>1000</v>
      </c>
      <c r="AL436" s="25">
        <v>100</v>
      </c>
      <c r="AM436" s="26">
        <v>10</v>
      </c>
      <c r="AN436" s="26">
        <v>10</v>
      </c>
      <c r="AO436" s="22" t="s">
        <v>2211</v>
      </c>
      <c r="AP436" s="26">
        <v>0</v>
      </c>
      <c r="AQ436" s="26">
        <f t="shared" si="76"/>
        <v>560</v>
      </c>
      <c r="AR436" s="18" t="str">
        <f ca="1">CONCATENATE(OFFSET(Sheet1!$A$2,RANDBETWEEN(2,500),0,1,1),OFFSET(Sheet1!$A$2,RANDBETWEEN(2,500),RANDBETWEEN(1,5),1,1))</f>
        <v>邓巴</v>
      </c>
      <c r="AS436">
        <f>SUMPRODUCT(P436:AI436,Sheet2!$B$3:$U$3)</f>
        <v>192192</v>
      </c>
    </row>
    <row r="437" spans="1:45" x14ac:dyDescent="0.15">
      <c r="A437" s="18">
        <v>436</v>
      </c>
      <c r="B437" s="18" t="s">
        <v>1273</v>
      </c>
      <c r="C437" s="18">
        <f t="shared" si="66"/>
        <v>185</v>
      </c>
      <c r="D437" s="19">
        <f t="shared" si="67"/>
        <v>2</v>
      </c>
      <c r="E437" s="19">
        <f>VLOOKUP(MOD(A437,4),各职业基础配置!C$32:D$35,2,FALSE)</f>
        <v>1</v>
      </c>
      <c r="F437" s="19">
        <f>IF(A437&lt;900,INDEX(各职业基础配置!C$23:C$28,MOD(ROW(A437),4)+1),0)</f>
        <v>13</v>
      </c>
      <c r="G437" s="19">
        <f t="shared" si="68"/>
        <v>41</v>
      </c>
      <c r="H437" s="27">
        <f t="shared" si="69"/>
        <v>2</v>
      </c>
      <c r="I437" s="6" t="s">
        <v>164</v>
      </c>
      <c r="J437" s="23" t="str">
        <f>VLOOKUP(E437,各职业基础配置!$B$9:$C$12,2,FALSE)</f>
        <v>101|102|103|4201|105</v>
      </c>
      <c r="K437" s="18" t="str">
        <f>VLOOKUP(E437,各职业基础配置!$B$15:$C$18,2,FALSE)</f>
        <v>24|25|26|27</v>
      </c>
      <c r="L437" s="18" t="str">
        <f>VLOOKUP(E437,各职业基础配置!B:C,2,FALSE)</f>
        <v>[{24,1,1},{25,1,1},{26,1,1},{27,1,1},{1,1,1},{2,1,1},{3,1,1}]</v>
      </c>
      <c r="M437" s="18">
        <v>0</v>
      </c>
      <c r="N437" s="18">
        <f t="shared" si="70"/>
        <v>3</v>
      </c>
      <c r="O437" s="18">
        <f>SUMPRODUCT(P437:AI437,Sheet2!$B$3:$U$3)</f>
        <v>192167</v>
      </c>
      <c r="P437" s="18">
        <f>CEILING(INDEX([1]系统模型!$VD:$VD,MATCH(C437,[1]系统模型!$A:$A,0))*POWER(C437/220,3.8)-50+(1000-A437),1)</f>
        <v>3917</v>
      </c>
      <c r="Q437" s="18">
        <f>CEILING(INDEX([1]系统模型!$VE:$VE,MATCH(C437,[1]系统模型!$A:$A,0))*POWER(C437/220,4),1)</f>
        <v>493</v>
      </c>
      <c r="R437" s="18">
        <f>INT(INDEX([1]系统模型!$VF:$VF,MATCH(C437,[1]系统模型!$A:$A,0))*MAX(POWER(C437/180,4),0.5))</f>
        <v>30242</v>
      </c>
      <c r="S437" s="5">
        <v>1000</v>
      </c>
      <c r="T437" s="25">
        <v>0</v>
      </c>
      <c r="U437" s="25">
        <v>0</v>
      </c>
      <c r="V437" s="25">
        <v>0</v>
      </c>
      <c r="W437" s="25">
        <v>0</v>
      </c>
      <c r="X437" s="25">
        <f t="shared" si="71"/>
        <v>1512</v>
      </c>
      <c r="Y437" s="12">
        <v>0</v>
      </c>
      <c r="Z437" s="25">
        <v>100</v>
      </c>
      <c r="AA437" s="25">
        <v>150</v>
      </c>
      <c r="AB437" s="25">
        <v>0</v>
      </c>
      <c r="AC437" s="25">
        <v>0</v>
      </c>
      <c r="AD437" s="25">
        <v>0</v>
      </c>
      <c r="AE437" s="25">
        <f t="shared" si="72"/>
        <v>370</v>
      </c>
      <c r="AF437" s="25">
        <f t="shared" si="73"/>
        <v>370</v>
      </c>
      <c r="AG437" s="25">
        <v>0</v>
      </c>
      <c r="AH437" s="25">
        <f t="shared" si="74"/>
        <v>5125</v>
      </c>
      <c r="AI437" s="25">
        <f t="shared" si="75"/>
        <v>52</v>
      </c>
      <c r="AJ437" s="25">
        <v>1</v>
      </c>
      <c r="AK437" s="25">
        <v>1000</v>
      </c>
      <c r="AL437" s="25">
        <v>100</v>
      </c>
      <c r="AM437" s="26">
        <v>10</v>
      </c>
      <c r="AN437" s="26">
        <v>10</v>
      </c>
      <c r="AO437" s="22" t="s">
        <v>2211</v>
      </c>
      <c r="AP437" s="26">
        <v>0</v>
      </c>
      <c r="AQ437" s="26">
        <f t="shared" si="76"/>
        <v>560</v>
      </c>
      <c r="AR437" s="18" t="str">
        <f ca="1">CONCATENATE(OFFSET(Sheet1!$A$2,RANDBETWEEN(2,500),0,1,1),OFFSET(Sheet1!$A$2,RANDBETWEEN(2,500),RANDBETWEEN(1,5),1,1))</f>
        <v>柯姆卡罗琳</v>
      </c>
      <c r="AS437">
        <f>SUMPRODUCT(P437:AI437,Sheet2!$B$3:$U$3)</f>
        <v>192167</v>
      </c>
    </row>
    <row r="438" spans="1:45" x14ac:dyDescent="0.15">
      <c r="A438" s="18">
        <v>437</v>
      </c>
      <c r="B438" s="18" t="s">
        <v>1999</v>
      </c>
      <c r="C438" s="18">
        <f t="shared" si="66"/>
        <v>185</v>
      </c>
      <c r="D438" s="19">
        <f t="shared" si="67"/>
        <v>3</v>
      </c>
      <c r="E438" s="19">
        <f>VLOOKUP(MOD(A438,4),各职业基础配置!C$32:D$35,2,FALSE)</f>
        <v>3</v>
      </c>
      <c r="F438" s="19">
        <f>IF(A438&lt;900,INDEX(各职业基础配置!C$23:C$28,MOD(ROW(A438),4)+1),0)</f>
        <v>14</v>
      </c>
      <c r="G438" s="19">
        <f t="shared" si="68"/>
        <v>41</v>
      </c>
      <c r="H438" s="27">
        <f t="shared" si="69"/>
        <v>2</v>
      </c>
      <c r="I438" s="6" t="s">
        <v>164</v>
      </c>
      <c r="J438" s="23" t="str">
        <f>VLOOKUP(E438,各职业基础配置!$B$9:$C$12,2,FALSE)</f>
        <v>106|107|108|4201|110</v>
      </c>
      <c r="K438" s="18" t="str">
        <f>VLOOKUP(E438,各职业基础配置!$B$15:$C$18,2,FALSE)</f>
        <v>20|21|22|23</v>
      </c>
      <c r="L438" s="18" t="str">
        <f>VLOOKUP(E438,各职业基础配置!B:C,2,FALSE)</f>
        <v>[{20,1,1},{21,1,1},{22,1,1},{23,1,1},{4,1,1},{5,1,1},{6,1,1}]</v>
      </c>
      <c r="M438" s="18">
        <v>0</v>
      </c>
      <c r="N438" s="18">
        <f t="shared" si="70"/>
        <v>7</v>
      </c>
      <c r="O438" s="18">
        <f>SUMPRODUCT(P438:AI438,Sheet2!$B$3:$U$3)</f>
        <v>192142</v>
      </c>
      <c r="P438" s="18">
        <f>CEILING(INDEX([1]系统模型!$VD:$VD,MATCH(C438,[1]系统模型!$A:$A,0))*POWER(C438/220,3.8)-50+(1000-A438),1)</f>
        <v>3916</v>
      </c>
      <c r="Q438" s="18">
        <f>CEILING(INDEX([1]系统模型!$VE:$VE,MATCH(C438,[1]系统模型!$A:$A,0))*POWER(C438/220,4),1)</f>
        <v>493</v>
      </c>
      <c r="R438" s="18">
        <f>INT(INDEX([1]系统模型!$VF:$VF,MATCH(C438,[1]系统模型!$A:$A,0))*MAX(POWER(C438/180,4),0.5))</f>
        <v>30242</v>
      </c>
      <c r="S438" s="5">
        <v>1000</v>
      </c>
      <c r="T438" s="25">
        <v>0</v>
      </c>
      <c r="U438" s="25">
        <v>0</v>
      </c>
      <c r="V438" s="25">
        <v>0</v>
      </c>
      <c r="W438" s="25">
        <v>0</v>
      </c>
      <c r="X438" s="25">
        <f t="shared" si="71"/>
        <v>1512</v>
      </c>
      <c r="Y438" s="12">
        <v>0</v>
      </c>
      <c r="Z438" s="25">
        <v>100</v>
      </c>
      <c r="AA438" s="25">
        <v>150</v>
      </c>
      <c r="AB438" s="25">
        <v>0</v>
      </c>
      <c r="AC438" s="25">
        <v>0</v>
      </c>
      <c r="AD438" s="25">
        <v>0</v>
      </c>
      <c r="AE438" s="25">
        <f t="shared" si="72"/>
        <v>370</v>
      </c>
      <c r="AF438" s="25">
        <f t="shared" si="73"/>
        <v>370</v>
      </c>
      <c r="AG438" s="25">
        <v>0</v>
      </c>
      <c r="AH438" s="25">
        <f t="shared" si="74"/>
        <v>5125</v>
      </c>
      <c r="AI438" s="25">
        <f t="shared" si="75"/>
        <v>52</v>
      </c>
      <c r="AJ438" s="25">
        <v>1</v>
      </c>
      <c r="AK438" s="25">
        <v>1000</v>
      </c>
      <c r="AL438" s="25">
        <v>100</v>
      </c>
      <c r="AM438" s="26">
        <v>10</v>
      </c>
      <c r="AN438" s="26">
        <v>10</v>
      </c>
      <c r="AO438" s="22" t="s">
        <v>2211</v>
      </c>
      <c r="AP438" s="26">
        <v>0</v>
      </c>
      <c r="AQ438" s="26">
        <f t="shared" si="76"/>
        <v>560</v>
      </c>
      <c r="AR438" s="18" t="str">
        <f ca="1">CONCATENATE(OFFSET(Sheet1!$A$2,RANDBETWEEN(2,500),0,1,1),OFFSET(Sheet1!$A$2,RANDBETWEEN(2,500),RANDBETWEEN(1,5),1,1))</f>
        <v>邓巴爱玛</v>
      </c>
      <c r="AS438">
        <f>SUMPRODUCT(P438:AI438,Sheet2!$B$3:$U$3)</f>
        <v>192142</v>
      </c>
    </row>
    <row r="439" spans="1:45" x14ac:dyDescent="0.15">
      <c r="A439" s="23">
        <v>438</v>
      </c>
      <c r="B439" s="18" t="s">
        <v>1143</v>
      </c>
      <c r="C439" s="18">
        <f t="shared" si="66"/>
        <v>185</v>
      </c>
      <c r="D439" s="19">
        <f t="shared" si="67"/>
        <v>2</v>
      </c>
      <c r="E439" s="19">
        <f>VLOOKUP(MOD(A439,4),各职业基础配置!C$32:D$35,2,FALSE)</f>
        <v>6</v>
      </c>
      <c r="F439" s="19">
        <f>IF(A439&lt;900,INDEX(各职业基础配置!C$23:C$28,MOD(ROW(A439),4)+1),0)</f>
        <v>16</v>
      </c>
      <c r="G439" s="19">
        <f t="shared" si="68"/>
        <v>41</v>
      </c>
      <c r="H439" s="27">
        <f t="shared" si="69"/>
        <v>2</v>
      </c>
      <c r="I439" s="6" t="s">
        <v>164</v>
      </c>
      <c r="J439" s="23" t="str">
        <f>VLOOKUP(E439,各职业基础配置!$B$9:$C$12,2,FALSE)</f>
        <v>111|112|113|4201|115</v>
      </c>
      <c r="K439" s="18" t="str">
        <f>VLOOKUP(E439,各职业基础配置!$B$15:$C$18,2,FALSE)</f>
        <v>32|33|34</v>
      </c>
      <c r="L439" s="18" t="str">
        <f>VLOOKUP(E439,各职业基础配置!B:C,2,FALSE)</f>
        <v>[{32,1,1},{33,1,1},{34,1,1},{35,1,1},{7,1,1},{8,1,1},{9,1,1}]</v>
      </c>
      <c r="M439" s="18">
        <v>0</v>
      </c>
      <c r="N439" s="18">
        <f t="shared" si="70"/>
        <v>7</v>
      </c>
      <c r="O439" s="18">
        <f>SUMPRODUCT(P439:AI439,Sheet2!$B$3:$U$3)</f>
        <v>192117</v>
      </c>
      <c r="P439" s="18">
        <f>CEILING(INDEX([1]系统模型!$VD:$VD,MATCH(C439,[1]系统模型!$A:$A,0))*POWER(C439/220,3.8)-50+(1000-A439),1)</f>
        <v>3915</v>
      </c>
      <c r="Q439" s="18">
        <f>CEILING(INDEX([1]系统模型!$VE:$VE,MATCH(C439,[1]系统模型!$A:$A,0))*POWER(C439/220,4),1)</f>
        <v>493</v>
      </c>
      <c r="R439" s="18">
        <f>INT(INDEX([1]系统模型!$VF:$VF,MATCH(C439,[1]系统模型!$A:$A,0))*MAX(POWER(C439/180,4),0.5))</f>
        <v>30242</v>
      </c>
      <c r="S439" s="5">
        <v>1000</v>
      </c>
      <c r="T439" s="25">
        <v>0</v>
      </c>
      <c r="U439" s="25">
        <v>0</v>
      </c>
      <c r="V439" s="25">
        <v>0</v>
      </c>
      <c r="W439" s="25">
        <v>0</v>
      </c>
      <c r="X439" s="25">
        <f t="shared" si="71"/>
        <v>1512</v>
      </c>
      <c r="Y439" s="12">
        <v>0</v>
      </c>
      <c r="Z439" s="25">
        <v>100</v>
      </c>
      <c r="AA439" s="25">
        <v>150</v>
      </c>
      <c r="AB439" s="25">
        <v>0</v>
      </c>
      <c r="AC439" s="25">
        <v>0</v>
      </c>
      <c r="AD439" s="25">
        <v>0</v>
      </c>
      <c r="AE439" s="25">
        <f t="shared" si="72"/>
        <v>370</v>
      </c>
      <c r="AF439" s="25">
        <f t="shared" si="73"/>
        <v>370</v>
      </c>
      <c r="AG439" s="25">
        <v>0</v>
      </c>
      <c r="AH439" s="25">
        <f t="shared" si="74"/>
        <v>5125</v>
      </c>
      <c r="AI439" s="25">
        <f t="shared" si="75"/>
        <v>52</v>
      </c>
      <c r="AJ439" s="25">
        <v>1</v>
      </c>
      <c r="AK439" s="25">
        <v>1000</v>
      </c>
      <c r="AL439" s="25">
        <v>100</v>
      </c>
      <c r="AM439" s="26">
        <v>10</v>
      </c>
      <c r="AN439" s="26">
        <v>10</v>
      </c>
      <c r="AO439" s="22" t="s">
        <v>2211</v>
      </c>
      <c r="AP439" s="26">
        <v>0</v>
      </c>
      <c r="AQ439" s="26">
        <f t="shared" si="76"/>
        <v>560</v>
      </c>
      <c r="AR439" s="18" t="str">
        <f ca="1">CONCATENATE(OFFSET(Sheet1!$A$2,RANDBETWEEN(2,500),0,1,1),OFFSET(Sheet1!$A$2,RANDBETWEEN(2,500),RANDBETWEEN(1,5),1,1))</f>
        <v>福克纳</v>
      </c>
      <c r="AS439">
        <f>SUMPRODUCT(P439:AI439,Sheet2!$B$3:$U$3)</f>
        <v>192117</v>
      </c>
    </row>
    <row r="440" spans="1:45" x14ac:dyDescent="0.15">
      <c r="A440" s="18">
        <v>439</v>
      </c>
      <c r="B440" s="18" t="s">
        <v>517</v>
      </c>
      <c r="C440" s="18">
        <f t="shared" si="66"/>
        <v>185</v>
      </c>
      <c r="D440" s="19">
        <f t="shared" si="67"/>
        <v>3</v>
      </c>
      <c r="E440" s="19">
        <f>VLOOKUP(MOD(A440,4),各职业基础配置!C$32:D$35,2,FALSE)</f>
        <v>9</v>
      </c>
      <c r="F440" s="19">
        <f>IF(A440&lt;900,INDEX(各职业基础配置!C$23:C$28,MOD(ROW(A440),4)+1),0)</f>
        <v>8</v>
      </c>
      <c r="G440" s="19">
        <f t="shared" si="68"/>
        <v>41</v>
      </c>
      <c r="H440" s="27">
        <f t="shared" si="69"/>
        <v>2</v>
      </c>
      <c r="I440" s="6" t="s">
        <v>164</v>
      </c>
      <c r="J440" s="23" t="str">
        <f>VLOOKUP(E440,各职业基础配置!$B$9:$C$12,2,FALSE)</f>
        <v>116|117|118|4201|120</v>
      </c>
      <c r="K440" s="18" t="str">
        <f>VLOOKUP(E440,各职业基础配置!$B$15:$C$18,2,FALSE)</f>
        <v>28|29|30|31</v>
      </c>
      <c r="L440" s="18" t="str">
        <f>VLOOKUP(E440,各职业基础配置!B:C,2,FALSE)</f>
        <v>[{28,1,1},{29,1,1},{30,1,1},{31,1,1},{10,1,1},{11,1,1},{12,1,1}]</v>
      </c>
      <c r="M440" s="18">
        <v>0</v>
      </c>
      <c r="N440" s="18">
        <f t="shared" si="70"/>
        <v>3</v>
      </c>
      <c r="O440" s="18">
        <f>SUMPRODUCT(P440:AI440,Sheet2!$B$3:$U$3)</f>
        <v>192092</v>
      </c>
      <c r="P440" s="18">
        <f>CEILING(INDEX([1]系统模型!$VD:$VD,MATCH(C440,[1]系统模型!$A:$A,0))*POWER(C440/220,3.8)-50+(1000-A440),1)</f>
        <v>3914</v>
      </c>
      <c r="Q440" s="18">
        <f>CEILING(INDEX([1]系统模型!$VE:$VE,MATCH(C440,[1]系统模型!$A:$A,0))*POWER(C440/220,4),1)</f>
        <v>493</v>
      </c>
      <c r="R440" s="18">
        <f>INT(INDEX([1]系统模型!$VF:$VF,MATCH(C440,[1]系统模型!$A:$A,0))*MAX(POWER(C440/180,4),0.5))</f>
        <v>30242</v>
      </c>
      <c r="S440" s="5">
        <v>1000</v>
      </c>
      <c r="T440" s="25">
        <v>0</v>
      </c>
      <c r="U440" s="25">
        <v>0</v>
      </c>
      <c r="V440" s="25">
        <v>0</v>
      </c>
      <c r="W440" s="25">
        <v>0</v>
      </c>
      <c r="X440" s="25">
        <f t="shared" si="71"/>
        <v>1512</v>
      </c>
      <c r="Y440" s="12">
        <v>0</v>
      </c>
      <c r="Z440" s="25">
        <v>100</v>
      </c>
      <c r="AA440" s="25">
        <v>150</v>
      </c>
      <c r="AB440" s="25">
        <v>0</v>
      </c>
      <c r="AC440" s="25">
        <v>0</v>
      </c>
      <c r="AD440" s="25">
        <v>0</v>
      </c>
      <c r="AE440" s="25">
        <f t="shared" si="72"/>
        <v>370</v>
      </c>
      <c r="AF440" s="25">
        <f t="shared" si="73"/>
        <v>370</v>
      </c>
      <c r="AG440" s="25">
        <v>0</v>
      </c>
      <c r="AH440" s="25">
        <f t="shared" si="74"/>
        <v>5125</v>
      </c>
      <c r="AI440" s="25">
        <f t="shared" si="75"/>
        <v>52</v>
      </c>
      <c r="AJ440" s="25">
        <v>1</v>
      </c>
      <c r="AK440" s="25">
        <v>1000</v>
      </c>
      <c r="AL440" s="25">
        <v>100</v>
      </c>
      <c r="AM440" s="26">
        <v>10</v>
      </c>
      <c r="AN440" s="26">
        <v>10</v>
      </c>
      <c r="AO440" s="22" t="s">
        <v>2211</v>
      </c>
      <c r="AP440" s="26">
        <v>0</v>
      </c>
      <c r="AQ440" s="26">
        <f t="shared" si="76"/>
        <v>560</v>
      </c>
      <c r="AR440" s="18" t="str">
        <f ca="1">CONCATENATE(OFFSET(Sheet1!$A$2,RANDBETWEEN(2,500),0,1,1),OFFSET(Sheet1!$A$2,RANDBETWEEN(2,500),RANDBETWEEN(1,5),1,1))</f>
        <v>琼斯</v>
      </c>
      <c r="AS440">
        <f>SUMPRODUCT(P440:AI440,Sheet2!$B$3:$U$3)</f>
        <v>192092</v>
      </c>
    </row>
    <row r="441" spans="1:45" x14ac:dyDescent="0.15">
      <c r="A441" s="18">
        <v>440</v>
      </c>
      <c r="B441" s="18" t="s">
        <v>2000</v>
      </c>
      <c r="C441" s="18">
        <f t="shared" si="66"/>
        <v>184</v>
      </c>
      <c r="D441" s="19">
        <f t="shared" si="67"/>
        <v>2</v>
      </c>
      <c r="E441" s="19">
        <f>VLOOKUP(MOD(A441,4),各职业基础配置!C$32:D$35,2,FALSE)</f>
        <v>1</v>
      </c>
      <c r="F441" s="19">
        <f>IF(A441&lt;900,INDEX(各职业基础配置!C$23:C$28,MOD(ROW(A441),4)+1),0)</f>
        <v>13</v>
      </c>
      <c r="G441" s="19">
        <f t="shared" si="68"/>
        <v>39</v>
      </c>
      <c r="H441" s="27">
        <f t="shared" si="69"/>
        <v>2</v>
      </c>
      <c r="I441" s="6" t="s">
        <v>164</v>
      </c>
      <c r="J441" s="23" t="str">
        <f>VLOOKUP(E441,各职业基础配置!$B$9:$C$12,2,FALSE)</f>
        <v>101|102|103|4201|105</v>
      </c>
      <c r="K441" s="18" t="str">
        <f>VLOOKUP(E441,各职业基础配置!$B$15:$C$18,2,FALSE)</f>
        <v>24|25|26|27</v>
      </c>
      <c r="L441" s="18" t="str">
        <f>VLOOKUP(E441,各职业基础配置!B:C,2,FALSE)</f>
        <v>[{24,1,1},{25,1,1},{26,1,1},{27,1,1},{1,1,1},{2,1,1},{3,1,1}]</v>
      </c>
      <c r="M441" s="18">
        <v>0</v>
      </c>
      <c r="N441" s="18">
        <f t="shared" si="70"/>
        <v>3</v>
      </c>
      <c r="O441" s="18">
        <f>SUMPRODUCT(P441:AI441,Sheet2!$B$3:$U$3)</f>
        <v>188250</v>
      </c>
      <c r="P441" s="18">
        <f>CEILING(INDEX([1]系统模型!$VD:$VD,MATCH(C441,[1]系统模型!$A:$A,0))*POWER(C441/220,3.8)-50+(1000-A441),1)</f>
        <v>3831</v>
      </c>
      <c r="Q441" s="18">
        <f>CEILING(INDEX([1]系统模型!$VE:$VE,MATCH(C441,[1]系统模型!$A:$A,0))*POWER(C441/220,4),1)</f>
        <v>477</v>
      </c>
      <c r="R441" s="18">
        <f>INT(INDEX([1]系统模型!$VF:$VF,MATCH(C441,[1]系统模型!$A:$A,0))*MAX(POWER(C441/180,4),0.5))</f>
        <v>29375</v>
      </c>
      <c r="S441" s="5">
        <v>1000</v>
      </c>
      <c r="T441" s="25">
        <v>0</v>
      </c>
      <c r="U441" s="25">
        <v>0</v>
      </c>
      <c r="V441" s="25">
        <v>0</v>
      </c>
      <c r="W441" s="25">
        <v>0</v>
      </c>
      <c r="X441" s="25">
        <f t="shared" si="71"/>
        <v>1468</v>
      </c>
      <c r="Y441" s="12">
        <v>0</v>
      </c>
      <c r="Z441" s="25">
        <v>100</v>
      </c>
      <c r="AA441" s="25">
        <v>150</v>
      </c>
      <c r="AB441" s="25">
        <v>0</v>
      </c>
      <c r="AC441" s="25">
        <v>0</v>
      </c>
      <c r="AD441" s="25">
        <v>0</v>
      </c>
      <c r="AE441" s="25">
        <f t="shared" si="72"/>
        <v>368</v>
      </c>
      <c r="AF441" s="25">
        <f t="shared" si="73"/>
        <v>368</v>
      </c>
      <c r="AG441" s="25">
        <v>0</v>
      </c>
      <c r="AH441" s="25">
        <f t="shared" si="74"/>
        <v>5050</v>
      </c>
      <c r="AI441" s="25">
        <f t="shared" si="75"/>
        <v>51</v>
      </c>
      <c r="AJ441" s="25">
        <v>1</v>
      </c>
      <c r="AK441" s="25">
        <v>1000</v>
      </c>
      <c r="AL441" s="25">
        <v>100</v>
      </c>
      <c r="AM441" s="26">
        <v>10</v>
      </c>
      <c r="AN441" s="26">
        <v>10</v>
      </c>
      <c r="AO441" s="22" t="s">
        <v>2211</v>
      </c>
      <c r="AP441" s="26">
        <v>0</v>
      </c>
      <c r="AQ441" s="26">
        <f t="shared" si="76"/>
        <v>560</v>
      </c>
      <c r="AR441" s="18" t="str">
        <f ca="1">CONCATENATE(OFFSET(Sheet1!$A$2,RANDBETWEEN(2,500),0,1,1),OFFSET(Sheet1!$A$2,RANDBETWEEN(2,500),RANDBETWEEN(1,5),1,1))</f>
        <v>伯特伦</v>
      </c>
      <c r="AS441">
        <f>SUMPRODUCT(P441:AI441,Sheet2!$B$3:$U$3)</f>
        <v>188250</v>
      </c>
    </row>
    <row r="442" spans="1:45" x14ac:dyDescent="0.15">
      <c r="A442" s="23">
        <v>441</v>
      </c>
      <c r="B442" s="18" t="s">
        <v>1319</v>
      </c>
      <c r="C442" s="18">
        <f t="shared" si="66"/>
        <v>184</v>
      </c>
      <c r="D442" s="19">
        <f t="shared" si="67"/>
        <v>3</v>
      </c>
      <c r="E442" s="19">
        <f>VLOOKUP(MOD(A442,4),各职业基础配置!C$32:D$35,2,FALSE)</f>
        <v>3</v>
      </c>
      <c r="F442" s="19">
        <f>IF(A442&lt;900,INDEX(各职业基础配置!C$23:C$28,MOD(ROW(A442),4)+1),0)</f>
        <v>14</v>
      </c>
      <c r="G442" s="19">
        <f t="shared" si="68"/>
        <v>39</v>
      </c>
      <c r="H442" s="27">
        <f t="shared" si="69"/>
        <v>2</v>
      </c>
      <c r="I442" s="6" t="s">
        <v>164</v>
      </c>
      <c r="J442" s="23" t="str">
        <f>VLOOKUP(E442,各职业基础配置!$B$9:$C$12,2,FALSE)</f>
        <v>106|107|108|4201|110</v>
      </c>
      <c r="K442" s="18" t="str">
        <f>VLOOKUP(E442,各职业基础配置!$B$15:$C$18,2,FALSE)</f>
        <v>20|21|22|23</v>
      </c>
      <c r="L442" s="18" t="str">
        <f>VLOOKUP(E442,各职业基础配置!B:C,2,FALSE)</f>
        <v>[{20,1,1},{21,1,1},{22,1,1},{23,1,1},{4,1,1},{5,1,1},{6,1,1}]</v>
      </c>
      <c r="M442" s="18">
        <v>0</v>
      </c>
      <c r="N442" s="18">
        <f t="shared" si="70"/>
        <v>7</v>
      </c>
      <c r="O442" s="18">
        <f>SUMPRODUCT(P442:AI442,Sheet2!$B$3:$U$3)</f>
        <v>188225</v>
      </c>
      <c r="P442" s="18">
        <f>CEILING(INDEX([1]系统模型!$VD:$VD,MATCH(C442,[1]系统模型!$A:$A,0))*POWER(C442/220,3.8)-50+(1000-A442),1)</f>
        <v>3830</v>
      </c>
      <c r="Q442" s="18">
        <f>CEILING(INDEX([1]系统模型!$VE:$VE,MATCH(C442,[1]系统模型!$A:$A,0))*POWER(C442/220,4),1)</f>
        <v>477</v>
      </c>
      <c r="R442" s="18">
        <f>INT(INDEX([1]系统模型!$VF:$VF,MATCH(C442,[1]系统模型!$A:$A,0))*MAX(POWER(C442/180,4),0.5))</f>
        <v>29375</v>
      </c>
      <c r="S442" s="5">
        <v>1000</v>
      </c>
      <c r="T442" s="25">
        <v>0</v>
      </c>
      <c r="U442" s="25">
        <v>0</v>
      </c>
      <c r="V442" s="25">
        <v>0</v>
      </c>
      <c r="W442" s="25">
        <v>0</v>
      </c>
      <c r="X442" s="25">
        <f t="shared" si="71"/>
        <v>1468</v>
      </c>
      <c r="Y442" s="12">
        <v>0</v>
      </c>
      <c r="Z442" s="25">
        <v>100</v>
      </c>
      <c r="AA442" s="25">
        <v>150</v>
      </c>
      <c r="AB442" s="25">
        <v>0</v>
      </c>
      <c r="AC442" s="25">
        <v>0</v>
      </c>
      <c r="AD442" s="25">
        <v>0</v>
      </c>
      <c r="AE442" s="25">
        <f t="shared" si="72"/>
        <v>368</v>
      </c>
      <c r="AF442" s="25">
        <f t="shared" si="73"/>
        <v>368</v>
      </c>
      <c r="AG442" s="25">
        <v>0</v>
      </c>
      <c r="AH442" s="25">
        <f t="shared" si="74"/>
        <v>5050</v>
      </c>
      <c r="AI442" s="25">
        <f t="shared" si="75"/>
        <v>51</v>
      </c>
      <c r="AJ442" s="25">
        <v>1</v>
      </c>
      <c r="AK442" s="25">
        <v>1000</v>
      </c>
      <c r="AL442" s="25">
        <v>100</v>
      </c>
      <c r="AM442" s="26">
        <v>10</v>
      </c>
      <c r="AN442" s="26">
        <v>10</v>
      </c>
      <c r="AO442" s="22" t="s">
        <v>2211</v>
      </c>
      <c r="AP442" s="26">
        <v>0</v>
      </c>
      <c r="AQ442" s="26">
        <f t="shared" si="76"/>
        <v>560</v>
      </c>
      <c r="AR442" s="18" t="str">
        <f ca="1">CONCATENATE(OFFSET(Sheet1!$A$2,RANDBETWEEN(2,500),0,1,1),OFFSET(Sheet1!$A$2,RANDBETWEEN(2,500),RANDBETWEEN(1,5),1,1))</f>
        <v>亚历克</v>
      </c>
      <c r="AS442">
        <f>SUMPRODUCT(P442:AI442,Sheet2!$B$3:$U$3)</f>
        <v>188225</v>
      </c>
    </row>
    <row r="443" spans="1:45" x14ac:dyDescent="0.15">
      <c r="A443" s="18">
        <v>442</v>
      </c>
      <c r="B443" s="18" t="s">
        <v>1110</v>
      </c>
      <c r="C443" s="18">
        <f t="shared" si="66"/>
        <v>184</v>
      </c>
      <c r="D443" s="19">
        <f t="shared" si="67"/>
        <v>2</v>
      </c>
      <c r="E443" s="19">
        <f>VLOOKUP(MOD(A443,4),各职业基础配置!C$32:D$35,2,FALSE)</f>
        <v>6</v>
      </c>
      <c r="F443" s="19">
        <f>IF(A443&lt;900,INDEX(各职业基础配置!C$23:C$28,MOD(ROW(A443),4)+1),0)</f>
        <v>16</v>
      </c>
      <c r="G443" s="19">
        <f t="shared" si="68"/>
        <v>39</v>
      </c>
      <c r="H443" s="27">
        <f t="shared" si="69"/>
        <v>2</v>
      </c>
      <c r="I443" s="6" t="s">
        <v>164</v>
      </c>
      <c r="J443" s="23" t="str">
        <f>VLOOKUP(E443,各职业基础配置!$B$9:$C$12,2,FALSE)</f>
        <v>111|112|113|4201|115</v>
      </c>
      <c r="K443" s="18" t="str">
        <f>VLOOKUP(E443,各职业基础配置!$B$15:$C$18,2,FALSE)</f>
        <v>32|33|34</v>
      </c>
      <c r="L443" s="18" t="str">
        <f>VLOOKUP(E443,各职业基础配置!B:C,2,FALSE)</f>
        <v>[{32,1,1},{33,1,1},{34,1,1},{35,1,1},{7,1,1},{8,1,1},{9,1,1}]</v>
      </c>
      <c r="M443" s="18">
        <v>0</v>
      </c>
      <c r="N443" s="18">
        <f t="shared" si="70"/>
        <v>7</v>
      </c>
      <c r="O443" s="18">
        <f>SUMPRODUCT(P443:AI443,Sheet2!$B$3:$U$3)</f>
        <v>188200</v>
      </c>
      <c r="P443" s="18">
        <f>CEILING(INDEX([1]系统模型!$VD:$VD,MATCH(C443,[1]系统模型!$A:$A,0))*POWER(C443/220,3.8)-50+(1000-A443),1)</f>
        <v>3829</v>
      </c>
      <c r="Q443" s="18">
        <f>CEILING(INDEX([1]系统模型!$VE:$VE,MATCH(C443,[1]系统模型!$A:$A,0))*POWER(C443/220,4),1)</f>
        <v>477</v>
      </c>
      <c r="R443" s="18">
        <f>INT(INDEX([1]系统模型!$VF:$VF,MATCH(C443,[1]系统模型!$A:$A,0))*MAX(POWER(C443/180,4),0.5))</f>
        <v>29375</v>
      </c>
      <c r="S443" s="5">
        <v>1000</v>
      </c>
      <c r="T443" s="25">
        <v>0</v>
      </c>
      <c r="U443" s="25">
        <v>0</v>
      </c>
      <c r="V443" s="25">
        <v>0</v>
      </c>
      <c r="W443" s="25">
        <v>0</v>
      </c>
      <c r="X443" s="25">
        <f t="shared" si="71"/>
        <v>1468</v>
      </c>
      <c r="Y443" s="12">
        <v>0</v>
      </c>
      <c r="Z443" s="25">
        <v>100</v>
      </c>
      <c r="AA443" s="25">
        <v>150</v>
      </c>
      <c r="AB443" s="25">
        <v>0</v>
      </c>
      <c r="AC443" s="25">
        <v>0</v>
      </c>
      <c r="AD443" s="25">
        <v>0</v>
      </c>
      <c r="AE443" s="25">
        <f t="shared" si="72"/>
        <v>368</v>
      </c>
      <c r="AF443" s="25">
        <f t="shared" si="73"/>
        <v>368</v>
      </c>
      <c r="AG443" s="25">
        <v>0</v>
      </c>
      <c r="AH443" s="25">
        <f t="shared" si="74"/>
        <v>5050</v>
      </c>
      <c r="AI443" s="25">
        <f t="shared" si="75"/>
        <v>51</v>
      </c>
      <c r="AJ443" s="25">
        <v>1</v>
      </c>
      <c r="AK443" s="25">
        <v>1000</v>
      </c>
      <c r="AL443" s="25">
        <v>100</v>
      </c>
      <c r="AM443" s="26">
        <v>10</v>
      </c>
      <c r="AN443" s="26">
        <v>10</v>
      </c>
      <c r="AO443" s="22" t="s">
        <v>2211</v>
      </c>
      <c r="AP443" s="26">
        <v>0</v>
      </c>
      <c r="AQ443" s="26">
        <f t="shared" si="76"/>
        <v>550</v>
      </c>
      <c r="AR443" s="18" t="str">
        <f ca="1">CONCATENATE(OFFSET(Sheet1!$A$2,RANDBETWEEN(2,500),0,1,1),OFFSET(Sheet1!$A$2,RANDBETWEEN(2,500),RANDBETWEEN(1,5),1,1))</f>
        <v>加布尔雷思</v>
      </c>
      <c r="AS443">
        <f>SUMPRODUCT(P443:AI443,Sheet2!$B$3:$U$3)</f>
        <v>188200</v>
      </c>
    </row>
    <row r="444" spans="1:45" x14ac:dyDescent="0.15">
      <c r="A444" s="18">
        <v>443</v>
      </c>
      <c r="B444" s="18" t="s">
        <v>207</v>
      </c>
      <c r="C444" s="18">
        <f t="shared" si="66"/>
        <v>184</v>
      </c>
      <c r="D444" s="19">
        <f t="shared" si="67"/>
        <v>3</v>
      </c>
      <c r="E444" s="19">
        <f>VLOOKUP(MOD(A444,4),各职业基础配置!C$32:D$35,2,FALSE)</f>
        <v>9</v>
      </c>
      <c r="F444" s="19">
        <f>IF(A444&lt;900,INDEX(各职业基础配置!C$23:C$28,MOD(ROW(A444),4)+1),0)</f>
        <v>8</v>
      </c>
      <c r="G444" s="19">
        <f t="shared" si="68"/>
        <v>39</v>
      </c>
      <c r="H444" s="27">
        <f t="shared" si="69"/>
        <v>2</v>
      </c>
      <c r="I444" s="6" t="s">
        <v>164</v>
      </c>
      <c r="J444" s="23" t="str">
        <f>VLOOKUP(E444,各职业基础配置!$B$9:$C$12,2,FALSE)</f>
        <v>116|117|118|4201|120</v>
      </c>
      <c r="K444" s="18" t="str">
        <f>VLOOKUP(E444,各职业基础配置!$B$15:$C$18,2,FALSE)</f>
        <v>28|29|30|31</v>
      </c>
      <c r="L444" s="18" t="str">
        <f>VLOOKUP(E444,各职业基础配置!B:C,2,FALSE)</f>
        <v>[{28,1,1},{29,1,1},{30,1,1},{31,1,1},{10,1,1},{11,1,1},{12,1,1}]</v>
      </c>
      <c r="M444" s="18">
        <v>0</v>
      </c>
      <c r="N444" s="18">
        <f t="shared" si="70"/>
        <v>3</v>
      </c>
      <c r="O444" s="18">
        <f>SUMPRODUCT(P444:AI444,Sheet2!$B$3:$U$3)</f>
        <v>188175</v>
      </c>
      <c r="P444" s="18">
        <f>CEILING(INDEX([1]系统模型!$VD:$VD,MATCH(C444,[1]系统模型!$A:$A,0))*POWER(C444/220,3.8)-50+(1000-A444),1)</f>
        <v>3828</v>
      </c>
      <c r="Q444" s="18">
        <f>CEILING(INDEX([1]系统模型!$VE:$VE,MATCH(C444,[1]系统模型!$A:$A,0))*POWER(C444/220,4),1)</f>
        <v>477</v>
      </c>
      <c r="R444" s="18">
        <f>INT(INDEX([1]系统模型!$VF:$VF,MATCH(C444,[1]系统模型!$A:$A,0))*MAX(POWER(C444/180,4),0.5))</f>
        <v>29375</v>
      </c>
      <c r="S444" s="5">
        <v>1000</v>
      </c>
      <c r="T444" s="25">
        <v>0</v>
      </c>
      <c r="U444" s="25">
        <v>0</v>
      </c>
      <c r="V444" s="25">
        <v>0</v>
      </c>
      <c r="W444" s="25">
        <v>0</v>
      </c>
      <c r="X444" s="25">
        <f t="shared" si="71"/>
        <v>1468</v>
      </c>
      <c r="Y444" s="12">
        <v>0</v>
      </c>
      <c r="Z444" s="25">
        <v>100</v>
      </c>
      <c r="AA444" s="25">
        <v>150</v>
      </c>
      <c r="AB444" s="25">
        <v>0</v>
      </c>
      <c r="AC444" s="25">
        <v>0</v>
      </c>
      <c r="AD444" s="25">
        <v>0</v>
      </c>
      <c r="AE444" s="25">
        <f t="shared" si="72"/>
        <v>368</v>
      </c>
      <c r="AF444" s="25">
        <f t="shared" si="73"/>
        <v>368</v>
      </c>
      <c r="AG444" s="25">
        <v>0</v>
      </c>
      <c r="AH444" s="25">
        <f t="shared" si="74"/>
        <v>5050</v>
      </c>
      <c r="AI444" s="25">
        <f t="shared" si="75"/>
        <v>51</v>
      </c>
      <c r="AJ444" s="25">
        <v>1</v>
      </c>
      <c r="AK444" s="25">
        <v>1000</v>
      </c>
      <c r="AL444" s="25">
        <v>100</v>
      </c>
      <c r="AM444" s="26">
        <v>10</v>
      </c>
      <c r="AN444" s="26">
        <v>10</v>
      </c>
      <c r="AO444" s="22" t="s">
        <v>2211</v>
      </c>
      <c r="AP444" s="26">
        <v>0</v>
      </c>
      <c r="AQ444" s="26">
        <f t="shared" si="76"/>
        <v>550</v>
      </c>
      <c r="AR444" s="18" t="str">
        <f ca="1">CONCATENATE(OFFSET(Sheet1!$A$2,RANDBETWEEN(2,500),0,1,1),OFFSET(Sheet1!$A$2,RANDBETWEEN(2,500),RANDBETWEEN(1,5),1,1))</f>
        <v>伊迪丝</v>
      </c>
      <c r="AS444">
        <f>SUMPRODUCT(P444:AI444,Sheet2!$B$3:$U$3)</f>
        <v>188175</v>
      </c>
    </row>
    <row r="445" spans="1:45" x14ac:dyDescent="0.15">
      <c r="A445" s="23">
        <v>444</v>
      </c>
      <c r="B445" s="18" t="s">
        <v>1130</v>
      </c>
      <c r="C445" s="18">
        <f t="shared" si="66"/>
        <v>184</v>
      </c>
      <c r="D445" s="19">
        <f t="shared" si="67"/>
        <v>2</v>
      </c>
      <c r="E445" s="19">
        <f>VLOOKUP(MOD(A445,4),各职业基础配置!C$32:D$35,2,FALSE)</f>
        <v>1</v>
      </c>
      <c r="F445" s="19">
        <f>IF(A445&lt;900,INDEX(各职业基础配置!C$23:C$28,MOD(ROW(A445),4)+1),0)</f>
        <v>13</v>
      </c>
      <c r="G445" s="19">
        <f t="shared" si="68"/>
        <v>39</v>
      </c>
      <c r="H445" s="27">
        <f t="shared" si="69"/>
        <v>2</v>
      </c>
      <c r="I445" s="6" t="s">
        <v>164</v>
      </c>
      <c r="J445" s="23" t="str">
        <f>VLOOKUP(E445,各职业基础配置!$B$9:$C$12,2,FALSE)</f>
        <v>101|102|103|4201|105</v>
      </c>
      <c r="K445" s="18" t="str">
        <f>VLOOKUP(E445,各职业基础配置!$B$15:$C$18,2,FALSE)</f>
        <v>24|25|26|27</v>
      </c>
      <c r="L445" s="18" t="str">
        <f>VLOOKUP(E445,各职业基础配置!B:C,2,FALSE)</f>
        <v>[{24,1,1},{25,1,1},{26,1,1},{27,1,1},{1,1,1},{2,1,1},{3,1,1}]</v>
      </c>
      <c r="M445" s="18">
        <v>0</v>
      </c>
      <c r="N445" s="18">
        <f t="shared" si="70"/>
        <v>3</v>
      </c>
      <c r="O445" s="18">
        <f>SUMPRODUCT(P445:AI445,Sheet2!$B$3:$U$3)</f>
        <v>188150</v>
      </c>
      <c r="P445" s="18">
        <f>CEILING(INDEX([1]系统模型!$VD:$VD,MATCH(C445,[1]系统模型!$A:$A,0))*POWER(C445/220,3.8)-50+(1000-A445),1)</f>
        <v>3827</v>
      </c>
      <c r="Q445" s="18">
        <f>CEILING(INDEX([1]系统模型!$VE:$VE,MATCH(C445,[1]系统模型!$A:$A,0))*POWER(C445/220,4),1)</f>
        <v>477</v>
      </c>
      <c r="R445" s="18">
        <f>INT(INDEX([1]系统模型!$VF:$VF,MATCH(C445,[1]系统模型!$A:$A,0))*MAX(POWER(C445/180,4),0.5))</f>
        <v>29375</v>
      </c>
      <c r="S445" s="5">
        <v>1000</v>
      </c>
      <c r="T445" s="25">
        <v>0</v>
      </c>
      <c r="U445" s="25">
        <v>0</v>
      </c>
      <c r="V445" s="25">
        <v>0</v>
      </c>
      <c r="W445" s="25">
        <v>0</v>
      </c>
      <c r="X445" s="25">
        <f t="shared" si="71"/>
        <v>1468</v>
      </c>
      <c r="Y445" s="12">
        <v>0</v>
      </c>
      <c r="Z445" s="25">
        <v>100</v>
      </c>
      <c r="AA445" s="25">
        <v>150</v>
      </c>
      <c r="AB445" s="25">
        <v>0</v>
      </c>
      <c r="AC445" s="25">
        <v>0</v>
      </c>
      <c r="AD445" s="25">
        <v>0</v>
      </c>
      <c r="AE445" s="25">
        <f t="shared" si="72"/>
        <v>368</v>
      </c>
      <c r="AF445" s="25">
        <f t="shared" si="73"/>
        <v>368</v>
      </c>
      <c r="AG445" s="25">
        <v>0</v>
      </c>
      <c r="AH445" s="25">
        <f t="shared" si="74"/>
        <v>5050</v>
      </c>
      <c r="AI445" s="25">
        <f t="shared" si="75"/>
        <v>51</v>
      </c>
      <c r="AJ445" s="25">
        <v>1</v>
      </c>
      <c r="AK445" s="25">
        <v>1000</v>
      </c>
      <c r="AL445" s="25">
        <v>100</v>
      </c>
      <c r="AM445" s="26">
        <v>10</v>
      </c>
      <c r="AN445" s="26">
        <v>10</v>
      </c>
      <c r="AO445" s="22" t="s">
        <v>2211</v>
      </c>
      <c r="AP445" s="26">
        <v>0</v>
      </c>
      <c r="AQ445" s="26">
        <f t="shared" si="76"/>
        <v>550</v>
      </c>
      <c r="AR445" s="18" t="str">
        <f ca="1">CONCATENATE(OFFSET(Sheet1!$A$2,RANDBETWEEN(2,500),0,1,1),OFFSET(Sheet1!$A$2,RANDBETWEEN(2,500),RANDBETWEEN(1,5),1,1))</f>
        <v>克兰</v>
      </c>
      <c r="AS445">
        <f>SUMPRODUCT(P445:AI445,Sheet2!$B$3:$U$3)</f>
        <v>188150</v>
      </c>
    </row>
    <row r="446" spans="1:45" x14ac:dyDescent="0.15">
      <c r="A446" s="18">
        <v>445</v>
      </c>
      <c r="B446" s="18" t="s">
        <v>491</v>
      </c>
      <c r="C446" s="18">
        <f t="shared" si="66"/>
        <v>184</v>
      </c>
      <c r="D446" s="19">
        <f t="shared" si="67"/>
        <v>3</v>
      </c>
      <c r="E446" s="19">
        <f>VLOOKUP(MOD(A446,4),各职业基础配置!C$32:D$35,2,FALSE)</f>
        <v>3</v>
      </c>
      <c r="F446" s="19">
        <f>IF(A446&lt;900,INDEX(各职业基础配置!C$23:C$28,MOD(ROW(A446),4)+1),0)</f>
        <v>14</v>
      </c>
      <c r="G446" s="19">
        <f t="shared" si="68"/>
        <v>39</v>
      </c>
      <c r="H446" s="27">
        <f t="shared" si="69"/>
        <v>2</v>
      </c>
      <c r="I446" s="6" t="s">
        <v>164</v>
      </c>
      <c r="J446" s="23" t="str">
        <f>VLOOKUP(E446,各职业基础配置!$B$9:$C$12,2,FALSE)</f>
        <v>106|107|108|4201|110</v>
      </c>
      <c r="K446" s="18" t="str">
        <f>VLOOKUP(E446,各职业基础配置!$B$15:$C$18,2,FALSE)</f>
        <v>20|21|22|23</v>
      </c>
      <c r="L446" s="18" t="str">
        <f>VLOOKUP(E446,各职业基础配置!B:C,2,FALSE)</f>
        <v>[{20,1,1},{21,1,1},{22,1,1},{23,1,1},{4,1,1},{5,1,1},{6,1,1}]</v>
      </c>
      <c r="M446" s="18">
        <v>0</v>
      </c>
      <c r="N446" s="18">
        <f t="shared" si="70"/>
        <v>7</v>
      </c>
      <c r="O446" s="18">
        <f>SUMPRODUCT(P446:AI446,Sheet2!$B$3:$U$3)</f>
        <v>188125</v>
      </c>
      <c r="P446" s="18">
        <f>CEILING(INDEX([1]系统模型!$VD:$VD,MATCH(C446,[1]系统模型!$A:$A,0))*POWER(C446/220,3.8)-50+(1000-A446),1)</f>
        <v>3826</v>
      </c>
      <c r="Q446" s="18">
        <f>CEILING(INDEX([1]系统模型!$VE:$VE,MATCH(C446,[1]系统模型!$A:$A,0))*POWER(C446/220,4),1)</f>
        <v>477</v>
      </c>
      <c r="R446" s="18">
        <f>INT(INDEX([1]系统模型!$VF:$VF,MATCH(C446,[1]系统模型!$A:$A,0))*MAX(POWER(C446/180,4),0.5))</f>
        <v>29375</v>
      </c>
      <c r="S446" s="5">
        <v>1000</v>
      </c>
      <c r="T446" s="25">
        <v>0</v>
      </c>
      <c r="U446" s="25">
        <v>0</v>
      </c>
      <c r="V446" s="25">
        <v>0</v>
      </c>
      <c r="W446" s="25">
        <v>0</v>
      </c>
      <c r="X446" s="25">
        <f t="shared" si="71"/>
        <v>1468</v>
      </c>
      <c r="Y446" s="12">
        <v>0</v>
      </c>
      <c r="Z446" s="25">
        <v>100</v>
      </c>
      <c r="AA446" s="25">
        <v>150</v>
      </c>
      <c r="AB446" s="25">
        <v>0</v>
      </c>
      <c r="AC446" s="25">
        <v>0</v>
      </c>
      <c r="AD446" s="25">
        <v>0</v>
      </c>
      <c r="AE446" s="25">
        <f t="shared" si="72"/>
        <v>368</v>
      </c>
      <c r="AF446" s="25">
        <f t="shared" si="73"/>
        <v>368</v>
      </c>
      <c r="AG446" s="25">
        <v>0</v>
      </c>
      <c r="AH446" s="25">
        <f t="shared" si="74"/>
        <v>5050</v>
      </c>
      <c r="AI446" s="25">
        <f t="shared" si="75"/>
        <v>51</v>
      </c>
      <c r="AJ446" s="25">
        <v>1</v>
      </c>
      <c r="AK446" s="25">
        <v>1000</v>
      </c>
      <c r="AL446" s="25">
        <v>100</v>
      </c>
      <c r="AM446" s="26">
        <v>10</v>
      </c>
      <c r="AN446" s="26">
        <v>10</v>
      </c>
      <c r="AO446" s="22" t="s">
        <v>2211</v>
      </c>
      <c r="AP446" s="26">
        <v>0</v>
      </c>
      <c r="AQ446" s="26">
        <f t="shared" si="76"/>
        <v>550</v>
      </c>
      <c r="AR446" s="18" t="str">
        <f ca="1">CONCATENATE(OFFSET(Sheet1!$A$2,RANDBETWEEN(2,500),0,1,1),OFFSET(Sheet1!$A$2,RANDBETWEEN(2,500),RANDBETWEEN(1,5),1,1))</f>
        <v>阿拉贝拉玛丽安</v>
      </c>
      <c r="AS446">
        <f>SUMPRODUCT(P446:AI446,Sheet2!$B$3:$U$3)</f>
        <v>188125</v>
      </c>
    </row>
    <row r="447" spans="1:45" x14ac:dyDescent="0.15">
      <c r="A447" s="18">
        <v>446</v>
      </c>
      <c r="B447" s="18" t="s">
        <v>1157</v>
      </c>
      <c r="C447" s="18">
        <f t="shared" si="66"/>
        <v>183</v>
      </c>
      <c r="D447" s="19">
        <f t="shared" si="67"/>
        <v>2</v>
      </c>
      <c r="E447" s="19">
        <f>VLOOKUP(MOD(A447,4),各职业基础配置!C$32:D$35,2,FALSE)</f>
        <v>6</v>
      </c>
      <c r="F447" s="19">
        <f>IF(A447&lt;900,INDEX(各职业基础配置!C$23:C$28,MOD(ROW(A447),4)+1),0)</f>
        <v>16</v>
      </c>
      <c r="G447" s="19">
        <f t="shared" si="68"/>
        <v>38</v>
      </c>
      <c r="H447" s="27">
        <f t="shared" si="69"/>
        <v>2</v>
      </c>
      <c r="I447" s="6" t="s">
        <v>164</v>
      </c>
      <c r="J447" s="23" t="str">
        <f>VLOOKUP(E447,各职业基础配置!$B$9:$C$12,2,FALSE)</f>
        <v>111|112|113|4201|115</v>
      </c>
      <c r="K447" s="18" t="str">
        <f>VLOOKUP(E447,各职业基础配置!$B$15:$C$18,2,FALSE)</f>
        <v>32|33|34</v>
      </c>
      <c r="L447" s="18" t="str">
        <f>VLOOKUP(E447,各职业基础配置!B:C,2,FALSE)</f>
        <v>[{32,1,1},{33,1,1},{34,1,1},{35,1,1},{7,1,1},{8,1,1},{9,1,1}]</v>
      </c>
      <c r="M447" s="18">
        <v>0</v>
      </c>
      <c r="N447" s="18">
        <f t="shared" si="70"/>
        <v>7</v>
      </c>
      <c r="O447" s="18">
        <f>SUMPRODUCT(P447:AI447,Sheet2!$B$3:$U$3)</f>
        <v>183894</v>
      </c>
      <c r="P447" s="18">
        <f>CEILING(INDEX([1]系统模型!$VD:$VD,MATCH(C447,[1]系统模型!$A:$A,0))*POWER(C447/220,3.8)-50+(1000-A447),1)</f>
        <v>3733</v>
      </c>
      <c r="Q447" s="18">
        <f>CEILING(INDEX([1]系统模型!$VE:$VE,MATCH(C447,[1]系统模型!$A:$A,0))*POWER(C447/220,4),1)</f>
        <v>459</v>
      </c>
      <c r="R447" s="18">
        <f>INT(INDEX([1]系统模型!$VF:$VF,MATCH(C447,[1]系统模型!$A:$A,0))*MAX(POWER(C447/180,4),0.5))</f>
        <v>28444</v>
      </c>
      <c r="S447" s="5">
        <v>1000</v>
      </c>
      <c r="T447" s="25">
        <v>0</v>
      </c>
      <c r="U447" s="25">
        <v>0</v>
      </c>
      <c r="V447" s="25">
        <v>0</v>
      </c>
      <c r="W447" s="25">
        <v>0</v>
      </c>
      <c r="X447" s="25">
        <f t="shared" si="71"/>
        <v>1422</v>
      </c>
      <c r="Y447" s="12">
        <v>0</v>
      </c>
      <c r="Z447" s="25">
        <v>100</v>
      </c>
      <c r="AA447" s="25">
        <v>150</v>
      </c>
      <c r="AB447" s="25">
        <v>0</v>
      </c>
      <c r="AC447" s="25">
        <v>0</v>
      </c>
      <c r="AD447" s="25">
        <v>0</v>
      </c>
      <c r="AE447" s="25">
        <f t="shared" si="72"/>
        <v>366</v>
      </c>
      <c r="AF447" s="25">
        <f t="shared" si="73"/>
        <v>366</v>
      </c>
      <c r="AG447" s="25">
        <v>0</v>
      </c>
      <c r="AH447" s="25">
        <f t="shared" si="74"/>
        <v>4975</v>
      </c>
      <c r="AI447" s="25">
        <f t="shared" si="75"/>
        <v>49</v>
      </c>
      <c r="AJ447" s="25">
        <v>1</v>
      </c>
      <c r="AK447" s="25">
        <v>1000</v>
      </c>
      <c r="AL447" s="25">
        <v>100</v>
      </c>
      <c r="AM447" s="26">
        <v>10</v>
      </c>
      <c r="AN447" s="26">
        <v>10</v>
      </c>
      <c r="AO447" s="22" t="s">
        <v>2211</v>
      </c>
      <c r="AP447" s="26">
        <v>0</v>
      </c>
      <c r="AQ447" s="26">
        <f t="shared" si="76"/>
        <v>550</v>
      </c>
      <c r="AR447" s="18" t="str">
        <f ca="1">CONCATENATE(OFFSET(Sheet1!$A$2,RANDBETWEEN(2,500),0,1,1),OFFSET(Sheet1!$A$2,RANDBETWEEN(2,500),RANDBETWEEN(1,5),1,1))</f>
        <v>布朗宁</v>
      </c>
      <c r="AS447">
        <f>SUMPRODUCT(P447:AI447,Sheet2!$B$3:$U$3)</f>
        <v>183894</v>
      </c>
    </row>
    <row r="448" spans="1:45" x14ac:dyDescent="0.15">
      <c r="A448" s="23">
        <v>447</v>
      </c>
      <c r="B448" s="18" t="s">
        <v>1119</v>
      </c>
      <c r="C448" s="18">
        <f t="shared" si="66"/>
        <v>183</v>
      </c>
      <c r="D448" s="19">
        <f t="shared" si="67"/>
        <v>3</v>
      </c>
      <c r="E448" s="19">
        <f>VLOOKUP(MOD(A448,4),各职业基础配置!C$32:D$35,2,FALSE)</f>
        <v>9</v>
      </c>
      <c r="F448" s="19">
        <f>IF(A448&lt;900,INDEX(各职业基础配置!C$23:C$28,MOD(ROW(A448),4)+1),0)</f>
        <v>8</v>
      </c>
      <c r="G448" s="19">
        <f t="shared" si="68"/>
        <v>38</v>
      </c>
      <c r="H448" s="27">
        <f t="shared" si="69"/>
        <v>2</v>
      </c>
      <c r="I448" s="6" t="s">
        <v>164</v>
      </c>
      <c r="J448" s="23" t="str">
        <f>VLOOKUP(E448,各职业基础配置!$B$9:$C$12,2,FALSE)</f>
        <v>116|117|118|4201|120</v>
      </c>
      <c r="K448" s="18" t="str">
        <f>VLOOKUP(E448,各职业基础配置!$B$15:$C$18,2,FALSE)</f>
        <v>28|29|30|31</v>
      </c>
      <c r="L448" s="18" t="str">
        <f>VLOOKUP(E448,各职业基础配置!B:C,2,FALSE)</f>
        <v>[{28,1,1},{29,1,1},{30,1,1},{31,1,1},{10,1,1},{11,1,1},{12,1,1}]</v>
      </c>
      <c r="M448" s="18">
        <v>0</v>
      </c>
      <c r="N448" s="18">
        <f t="shared" si="70"/>
        <v>3</v>
      </c>
      <c r="O448" s="18">
        <f>SUMPRODUCT(P448:AI448,Sheet2!$B$3:$U$3)</f>
        <v>183869</v>
      </c>
      <c r="P448" s="18">
        <f>CEILING(INDEX([1]系统模型!$VD:$VD,MATCH(C448,[1]系统模型!$A:$A,0))*POWER(C448/220,3.8)-50+(1000-A448),1)</f>
        <v>3732</v>
      </c>
      <c r="Q448" s="18">
        <f>CEILING(INDEX([1]系统模型!$VE:$VE,MATCH(C448,[1]系统模型!$A:$A,0))*POWER(C448/220,4),1)</f>
        <v>459</v>
      </c>
      <c r="R448" s="18">
        <f>INT(INDEX([1]系统模型!$VF:$VF,MATCH(C448,[1]系统模型!$A:$A,0))*MAX(POWER(C448/180,4),0.5))</f>
        <v>28444</v>
      </c>
      <c r="S448" s="5">
        <v>1000</v>
      </c>
      <c r="T448" s="25">
        <v>0</v>
      </c>
      <c r="U448" s="25">
        <v>0</v>
      </c>
      <c r="V448" s="25">
        <v>0</v>
      </c>
      <c r="W448" s="25">
        <v>0</v>
      </c>
      <c r="X448" s="25">
        <f t="shared" si="71"/>
        <v>1422</v>
      </c>
      <c r="Y448" s="12">
        <v>0</v>
      </c>
      <c r="Z448" s="25">
        <v>100</v>
      </c>
      <c r="AA448" s="25">
        <v>150</v>
      </c>
      <c r="AB448" s="25">
        <v>0</v>
      </c>
      <c r="AC448" s="25">
        <v>0</v>
      </c>
      <c r="AD448" s="25">
        <v>0</v>
      </c>
      <c r="AE448" s="25">
        <f t="shared" si="72"/>
        <v>366</v>
      </c>
      <c r="AF448" s="25">
        <f t="shared" si="73"/>
        <v>366</v>
      </c>
      <c r="AG448" s="25">
        <v>0</v>
      </c>
      <c r="AH448" s="25">
        <f t="shared" si="74"/>
        <v>4975</v>
      </c>
      <c r="AI448" s="25">
        <f t="shared" si="75"/>
        <v>49</v>
      </c>
      <c r="AJ448" s="25">
        <v>1</v>
      </c>
      <c r="AK448" s="25">
        <v>1000</v>
      </c>
      <c r="AL448" s="25">
        <v>100</v>
      </c>
      <c r="AM448" s="26">
        <v>10</v>
      </c>
      <c r="AN448" s="26">
        <v>10</v>
      </c>
      <c r="AO448" s="22" t="s">
        <v>2211</v>
      </c>
      <c r="AP448" s="26">
        <v>0</v>
      </c>
      <c r="AQ448" s="26">
        <f t="shared" si="76"/>
        <v>550</v>
      </c>
      <c r="AR448" s="18" t="str">
        <f ca="1">CONCATENATE(OFFSET(Sheet1!$A$2,RANDBETWEEN(2,500),0,1,1),OFFSET(Sheet1!$A$2,RANDBETWEEN(2,500),RANDBETWEEN(1,5),1,1))</f>
        <v>约翰尼小蜜</v>
      </c>
      <c r="AS448">
        <f>SUMPRODUCT(P448:AI448,Sheet2!$B$3:$U$3)</f>
        <v>183869</v>
      </c>
    </row>
    <row r="449" spans="1:45" x14ac:dyDescent="0.15">
      <c r="A449" s="18">
        <v>448</v>
      </c>
      <c r="B449" s="18" t="s">
        <v>1282</v>
      </c>
      <c r="C449" s="18">
        <f t="shared" si="66"/>
        <v>183</v>
      </c>
      <c r="D449" s="19">
        <f t="shared" si="67"/>
        <v>2</v>
      </c>
      <c r="E449" s="19">
        <f>VLOOKUP(MOD(A449,4),各职业基础配置!C$32:D$35,2,FALSE)</f>
        <v>1</v>
      </c>
      <c r="F449" s="19">
        <f>IF(A449&lt;900,INDEX(各职业基础配置!C$23:C$28,MOD(ROW(A449),4)+1),0)</f>
        <v>13</v>
      </c>
      <c r="G449" s="19">
        <f t="shared" si="68"/>
        <v>38</v>
      </c>
      <c r="H449" s="27">
        <f t="shared" si="69"/>
        <v>2</v>
      </c>
      <c r="I449" s="6" t="s">
        <v>164</v>
      </c>
      <c r="J449" s="23" t="str">
        <f>VLOOKUP(E449,各职业基础配置!$B$9:$C$12,2,FALSE)</f>
        <v>101|102|103|4201|105</v>
      </c>
      <c r="K449" s="18" t="str">
        <f>VLOOKUP(E449,各职业基础配置!$B$15:$C$18,2,FALSE)</f>
        <v>24|25|26|27</v>
      </c>
      <c r="L449" s="18" t="str">
        <f>VLOOKUP(E449,各职业基础配置!B:C,2,FALSE)</f>
        <v>[{24,1,1},{25,1,1},{26,1,1},{27,1,1},{1,1,1},{2,1,1},{3,1,1}]</v>
      </c>
      <c r="M449" s="18">
        <v>0</v>
      </c>
      <c r="N449" s="18">
        <f t="shared" si="70"/>
        <v>3</v>
      </c>
      <c r="O449" s="18">
        <f>SUMPRODUCT(P449:AI449,Sheet2!$B$3:$U$3)</f>
        <v>183844</v>
      </c>
      <c r="P449" s="18">
        <f>CEILING(INDEX([1]系统模型!$VD:$VD,MATCH(C449,[1]系统模型!$A:$A,0))*POWER(C449/220,3.8)-50+(1000-A449),1)</f>
        <v>3731</v>
      </c>
      <c r="Q449" s="18">
        <f>CEILING(INDEX([1]系统模型!$VE:$VE,MATCH(C449,[1]系统模型!$A:$A,0))*POWER(C449/220,4),1)</f>
        <v>459</v>
      </c>
      <c r="R449" s="18">
        <f>INT(INDEX([1]系统模型!$VF:$VF,MATCH(C449,[1]系统模型!$A:$A,0))*MAX(POWER(C449/180,4),0.5))</f>
        <v>28444</v>
      </c>
      <c r="S449" s="5">
        <v>1000</v>
      </c>
      <c r="T449" s="25">
        <v>0</v>
      </c>
      <c r="U449" s="25">
        <v>0</v>
      </c>
      <c r="V449" s="25">
        <v>0</v>
      </c>
      <c r="W449" s="25">
        <v>0</v>
      </c>
      <c r="X449" s="25">
        <f t="shared" si="71"/>
        <v>1422</v>
      </c>
      <c r="Y449" s="12">
        <v>0</v>
      </c>
      <c r="Z449" s="25">
        <v>100</v>
      </c>
      <c r="AA449" s="25">
        <v>150</v>
      </c>
      <c r="AB449" s="25">
        <v>0</v>
      </c>
      <c r="AC449" s="25">
        <v>0</v>
      </c>
      <c r="AD449" s="25">
        <v>0</v>
      </c>
      <c r="AE449" s="25">
        <f t="shared" si="72"/>
        <v>366</v>
      </c>
      <c r="AF449" s="25">
        <f t="shared" si="73"/>
        <v>366</v>
      </c>
      <c r="AG449" s="25">
        <v>0</v>
      </c>
      <c r="AH449" s="25">
        <f t="shared" si="74"/>
        <v>4975</v>
      </c>
      <c r="AI449" s="25">
        <f t="shared" si="75"/>
        <v>49</v>
      </c>
      <c r="AJ449" s="25">
        <v>1</v>
      </c>
      <c r="AK449" s="25">
        <v>1000</v>
      </c>
      <c r="AL449" s="25">
        <v>100</v>
      </c>
      <c r="AM449" s="26">
        <v>10</v>
      </c>
      <c r="AN449" s="26">
        <v>10</v>
      </c>
      <c r="AO449" s="22" t="s">
        <v>2211</v>
      </c>
      <c r="AP449" s="26">
        <v>0</v>
      </c>
      <c r="AQ449" s="26">
        <f t="shared" si="76"/>
        <v>550</v>
      </c>
      <c r="AR449" s="18" t="str">
        <f ca="1">CONCATENATE(OFFSET(Sheet1!$A$2,RANDBETWEEN(2,500),0,1,1),OFFSET(Sheet1!$A$2,RANDBETWEEN(2,500),RANDBETWEEN(1,5),1,1))</f>
        <v>乔治</v>
      </c>
      <c r="AS449">
        <f>SUMPRODUCT(P449:AI449,Sheet2!$B$3:$U$3)</f>
        <v>183844</v>
      </c>
    </row>
    <row r="450" spans="1:45" x14ac:dyDescent="0.15">
      <c r="A450" s="18">
        <v>449</v>
      </c>
      <c r="B450" s="18" t="s">
        <v>2001</v>
      </c>
      <c r="C450" s="18">
        <f t="shared" si="66"/>
        <v>183</v>
      </c>
      <c r="D450" s="19">
        <f t="shared" si="67"/>
        <v>3</v>
      </c>
      <c r="E450" s="19">
        <f>VLOOKUP(MOD(A450,4),各职业基础配置!C$32:D$35,2,FALSE)</f>
        <v>3</v>
      </c>
      <c r="F450" s="19">
        <f>IF(A450&lt;900,INDEX(各职业基础配置!C$23:C$28,MOD(ROW(A450),4)+1),0)</f>
        <v>14</v>
      </c>
      <c r="G450" s="19">
        <f t="shared" si="68"/>
        <v>38</v>
      </c>
      <c r="H450" s="27">
        <f t="shared" si="69"/>
        <v>2</v>
      </c>
      <c r="I450" s="6" t="s">
        <v>164</v>
      </c>
      <c r="J450" s="23" t="str">
        <f>VLOOKUP(E450,各职业基础配置!$B$9:$C$12,2,FALSE)</f>
        <v>106|107|108|4201|110</v>
      </c>
      <c r="K450" s="18" t="str">
        <f>VLOOKUP(E450,各职业基础配置!$B$15:$C$18,2,FALSE)</f>
        <v>20|21|22|23</v>
      </c>
      <c r="L450" s="18" t="str">
        <f>VLOOKUP(E450,各职业基础配置!B:C,2,FALSE)</f>
        <v>[{20,1,1},{21,1,1},{22,1,1},{23,1,1},{4,1,1},{5,1,1},{6,1,1}]</v>
      </c>
      <c r="M450" s="18">
        <v>0</v>
      </c>
      <c r="N450" s="18">
        <f t="shared" si="70"/>
        <v>7</v>
      </c>
      <c r="O450" s="18">
        <f>SUMPRODUCT(P450:AI450,Sheet2!$B$3:$U$3)</f>
        <v>183819</v>
      </c>
      <c r="P450" s="18">
        <f>CEILING(INDEX([1]系统模型!$VD:$VD,MATCH(C450,[1]系统模型!$A:$A,0))*POWER(C450/220,3.8)-50+(1000-A450),1)</f>
        <v>3730</v>
      </c>
      <c r="Q450" s="18">
        <f>CEILING(INDEX([1]系统模型!$VE:$VE,MATCH(C450,[1]系统模型!$A:$A,0))*POWER(C450/220,4),1)</f>
        <v>459</v>
      </c>
      <c r="R450" s="18">
        <f>INT(INDEX([1]系统模型!$VF:$VF,MATCH(C450,[1]系统模型!$A:$A,0))*MAX(POWER(C450/180,4),0.5))</f>
        <v>28444</v>
      </c>
      <c r="S450" s="5">
        <v>1000</v>
      </c>
      <c r="T450" s="25">
        <v>0</v>
      </c>
      <c r="U450" s="25">
        <v>0</v>
      </c>
      <c r="V450" s="25">
        <v>0</v>
      </c>
      <c r="W450" s="25">
        <v>0</v>
      </c>
      <c r="X450" s="25">
        <f t="shared" si="71"/>
        <v>1422</v>
      </c>
      <c r="Y450" s="12">
        <v>0</v>
      </c>
      <c r="Z450" s="25">
        <v>100</v>
      </c>
      <c r="AA450" s="25">
        <v>150</v>
      </c>
      <c r="AB450" s="25">
        <v>0</v>
      </c>
      <c r="AC450" s="25">
        <v>0</v>
      </c>
      <c r="AD450" s="25">
        <v>0</v>
      </c>
      <c r="AE450" s="25">
        <f t="shared" si="72"/>
        <v>366</v>
      </c>
      <c r="AF450" s="25">
        <f t="shared" si="73"/>
        <v>366</v>
      </c>
      <c r="AG450" s="25">
        <v>0</v>
      </c>
      <c r="AH450" s="25">
        <f t="shared" si="74"/>
        <v>4975</v>
      </c>
      <c r="AI450" s="25">
        <f t="shared" si="75"/>
        <v>49</v>
      </c>
      <c r="AJ450" s="25">
        <v>1</v>
      </c>
      <c r="AK450" s="25">
        <v>1000</v>
      </c>
      <c r="AL450" s="25">
        <v>100</v>
      </c>
      <c r="AM450" s="26">
        <v>10</v>
      </c>
      <c r="AN450" s="26">
        <v>10</v>
      </c>
      <c r="AO450" s="22" t="s">
        <v>2211</v>
      </c>
      <c r="AP450" s="26">
        <v>0</v>
      </c>
      <c r="AQ450" s="26">
        <f t="shared" si="76"/>
        <v>550</v>
      </c>
      <c r="AR450" s="18" t="str">
        <f ca="1">CONCATENATE(OFFSET(Sheet1!$A$2,RANDBETWEEN(2,500),0,1,1),OFFSET(Sheet1!$A$2,RANDBETWEEN(2,500),RANDBETWEEN(1,5),1,1))</f>
        <v>巴赫</v>
      </c>
      <c r="AS450">
        <f>SUMPRODUCT(P450:AI450,Sheet2!$B$3:$U$3)</f>
        <v>183819</v>
      </c>
    </row>
    <row r="451" spans="1:45" x14ac:dyDescent="0.15">
      <c r="A451" s="23">
        <v>450</v>
      </c>
      <c r="B451" s="18" t="s">
        <v>1101</v>
      </c>
      <c r="C451" s="18">
        <f t="shared" ref="C451:C514" si="77">INT(250-(150-2)/1000*A451)</f>
        <v>183</v>
      </c>
      <c r="D451" s="19">
        <f t="shared" ref="D451:D514" si="78">MOD(A451,2)+2</f>
        <v>2</v>
      </c>
      <c r="E451" s="19">
        <f>VLOOKUP(MOD(A451,4),各职业基础配置!C$32:D$35,2,FALSE)</f>
        <v>6</v>
      </c>
      <c r="F451" s="19">
        <f>IF(A451&lt;900,INDEX(各职业基础配置!C$23:C$28,MOD(ROW(A451),4)+1),0)</f>
        <v>16</v>
      </c>
      <c r="G451" s="19">
        <f t="shared" ref="G451:G514" si="79">INT(C451*POWER(C451/250,5))</f>
        <v>38</v>
      </c>
      <c r="H451" s="27">
        <f t="shared" ref="H451:H514" si="80">CEILING(C451/75,1)-1</f>
        <v>2</v>
      </c>
      <c r="I451" s="6" t="s">
        <v>164</v>
      </c>
      <c r="J451" s="23" t="str">
        <f>VLOOKUP(E451,各职业基础配置!$B$9:$C$12,2,FALSE)</f>
        <v>111|112|113|4201|115</v>
      </c>
      <c r="K451" s="18" t="str">
        <f>VLOOKUP(E451,各职业基础配置!$B$15:$C$18,2,FALSE)</f>
        <v>32|33|34</v>
      </c>
      <c r="L451" s="18" t="str">
        <f>VLOOKUP(E451,各职业基础配置!B:C,2,FALSE)</f>
        <v>[{32,1,1},{33,1,1},{34,1,1},{35,1,1},{7,1,1},{8,1,1},{9,1,1}]</v>
      </c>
      <c r="M451" s="18">
        <v>0</v>
      </c>
      <c r="N451" s="18">
        <f t="shared" ref="N451:N514" si="81">IF(OR(E451=3,E451=6),7,3)</f>
        <v>7</v>
      </c>
      <c r="O451" s="18">
        <f>SUMPRODUCT(P451:AI451,Sheet2!$B$3:$U$3)</f>
        <v>183794</v>
      </c>
      <c r="P451" s="18">
        <f>CEILING(INDEX([1]系统模型!$VD:$VD,MATCH(C451,[1]系统模型!$A:$A,0))*POWER(C451/220,3.8)-50+(1000-A451),1)</f>
        <v>3729</v>
      </c>
      <c r="Q451" s="18">
        <f>CEILING(INDEX([1]系统模型!$VE:$VE,MATCH(C451,[1]系统模型!$A:$A,0))*POWER(C451/220,4),1)</f>
        <v>459</v>
      </c>
      <c r="R451" s="18">
        <f>INT(INDEX([1]系统模型!$VF:$VF,MATCH(C451,[1]系统模型!$A:$A,0))*MAX(POWER(C451/180,4),0.5))</f>
        <v>28444</v>
      </c>
      <c r="S451" s="5">
        <v>1000</v>
      </c>
      <c r="T451" s="25">
        <v>0</v>
      </c>
      <c r="U451" s="25">
        <v>0</v>
      </c>
      <c r="V451" s="25">
        <v>0</v>
      </c>
      <c r="W451" s="25">
        <v>0</v>
      </c>
      <c r="X451" s="25">
        <f t="shared" ref="X451:X514" si="82">INT(R451/20)</f>
        <v>1422</v>
      </c>
      <c r="Y451" s="12">
        <v>0</v>
      </c>
      <c r="Z451" s="25">
        <v>100</v>
      </c>
      <c r="AA451" s="25">
        <v>150</v>
      </c>
      <c r="AB451" s="25">
        <v>0</v>
      </c>
      <c r="AC451" s="25">
        <v>0</v>
      </c>
      <c r="AD451" s="25">
        <v>0</v>
      </c>
      <c r="AE451" s="25">
        <f t="shared" ref="AE451:AE514" si="83">C451*2</f>
        <v>366</v>
      </c>
      <c r="AF451" s="25">
        <f t="shared" ref="AF451:AF514" si="84">C451*2</f>
        <v>366</v>
      </c>
      <c r="AG451" s="25">
        <v>0</v>
      </c>
      <c r="AH451" s="25">
        <f t="shared" ref="AH451:AH514" si="85">MAX(10000-(250-C451)*75,0)</f>
        <v>4975</v>
      </c>
      <c r="AI451" s="25">
        <f t="shared" ref="AI451:AI514" si="86">INT(P451/75)</f>
        <v>49</v>
      </c>
      <c r="AJ451" s="25">
        <v>1</v>
      </c>
      <c r="AK451" s="25">
        <v>1000</v>
      </c>
      <c r="AL451" s="25">
        <v>100</v>
      </c>
      <c r="AM451" s="26">
        <v>10</v>
      </c>
      <c r="AN451" s="26">
        <v>10</v>
      </c>
      <c r="AO451" s="22" t="s">
        <v>2211</v>
      </c>
      <c r="AP451" s="26">
        <v>0</v>
      </c>
      <c r="AQ451" s="26">
        <f t="shared" ref="AQ451:AQ514" si="87">MAX(CEILING(1000-A451*1.02,10),0)</f>
        <v>550</v>
      </c>
      <c r="AR451" s="18" t="str">
        <f ca="1">CONCATENATE(OFFSET(Sheet1!$A$2,RANDBETWEEN(2,500),0,1,1),OFFSET(Sheet1!$A$2,RANDBETWEEN(2,500),RANDBETWEEN(1,5),1,1))</f>
        <v>丹尼尔希伯来</v>
      </c>
      <c r="AS451">
        <f>SUMPRODUCT(P451:AI451,Sheet2!$B$3:$U$3)</f>
        <v>183794</v>
      </c>
    </row>
    <row r="452" spans="1:45" x14ac:dyDescent="0.15">
      <c r="A452" s="18">
        <v>451</v>
      </c>
      <c r="B452" s="18" t="s">
        <v>2002</v>
      </c>
      <c r="C452" s="18">
        <f t="shared" si="77"/>
        <v>183</v>
      </c>
      <c r="D452" s="19">
        <f t="shared" si="78"/>
        <v>3</v>
      </c>
      <c r="E452" s="19">
        <f>VLOOKUP(MOD(A452,4),各职业基础配置!C$32:D$35,2,FALSE)</f>
        <v>9</v>
      </c>
      <c r="F452" s="19">
        <f>IF(A452&lt;900,INDEX(各职业基础配置!C$23:C$28,MOD(ROW(A452),4)+1),0)</f>
        <v>8</v>
      </c>
      <c r="G452" s="19">
        <f t="shared" si="79"/>
        <v>38</v>
      </c>
      <c r="H452" s="27">
        <f t="shared" si="80"/>
        <v>2</v>
      </c>
      <c r="I452" s="6" t="s">
        <v>164</v>
      </c>
      <c r="J452" s="23" t="str">
        <f>VLOOKUP(E452,各职业基础配置!$B$9:$C$12,2,FALSE)</f>
        <v>116|117|118|4201|120</v>
      </c>
      <c r="K452" s="18" t="str">
        <f>VLOOKUP(E452,各职业基础配置!$B$15:$C$18,2,FALSE)</f>
        <v>28|29|30|31</v>
      </c>
      <c r="L452" s="18" t="str">
        <f>VLOOKUP(E452,各职业基础配置!B:C,2,FALSE)</f>
        <v>[{28,1,1},{29,1,1},{30,1,1},{31,1,1},{10,1,1},{11,1,1},{12,1,1}]</v>
      </c>
      <c r="M452" s="18">
        <v>0</v>
      </c>
      <c r="N452" s="18">
        <f t="shared" si="81"/>
        <v>3</v>
      </c>
      <c r="O452" s="18">
        <f>SUMPRODUCT(P452:AI452,Sheet2!$B$3:$U$3)</f>
        <v>183769</v>
      </c>
      <c r="P452" s="18">
        <f>CEILING(INDEX([1]系统模型!$VD:$VD,MATCH(C452,[1]系统模型!$A:$A,0))*POWER(C452/220,3.8)-50+(1000-A452),1)</f>
        <v>3728</v>
      </c>
      <c r="Q452" s="18">
        <f>CEILING(INDEX([1]系统模型!$VE:$VE,MATCH(C452,[1]系统模型!$A:$A,0))*POWER(C452/220,4),1)</f>
        <v>459</v>
      </c>
      <c r="R452" s="18">
        <f>INT(INDEX([1]系统模型!$VF:$VF,MATCH(C452,[1]系统模型!$A:$A,0))*MAX(POWER(C452/180,4),0.5))</f>
        <v>28444</v>
      </c>
      <c r="S452" s="5">
        <v>1000</v>
      </c>
      <c r="T452" s="25">
        <v>0</v>
      </c>
      <c r="U452" s="25">
        <v>0</v>
      </c>
      <c r="V452" s="25">
        <v>0</v>
      </c>
      <c r="W452" s="25">
        <v>0</v>
      </c>
      <c r="X452" s="25">
        <f t="shared" si="82"/>
        <v>1422</v>
      </c>
      <c r="Y452" s="12">
        <v>0</v>
      </c>
      <c r="Z452" s="25">
        <v>100</v>
      </c>
      <c r="AA452" s="25">
        <v>150</v>
      </c>
      <c r="AB452" s="25">
        <v>0</v>
      </c>
      <c r="AC452" s="25">
        <v>0</v>
      </c>
      <c r="AD452" s="25">
        <v>0</v>
      </c>
      <c r="AE452" s="25">
        <f t="shared" si="83"/>
        <v>366</v>
      </c>
      <c r="AF452" s="25">
        <f t="shared" si="84"/>
        <v>366</v>
      </c>
      <c r="AG452" s="25">
        <v>0</v>
      </c>
      <c r="AH452" s="25">
        <f t="shared" si="85"/>
        <v>4975</v>
      </c>
      <c r="AI452" s="25">
        <f t="shared" si="86"/>
        <v>49</v>
      </c>
      <c r="AJ452" s="25">
        <v>1</v>
      </c>
      <c r="AK452" s="25">
        <v>1000</v>
      </c>
      <c r="AL452" s="25">
        <v>100</v>
      </c>
      <c r="AM452" s="26">
        <v>10</v>
      </c>
      <c r="AN452" s="26">
        <v>10</v>
      </c>
      <c r="AO452" s="22" t="s">
        <v>2211</v>
      </c>
      <c r="AP452" s="26">
        <v>0</v>
      </c>
      <c r="AQ452" s="26">
        <f t="shared" si="87"/>
        <v>540</v>
      </c>
      <c r="AR452" s="18" t="str">
        <f ca="1">CONCATENATE(OFFSET(Sheet1!$A$2,RANDBETWEEN(2,500),0,1,1),OFFSET(Sheet1!$A$2,RANDBETWEEN(2,500),RANDBETWEEN(1,5),1,1))</f>
        <v>巴尼</v>
      </c>
      <c r="AS452">
        <f>SUMPRODUCT(P452:AI452,Sheet2!$B$3:$U$3)</f>
        <v>183769</v>
      </c>
    </row>
    <row r="453" spans="1:45" x14ac:dyDescent="0.15">
      <c r="A453" s="18">
        <v>452</v>
      </c>
      <c r="B453" s="18" t="s">
        <v>2003</v>
      </c>
      <c r="C453" s="18">
        <f t="shared" si="77"/>
        <v>183</v>
      </c>
      <c r="D453" s="19">
        <f t="shared" si="78"/>
        <v>2</v>
      </c>
      <c r="E453" s="19">
        <f>VLOOKUP(MOD(A453,4),各职业基础配置!C$32:D$35,2,FALSE)</f>
        <v>1</v>
      </c>
      <c r="F453" s="19">
        <f>IF(A453&lt;900,INDEX(各职业基础配置!C$23:C$28,MOD(ROW(A453),4)+1),0)</f>
        <v>13</v>
      </c>
      <c r="G453" s="19">
        <f t="shared" si="79"/>
        <v>38</v>
      </c>
      <c r="H453" s="27">
        <f t="shared" si="80"/>
        <v>2</v>
      </c>
      <c r="I453" s="6" t="s">
        <v>164</v>
      </c>
      <c r="J453" s="23" t="str">
        <f>VLOOKUP(E453,各职业基础配置!$B$9:$C$12,2,FALSE)</f>
        <v>101|102|103|4201|105</v>
      </c>
      <c r="K453" s="18" t="str">
        <f>VLOOKUP(E453,各职业基础配置!$B$15:$C$18,2,FALSE)</f>
        <v>24|25|26|27</v>
      </c>
      <c r="L453" s="18" t="str">
        <f>VLOOKUP(E453,各职业基础配置!B:C,2,FALSE)</f>
        <v>[{24,1,1},{25,1,1},{26,1,1},{27,1,1},{1,1,1},{2,1,1},{3,1,1}]</v>
      </c>
      <c r="M453" s="18">
        <v>0</v>
      </c>
      <c r="N453" s="18">
        <f t="shared" si="81"/>
        <v>3</v>
      </c>
      <c r="O453" s="18">
        <f>SUMPRODUCT(P453:AI453,Sheet2!$B$3:$U$3)</f>
        <v>183744</v>
      </c>
      <c r="P453" s="18">
        <f>CEILING(INDEX([1]系统模型!$VD:$VD,MATCH(C453,[1]系统模型!$A:$A,0))*POWER(C453/220,3.8)-50+(1000-A453),1)</f>
        <v>3727</v>
      </c>
      <c r="Q453" s="18">
        <f>CEILING(INDEX([1]系统模型!$VE:$VE,MATCH(C453,[1]系统模型!$A:$A,0))*POWER(C453/220,4),1)</f>
        <v>459</v>
      </c>
      <c r="R453" s="18">
        <f>INT(INDEX([1]系统模型!$VF:$VF,MATCH(C453,[1]系统模型!$A:$A,0))*MAX(POWER(C453/180,4),0.5))</f>
        <v>28444</v>
      </c>
      <c r="S453" s="5">
        <v>1000</v>
      </c>
      <c r="T453" s="25">
        <v>0</v>
      </c>
      <c r="U453" s="25">
        <v>0</v>
      </c>
      <c r="V453" s="25">
        <v>0</v>
      </c>
      <c r="W453" s="25">
        <v>0</v>
      </c>
      <c r="X453" s="25">
        <f t="shared" si="82"/>
        <v>1422</v>
      </c>
      <c r="Y453" s="12">
        <v>0</v>
      </c>
      <c r="Z453" s="25">
        <v>100</v>
      </c>
      <c r="AA453" s="25">
        <v>150</v>
      </c>
      <c r="AB453" s="25">
        <v>0</v>
      </c>
      <c r="AC453" s="25">
        <v>0</v>
      </c>
      <c r="AD453" s="25">
        <v>0</v>
      </c>
      <c r="AE453" s="25">
        <f t="shared" si="83"/>
        <v>366</v>
      </c>
      <c r="AF453" s="25">
        <f t="shared" si="84"/>
        <v>366</v>
      </c>
      <c r="AG453" s="25">
        <v>0</v>
      </c>
      <c r="AH453" s="25">
        <f t="shared" si="85"/>
        <v>4975</v>
      </c>
      <c r="AI453" s="25">
        <f t="shared" si="86"/>
        <v>49</v>
      </c>
      <c r="AJ453" s="25">
        <v>1</v>
      </c>
      <c r="AK453" s="25">
        <v>1000</v>
      </c>
      <c r="AL453" s="25">
        <v>100</v>
      </c>
      <c r="AM453" s="26">
        <v>10</v>
      </c>
      <c r="AN453" s="26">
        <v>10</v>
      </c>
      <c r="AO453" s="22" t="s">
        <v>2211</v>
      </c>
      <c r="AP453" s="26">
        <v>0</v>
      </c>
      <c r="AQ453" s="26">
        <f t="shared" si="87"/>
        <v>540</v>
      </c>
      <c r="AR453" s="18" t="str">
        <f ca="1">CONCATENATE(OFFSET(Sheet1!$A$2,RANDBETWEEN(2,500),0,1,1),OFFSET(Sheet1!$A$2,RANDBETWEEN(2,500),RANDBETWEEN(1,5),1,1))</f>
        <v>亨里埃塔昆蒂娜</v>
      </c>
      <c r="AS453">
        <f>SUMPRODUCT(P453:AI453,Sheet2!$B$3:$U$3)</f>
        <v>183744</v>
      </c>
    </row>
    <row r="454" spans="1:45" x14ac:dyDescent="0.15">
      <c r="A454" s="23">
        <v>453</v>
      </c>
      <c r="B454" s="18" t="s">
        <v>2004</v>
      </c>
      <c r="C454" s="18">
        <f t="shared" si="77"/>
        <v>182</v>
      </c>
      <c r="D454" s="19">
        <f t="shared" si="78"/>
        <v>3</v>
      </c>
      <c r="E454" s="19">
        <f>VLOOKUP(MOD(A454,4),各职业基础配置!C$32:D$35,2,FALSE)</f>
        <v>3</v>
      </c>
      <c r="F454" s="19">
        <f>IF(A454&lt;900,INDEX(各职业基础配置!C$23:C$28,MOD(ROW(A454),4)+1),0)</f>
        <v>14</v>
      </c>
      <c r="G454" s="19">
        <f t="shared" si="79"/>
        <v>37</v>
      </c>
      <c r="H454" s="27">
        <f t="shared" si="80"/>
        <v>2</v>
      </c>
      <c r="I454" s="6" t="s">
        <v>164</v>
      </c>
      <c r="J454" s="23" t="str">
        <f>VLOOKUP(E454,各职业基础配置!$B$9:$C$12,2,FALSE)</f>
        <v>106|107|108|4201|110</v>
      </c>
      <c r="K454" s="18" t="str">
        <f>VLOOKUP(E454,各职业基础配置!$B$15:$C$18,2,FALSE)</f>
        <v>20|21|22|23</v>
      </c>
      <c r="L454" s="18" t="str">
        <f>VLOOKUP(E454,各职业基础配置!B:C,2,FALSE)</f>
        <v>[{20,1,1},{21,1,1},{22,1,1},{23,1,1},{4,1,1},{5,1,1},{6,1,1}]</v>
      </c>
      <c r="M454" s="18">
        <v>0</v>
      </c>
      <c r="N454" s="18">
        <f t="shared" si="81"/>
        <v>7</v>
      </c>
      <c r="O454" s="18">
        <f>SUMPRODUCT(P454:AI454,Sheet2!$B$3:$U$3)</f>
        <v>179169</v>
      </c>
      <c r="P454" s="18">
        <f>CEILING(INDEX([1]系统模型!$VD:$VD,MATCH(C454,[1]系统模型!$A:$A,0))*POWER(C454/220,3.8)-50+(1000-A454),1)</f>
        <v>3618</v>
      </c>
      <c r="Q454" s="18">
        <f>CEILING(INDEX([1]系统模型!$VE:$VE,MATCH(C454,[1]系统模型!$A:$A,0))*POWER(C454/220,4),1)</f>
        <v>444</v>
      </c>
      <c r="R454" s="18">
        <f>INT(INDEX([1]系统模型!$VF:$VF,MATCH(C454,[1]系统模型!$A:$A,0))*MAX(POWER(C454/180,4),0.5))</f>
        <v>27469</v>
      </c>
      <c r="S454" s="5">
        <v>1000</v>
      </c>
      <c r="T454" s="25">
        <v>0</v>
      </c>
      <c r="U454" s="25">
        <v>0</v>
      </c>
      <c r="V454" s="25">
        <v>0</v>
      </c>
      <c r="W454" s="25">
        <v>0</v>
      </c>
      <c r="X454" s="25">
        <f t="shared" si="82"/>
        <v>1373</v>
      </c>
      <c r="Y454" s="12">
        <v>0</v>
      </c>
      <c r="Z454" s="25">
        <v>100</v>
      </c>
      <c r="AA454" s="25">
        <v>150</v>
      </c>
      <c r="AB454" s="25">
        <v>0</v>
      </c>
      <c r="AC454" s="25">
        <v>0</v>
      </c>
      <c r="AD454" s="25">
        <v>0</v>
      </c>
      <c r="AE454" s="25">
        <f t="shared" si="83"/>
        <v>364</v>
      </c>
      <c r="AF454" s="25">
        <f t="shared" si="84"/>
        <v>364</v>
      </c>
      <c r="AG454" s="25">
        <v>0</v>
      </c>
      <c r="AH454" s="25">
        <f t="shared" si="85"/>
        <v>4900</v>
      </c>
      <c r="AI454" s="25">
        <f t="shared" si="86"/>
        <v>48</v>
      </c>
      <c r="AJ454" s="25">
        <v>1</v>
      </c>
      <c r="AK454" s="25">
        <v>1000</v>
      </c>
      <c r="AL454" s="25">
        <v>100</v>
      </c>
      <c r="AM454" s="26">
        <v>10</v>
      </c>
      <c r="AN454" s="26">
        <v>10</v>
      </c>
      <c r="AO454" s="22" t="s">
        <v>2211</v>
      </c>
      <c r="AP454" s="26">
        <v>0</v>
      </c>
      <c r="AQ454" s="26">
        <f t="shared" si="87"/>
        <v>540</v>
      </c>
      <c r="AR454" s="18" t="str">
        <f ca="1">CONCATENATE(OFFSET(Sheet1!$A$2,RANDBETWEEN(2,500),0,1,1),OFFSET(Sheet1!$A$2,RANDBETWEEN(2,500),RANDBETWEEN(1,5),1,1))</f>
        <v>阿诺德李莉斯</v>
      </c>
      <c r="AS454">
        <f>SUMPRODUCT(P454:AI454,Sheet2!$B$3:$U$3)</f>
        <v>179169</v>
      </c>
    </row>
    <row r="455" spans="1:45" x14ac:dyDescent="0.15">
      <c r="A455" s="18">
        <v>454</v>
      </c>
      <c r="B455" s="18" t="s">
        <v>180</v>
      </c>
      <c r="C455" s="18">
        <f t="shared" si="77"/>
        <v>182</v>
      </c>
      <c r="D455" s="19">
        <f t="shared" si="78"/>
        <v>2</v>
      </c>
      <c r="E455" s="19">
        <f>VLOOKUP(MOD(A455,4),各职业基础配置!C$32:D$35,2,FALSE)</f>
        <v>6</v>
      </c>
      <c r="F455" s="19">
        <f>IF(A455&lt;900,INDEX(各职业基础配置!C$23:C$28,MOD(ROW(A455),4)+1),0)</f>
        <v>16</v>
      </c>
      <c r="G455" s="19">
        <f t="shared" si="79"/>
        <v>37</v>
      </c>
      <c r="H455" s="27">
        <f t="shared" si="80"/>
        <v>2</v>
      </c>
      <c r="I455" s="6" t="s">
        <v>164</v>
      </c>
      <c r="J455" s="23" t="str">
        <f>VLOOKUP(E455,各职业基础配置!$B$9:$C$12,2,FALSE)</f>
        <v>111|112|113|4201|115</v>
      </c>
      <c r="K455" s="18" t="str">
        <f>VLOOKUP(E455,各职业基础配置!$B$15:$C$18,2,FALSE)</f>
        <v>32|33|34</v>
      </c>
      <c r="L455" s="18" t="str">
        <f>VLOOKUP(E455,各职业基础配置!B:C,2,FALSE)</f>
        <v>[{32,1,1},{33,1,1},{34,1,1},{35,1,1},{7,1,1},{8,1,1},{9,1,1}]</v>
      </c>
      <c r="M455" s="18">
        <v>0</v>
      </c>
      <c r="N455" s="18">
        <f t="shared" si="81"/>
        <v>7</v>
      </c>
      <c r="O455" s="18">
        <f>SUMPRODUCT(P455:AI455,Sheet2!$B$3:$U$3)</f>
        <v>179144</v>
      </c>
      <c r="P455" s="18">
        <f>CEILING(INDEX([1]系统模型!$VD:$VD,MATCH(C455,[1]系统模型!$A:$A,0))*POWER(C455/220,3.8)-50+(1000-A455),1)</f>
        <v>3617</v>
      </c>
      <c r="Q455" s="18">
        <f>CEILING(INDEX([1]系统模型!$VE:$VE,MATCH(C455,[1]系统模型!$A:$A,0))*POWER(C455/220,4),1)</f>
        <v>444</v>
      </c>
      <c r="R455" s="18">
        <f>INT(INDEX([1]系统模型!$VF:$VF,MATCH(C455,[1]系统模型!$A:$A,0))*MAX(POWER(C455/180,4),0.5))</f>
        <v>27469</v>
      </c>
      <c r="S455" s="5">
        <v>1000</v>
      </c>
      <c r="T455" s="25">
        <v>0</v>
      </c>
      <c r="U455" s="25">
        <v>0</v>
      </c>
      <c r="V455" s="25">
        <v>0</v>
      </c>
      <c r="W455" s="25">
        <v>0</v>
      </c>
      <c r="X455" s="25">
        <f t="shared" si="82"/>
        <v>1373</v>
      </c>
      <c r="Y455" s="12">
        <v>0</v>
      </c>
      <c r="Z455" s="25">
        <v>100</v>
      </c>
      <c r="AA455" s="25">
        <v>150</v>
      </c>
      <c r="AB455" s="25">
        <v>0</v>
      </c>
      <c r="AC455" s="25">
        <v>0</v>
      </c>
      <c r="AD455" s="25">
        <v>0</v>
      </c>
      <c r="AE455" s="25">
        <f t="shared" si="83"/>
        <v>364</v>
      </c>
      <c r="AF455" s="25">
        <f t="shared" si="84"/>
        <v>364</v>
      </c>
      <c r="AG455" s="25">
        <v>0</v>
      </c>
      <c r="AH455" s="25">
        <f t="shared" si="85"/>
        <v>4900</v>
      </c>
      <c r="AI455" s="25">
        <f t="shared" si="86"/>
        <v>48</v>
      </c>
      <c r="AJ455" s="25">
        <v>1</v>
      </c>
      <c r="AK455" s="25">
        <v>1000</v>
      </c>
      <c r="AL455" s="25">
        <v>100</v>
      </c>
      <c r="AM455" s="26">
        <v>10</v>
      </c>
      <c r="AN455" s="26">
        <v>10</v>
      </c>
      <c r="AO455" s="22" t="s">
        <v>2211</v>
      </c>
      <c r="AP455" s="26">
        <v>0</v>
      </c>
      <c r="AQ455" s="26">
        <f t="shared" si="87"/>
        <v>540</v>
      </c>
      <c r="AR455" s="18" t="str">
        <f ca="1">CONCATENATE(OFFSET(Sheet1!$A$2,RANDBETWEEN(2,500),0,1,1),OFFSET(Sheet1!$A$2,RANDBETWEEN(2,500),RANDBETWEEN(1,5),1,1))</f>
        <v>安妮</v>
      </c>
      <c r="AS455">
        <f>SUMPRODUCT(P455:AI455,Sheet2!$B$3:$U$3)</f>
        <v>179144</v>
      </c>
    </row>
    <row r="456" spans="1:45" x14ac:dyDescent="0.15">
      <c r="A456" s="18">
        <v>455</v>
      </c>
      <c r="B456" s="18" t="s">
        <v>1128</v>
      </c>
      <c r="C456" s="18">
        <f t="shared" si="77"/>
        <v>182</v>
      </c>
      <c r="D456" s="19">
        <f t="shared" si="78"/>
        <v>3</v>
      </c>
      <c r="E456" s="19">
        <f>VLOOKUP(MOD(A456,4),各职业基础配置!C$32:D$35,2,FALSE)</f>
        <v>9</v>
      </c>
      <c r="F456" s="19">
        <f>IF(A456&lt;900,INDEX(各职业基础配置!C$23:C$28,MOD(ROW(A456),4)+1),0)</f>
        <v>8</v>
      </c>
      <c r="G456" s="19">
        <f t="shared" si="79"/>
        <v>37</v>
      </c>
      <c r="H456" s="27">
        <f t="shared" si="80"/>
        <v>2</v>
      </c>
      <c r="I456" s="6" t="s">
        <v>164</v>
      </c>
      <c r="J456" s="23" t="str">
        <f>VLOOKUP(E456,各职业基础配置!$B$9:$C$12,2,FALSE)</f>
        <v>116|117|118|4201|120</v>
      </c>
      <c r="K456" s="18" t="str">
        <f>VLOOKUP(E456,各职业基础配置!$B$15:$C$18,2,FALSE)</f>
        <v>28|29|30|31</v>
      </c>
      <c r="L456" s="18" t="str">
        <f>VLOOKUP(E456,各职业基础配置!B:C,2,FALSE)</f>
        <v>[{28,1,1},{29,1,1},{30,1,1},{31,1,1},{10,1,1},{11,1,1},{12,1,1}]</v>
      </c>
      <c r="M456" s="18">
        <v>0</v>
      </c>
      <c r="N456" s="18">
        <f t="shared" si="81"/>
        <v>3</v>
      </c>
      <c r="O456" s="18">
        <f>SUMPRODUCT(P456:AI456,Sheet2!$B$3:$U$3)</f>
        <v>179119</v>
      </c>
      <c r="P456" s="18">
        <f>CEILING(INDEX([1]系统模型!$VD:$VD,MATCH(C456,[1]系统模型!$A:$A,0))*POWER(C456/220,3.8)-50+(1000-A456),1)</f>
        <v>3616</v>
      </c>
      <c r="Q456" s="18">
        <f>CEILING(INDEX([1]系统模型!$VE:$VE,MATCH(C456,[1]系统模型!$A:$A,0))*POWER(C456/220,4),1)</f>
        <v>444</v>
      </c>
      <c r="R456" s="18">
        <f>INT(INDEX([1]系统模型!$VF:$VF,MATCH(C456,[1]系统模型!$A:$A,0))*MAX(POWER(C456/180,4),0.5))</f>
        <v>27469</v>
      </c>
      <c r="S456" s="5">
        <v>1000</v>
      </c>
      <c r="T456" s="25">
        <v>0</v>
      </c>
      <c r="U456" s="25">
        <v>0</v>
      </c>
      <c r="V456" s="25">
        <v>0</v>
      </c>
      <c r="W456" s="25">
        <v>0</v>
      </c>
      <c r="X456" s="25">
        <f t="shared" si="82"/>
        <v>1373</v>
      </c>
      <c r="Y456" s="12">
        <v>0</v>
      </c>
      <c r="Z456" s="25">
        <v>100</v>
      </c>
      <c r="AA456" s="25">
        <v>150</v>
      </c>
      <c r="AB456" s="25">
        <v>0</v>
      </c>
      <c r="AC456" s="25">
        <v>0</v>
      </c>
      <c r="AD456" s="25">
        <v>0</v>
      </c>
      <c r="AE456" s="25">
        <f t="shared" si="83"/>
        <v>364</v>
      </c>
      <c r="AF456" s="25">
        <f t="shared" si="84"/>
        <v>364</v>
      </c>
      <c r="AG456" s="25">
        <v>0</v>
      </c>
      <c r="AH456" s="25">
        <f t="shared" si="85"/>
        <v>4900</v>
      </c>
      <c r="AI456" s="25">
        <f t="shared" si="86"/>
        <v>48</v>
      </c>
      <c r="AJ456" s="25">
        <v>1</v>
      </c>
      <c r="AK456" s="25">
        <v>1000</v>
      </c>
      <c r="AL456" s="25">
        <v>100</v>
      </c>
      <c r="AM456" s="26">
        <v>10</v>
      </c>
      <c r="AN456" s="26">
        <v>10</v>
      </c>
      <c r="AO456" s="22" t="s">
        <v>2211</v>
      </c>
      <c r="AP456" s="26">
        <v>0</v>
      </c>
      <c r="AQ456" s="26">
        <f t="shared" si="87"/>
        <v>540</v>
      </c>
      <c r="AR456" s="18" t="str">
        <f ca="1">CONCATENATE(OFFSET(Sheet1!$A$2,RANDBETWEEN(2,500),0,1,1),OFFSET(Sheet1!$A$2,RANDBETWEEN(2,500),RANDBETWEEN(1,5),1,1))</f>
        <v>亨利潘妮</v>
      </c>
      <c r="AS456">
        <f>SUMPRODUCT(P456:AI456,Sheet2!$B$3:$U$3)</f>
        <v>179119</v>
      </c>
    </row>
    <row r="457" spans="1:45" x14ac:dyDescent="0.15">
      <c r="A457" s="23">
        <v>456</v>
      </c>
      <c r="B457" s="18" t="s">
        <v>1329</v>
      </c>
      <c r="C457" s="18">
        <f t="shared" si="77"/>
        <v>182</v>
      </c>
      <c r="D457" s="19">
        <f t="shared" si="78"/>
        <v>2</v>
      </c>
      <c r="E457" s="19">
        <f>VLOOKUP(MOD(A457,4),各职业基础配置!C$32:D$35,2,FALSE)</f>
        <v>1</v>
      </c>
      <c r="F457" s="19">
        <f>IF(A457&lt;900,INDEX(各职业基础配置!C$23:C$28,MOD(ROW(A457),4)+1),0)</f>
        <v>13</v>
      </c>
      <c r="G457" s="19">
        <f t="shared" si="79"/>
        <v>37</v>
      </c>
      <c r="H457" s="27">
        <f t="shared" si="80"/>
        <v>2</v>
      </c>
      <c r="I457" s="6" t="s">
        <v>164</v>
      </c>
      <c r="J457" s="23" t="str">
        <f>VLOOKUP(E457,各职业基础配置!$B$9:$C$12,2,FALSE)</f>
        <v>101|102|103|4201|105</v>
      </c>
      <c r="K457" s="18" t="str">
        <f>VLOOKUP(E457,各职业基础配置!$B$15:$C$18,2,FALSE)</f>
        <v>24|25|26|27</v>
      </c>
      <c r="L457" s="18" t="str">
        <f>VLOOKUP(E457,各职业基础配置!B:C,2,FALSE)</f>
        <v>[{24,1,1},{25,1,1},{26,1,1},{27,1,1},{1,1,1},{2,1,1},{3,1,1}]</v>
      </c>
      <c r="M457" s="18">
        <v>0</v>
      </c>
      <c r="N457" s="18">
        <f t="shared" si="81"/>
        <v>3</v>
      </c>
      <c r="O457" s="18">
        <f>SUMPRODUCT(P457:AI457,Sheet2!$B$3:$U$3)</f>
        <v>179094</v>
      </c>
      <c r="P457" s="18">
        <f>CEILING(INDEX([1]系统模型!$VD:$VD,MATCH(C457,[1]系统模型!$A:$A,0))*POWER(C457/220,3.8)-50+(1000-A457),1)</f>
        <v>3615</v>
      </c>
      <c r="Q457" s="18">
        <f>CEILING(INDEX([1]系统模型!$VE:$VE,MATCH(C457,[1]系统模型!$A:$A,0))*POWER(C457/220,4),1)</f>
        <v>444</v>
      </c>
      <c r="R457" s="18">
        <f>INT(INDEX([1]系统模型!$VF:$VF,MATCH(C457,[1]系统模型!$A:$A,0))*MAX(POWER(C457/180,4),0.5))</f>
        <v>27469</v>
      </c>
      <c r="S457" s="5">
        <v>1000</v>
      </c>
      <c r="T457" s="25">
        <v>0</v>
      </c>
      <c r="U457" s="25">
        <v>0</v>
      </c>
      <c r="V457" s="25">
        <v>0</v>
      </c>
      <c r="W457" s="25">
        <v>0</v>
      </c>
      <c r="X457" s="25">
        <f t="shared" si="82"/>
        <v>1373</v>
      </c>
      <c r="Y457" s="12">
        <v>0</v>
      </c>
      <c r="Z457" s="25">
        <v>100</v>
      </c>
      <c r="AA457" s="25">
        <v>150</v>
      </c>
      <c r="AB457" s="25">
        <v>0</v>
      </c>
      <c r="AC457" s="25">
        <v>0</v>
      </c>
      <c r="AD457" s="25">
        <v>0</v>
      </c>
      <c r="AE457" s="25">
        <f t="shared" si="83"/>
        <v>364</v>
      </c>
      <c r="AF457" s="25">
        <f t="shared" si="84"/>
        <v>364</v>
      </c>
      <c r="AG457" s="25">
        <v>0</v>
      </c>
      <c r="AH457" s="25">
        <f t="shared" si="85"/>
        <v>4900</v>
      </c>
      <c r="AI457" s="25">
        <f t="shared" si="86"/>
        <v>48</v>
      </c>
      <c r="AJ457" s="25">
        <v>1</v>
      </c>
      <c r="AK457" s="25">
        <v>1000</v>
      </c>
      <c r="AL457" s="25">
        <v>100</v>
      </c>
      <c r="AM457" s="26">
        <v>10</v>
      </c>
      <c r="AN457" s="26">
        <v>10</v>
      </c>
      <c r="AO457" s="22" t="s">
        <v>2211</v>
      </c>
      <c r="AP457" s="26">
        <v>0</v>
      </c>
      <c r="AQ457" s="26">
        <f t="shared" si="87"/>
        <v>540</v>
      </c>
      <c r="AR457" s="18" t="str">
        <f ca="1">CONCATENATE(OFFSET(Sheet1!$A$2,RANDBETWEEN(2,500),0,1,1),OFFSET(Sheet1!$A$2,RANDBETWEEN(2,500),RANDBETWEEN(1,5),1,1))</f>
        <v>霍雷肖妮可</v>
      </c>
      <c r="AS457">
        <f>SUMPRODUCT(P457:AI457,Sheet2!$B$3:$U$3)</f>
        <v>179094</v>
      </c>
    </row>
    <row r="458" spans="1:45" x14ac:dyDescent="0.15">
      <c r="A458" s="18">
        <v>457</v>
      </c>
      <c r="B458" s="18" t="s">
        <v>2005</v>
      </c>
      <c r="C458" s="18">
        <f t="shared" si="77"/>
        <v>182</v>
      </c>
      <c r="D458" s="19">
        <f t="shared" si="78"/>
        <v>3</v>
      </c>
      <c r="E458" s="19">
        <f>VLOOKUP(MOD(A458,4),各职业基础配置!C$32:D$35,2,FALSE)</f>
        <v>3</v>
      </c>
      <c r="F458" s="19">
        <f>IF(A458&lt;900,INDEX(各职业基础配置!C$23:C$28,MOD(ROW(A458),4)+1),0)</f>
        <v>14</v>
      </c>
      <c r="G458" s="19">
        <f t="shared" si="79"/>
        <v>37</v>
      </c>
      <c r="H458" s="27">
        <f t="shared" si="80"/>
        <v>2</v>
      </c>
      <c r="I458" s="6" t="s">
        <v>164</v>
      </c>
      <c r="J458" s="23" t="str">
        <f>VLOOKUP(E458,各职业基础配置!$B$9:$C$12,2,FALSE)</f>
        <v>106|107|108|4201|110</v>
      </c>
      <c r="K458" s="18" t="str">
        <f>VLOOKUP(E458,各职业基础配置!$B$15:$C$18,2,FALSE)</f>
        <v>20|21|22|23</v>
      </c>
      <c r="L458" s="18" t="str">
        <f>VLOOKUP(E458,各职业基础配置!B:C,2,FALSE)</f>
        <v>[{20,1,1},{21,1,1},{22,1,1},{23,1,1},{4,1,1},{5,1,1},{6,1,1}]</v>
      </c>
      <c r="M458" s="18">
        <v>0</v>
      </c>
      <c r="N458" s="18">
        <f t="shared" si="81"/>
        <v>7</v>
      </c>
      <c r="O458" s="18">
        <f>SUMPRODUCT(P458:AI458,Sheet2!$B$3:$U$3)</f>
        <v>179069</v>
      </c>
      <c r="P458" s="18">
        <f>CEILING(INDEX([1]系统模型!$VD:$VD,MATCH(C458,[1]系统模型!$A:$A,0))*POWER(C458/220,3.8)-50+(1000-A458),1)</f>
        <v>3614</v>
      </c>
      <c r="Q458" s="18">
        <f>CEILING(INDEX([1]系统模型!$VE:$VE,MATCH(C458,[1]系统模型!$A:$A,0))*POWER(C458/220,4),1)</f>
        <v>444</v>
      </c>
      <c r="R458" s="18">
        <f>INT(INDEX([1]系统模型!$VF:$VF,MATCH(C458,[1]系统模型!$A:$A,0))*MAX(POWER(C458/180,4),0.5))</f>
        <v>27469</v>
      </c>
      <c r="S458" s="5">
        <v>1000</v>
      </c>
      <c r="T458" s="25">
        <v>0</v>
      </c>
      <c r="U458" s="25">
        <v>0</v>
      </c>
      <c r="V458" s="25">
        <v>0</v>
      </c>
      <c r="W458" s="25">
        <v>0</v>
      </c>
      <c r="X458" s="25">
        <f t="shared" si="82"/>
        <v>1373</v>
      </c>
      <c r="Y458" s="12">
        <v>0</v>
      </c>
      <c r="Z458" s="25">
        <v>100</v>
      </c>
      <c r="AA458" s="25">
        <v>150</v>
      </c>
      <c r="AB458" s="25">
        <v>0</v>
      </c>
      <c r="AC458" s="25">
        <v>0</v>
      </c>
      <c r="AD458" s="25">
        <v>0</v>
      </c>
      <c r="AE458" s="25">
        <f t="shared" si="83"/>
        <v>364</v>
      </c>
      <c r="AF458" s="25">
        <f t="shared" si="84"/>
        <v>364</v>
      </c>
      <c r="AG458" s="25">
        <v>0</v>
      </c>
      <c r="AH458" s="25">
        <f t="shared" si="85"/>
        <v>4900</v>
      </c>
      <c r="AI458" s="25">
        <f t="shared" si="86"/>
        <v>48</v>
      </c>
      <c r="AJ458" s="25">
        <v>1</v>
      </c>
      <c r="AK458" s="25">
        <v>1000</v>
      </c>
      <c r="AL458" s="25">
        <v>100</v>
      </c>
      <c r="AM458" s="26">
        <v>10</v>
      </c>
      <c r="AN458" s="26">
        <v>10</v>
      </c>
      <c r="AO458" s="22" t="s">
        <v>2211</v>
      </c>
      <c r="AP458" s="26">
        <v>0</v>
      </c>
      <c r="AQ458" s="26">
        <f t="shared" si="87"/>
        <v>540</v>
      </c>
      <c r="AR458" s="18" t="str">
        <f ca="1">CONCATENATE(OFFSET(Sheet1!$A$2,RANDBETWEEN(2,500),0,1,1),OFFSET(Sheet1!$A$2,RANDBETWEEN(2,500),RANDBETWEEN(1,5),1,1))</f>
        <v>鲍德温普莉斯拉</v>
      </c>
      <c r="AS458">
        <f>SUMPRODUCT(P458:AI458,Sheet2!$B$3:$U$3)</f>
        <v>179069</v>
      </c>
    </row>
    <row r="459" spans="1:45" x14ac:dyDescent="0.15">
      <c r="A459" s="18">
        <v>458</v>
      </c>
      <c r="B459" s="18" t="s">
        <v>2006</v>
      </c>
      <c r="C459" s="18">
        <f t="shared" si="77"/>
        <v>182</v>
      </c>
      <c r="D459" s="19">
        <f t="shared" si="78"/>
        <v>2</v>
      </c>
      <c r="E459" s="19">
        <f>VLOOKUP(MOD(A459,4),各职业基础配置!C$32:D$35,2,FALSE)</f>
        <v>6</v>
      </c>
      <c r="F459" s="19">
        <f>IF(A459&lt;900,INDEX(各职业基础配置!C$23:C$28,MOD(ROW(A459),4)+1),0)</f>
        <v>16</v>
      </c>
      <c r="G459" s="19">
        <f t="shared" si="79"/>
        <v>37</v>
      </c>
      <c r="H459" s="27">
        <f t="shared" si="80"/>
        <v>2</v>
      </c>
      <c r="I459" s="6" t="s">
        <v>164</v>
      </c>
      <c r="J459" s="23" t="str">
        <f>VLOOKUP(E459,各职业基础配置!$B$9:$C$12,2,FALSE)</f>
        <v>111|112|113|4201|115</v>
      </c>
      <c r="K459" s="18" t="str">
        <f>VLOOKUP(E459,各职业基础配置!$B$15:$C$18,2,FALSE)</f>
        <v>32|33|34</v>
      </c>
      <c r="L459" s="18" t="str">
        <f>VLOOKUP(E459,各职业基础配置!B:C,2,FALSE)</f>
        <v>[{32,1,1},{33,1,1},{34,1,1},{35,1,1},{7,1,1},{8,1,1},{9,1,1}]</v>
      </c>
      <c r="M459" s="18">
        <v>0</v>
      </c>
      <c r="N459" s="18">
        <f t="shared" si="81"/>
        <v>7</v>
      </c>
      <c r="O459" s="18">
        <f>SUMPRODUCT(P459:AI459,Sheet2!$B$3:$U$3)</f>
        <v>179044</v>
      </c>
      <c r="P459" s="18">
        <f>CEILING(INDEX([1]系统模型!$VD:$VD,MATCH(C459,[1]系统模型!$A:$A,0))*POWER(C459/220,3.8)-50+(1000-A459),1)</f>
        <v>3613</v>
      </c>
      <c r="Q459" s="18">
        <f>CEILING(INDEX([1]系统模型!$VE:$VE,MATCH(C459,[1]系统模型!$A:$A,0))*POWER(C459/220,4),1)</f>
        <v>444</v>
      </c>
      <c r="R459" s="18">
        <f>INT(INDEX([1]系统模型!$VF:$VF,MATCH(C459,[1]系统模型!$A:$A,0))*MAX(POWER(C459/180,4),0.5))</f>
        <v>27469</v>
      </c>
      <c r="S459" s="5">
        <v>1000</v>
      </c>
      <c r="T459" s="25">
        <v>0</v>
      </c>
      <c r="U459" s="25">
        <v>0</v>
      </c>
      <c r="V459" s="25">
        <v>0</v>
      </c>
      <c r="W459" s="25">
        <v>0</v>
      </c>
      <c r="X459" s="25">
        <f t="shared" si="82"/>
        <v>1373</v>
      </c>
      <c r="Y459" s="12">
        <v>0</v>
      </c>
      <c r="Z459" s="25">
        <v>100</v>
      </c>
      <c r="AA459" s="25">
        <v>150</v>
      </c>
      <c r="AB459" s="25">
        <v>0</v>
      </c>
      <c r="AC459" s="25">
        <v>0</v>
      </c>
      <c r="AD459" s="25">
        <v>0</v>
      </c>
      <c r="AE459" s="25">
        <f t="shared" si="83"/>
        <v>364</v>
      </c>
      <c r="AF459" s="25">
        <f t="shared" si="84"/>
        <v>364</v>
      </c>
      <c r="AG459" s="25">
        <v>0</v>
      </c>
      <c r="AH459" s="25">
        <f t="shared" si="85"/>
        <v>4900</v>
      </c>
      <c r="AI459" s="25">
        <f t="shared" si="86"/>
        <v>48</v>
      </c>
      <c r="AJ459" s="25">
        <v>1</v>
      </c>
      <c r="AK459" s="25">
        <v>1000</v>
      </c>
      <c r="AL459" s="25">
        <v>100</v>
      </c>
      <c r="AM459" s="26">
        <v>10</v>
      </c>
      <c r="AN459" s="26">
        <v>10</v>
      </c>
      <c r="AO459" s="22" t="s">
        <v>2211</v>
      </c>
      <c r="AP459" s="26">
        <v>0</v>
      </c>
      <c r="AQ459" s="26">
        <f t="shared" si="87"/>
        <v>540</v>
      </c>
      <c r="AR459" s="18" t="str">
        <f ca="1">CONCATENATE(OFFSET(Sheet1!$A$2,RANDBETWEEN(2,500),0,1,1),OFFSET(Sheet1!$A$2,RANDBETWEEN(2,500),RANDBETWEEN(1,5),1,1))</f>
        <v>弗里曼希尔达</v>
      </c>
      <c r="AS459">
        <f>SUMPRODUCT(P459:AI459,Sheet2!$B$3:$U$3)</f>
        <v>179044</v>
      </c>
    </row>
    <row r="460" spans="1:45" x14ac:dyDescent="0.15">
      <c r="A460" s="23">
        <v>459</v>
      </c>
      <c r="B460" s="18" t="s">
        <v>1383</v>
      </c>
      <c r="C460" s="18">
        <f t="shared" si="77"/>
        <v>182</v>
      </c>
      <c r="D460" s="19">
        <f t="shared" si="78"/>
        <v>3</v>
      </c>
      <c r="E460" s="19">
        <f>VLOOKUP(MOD(A460,4),各职业基础配置!C$32:D$35,2,FALSE)</f>
        <v>9</v>
      </c>
      <c r="F460" s="19">
        <f>IF(A460&lt;900,INDEX(各职业基础配置!C$23:C$28,MOD(ROW(A460),4)+1),0)</f>
        <v>8</v>
      </c>
      <c r="G460" s="19">
        <f t="shared" si="79"/>
        <v>37</v>
      </c>
      <c r="H460" s="27">
        <f t="shared" si="80"/>
        <v>2</v>
      </c>
      <c r="I460" s="6" t="s">
        <v>164</v>
      </c>
      <c r="J460" s="23" t="str">
        <f>VLOOKUP(E460,各职业基础配置!$B$9:$C$12,2,FALSE)</f>
        <v>116|117|118|4201|120</v>
      </c>
      <c r="K460" s="18" t="str">
        <f>VLOOKUP(E460,各职业基础配置!$B$15:$C$18,2,FALSE)</f>
        <v>28|29|30|31</v>
      </c>
      <c r="L460" s="18" t="str">
        <f>VLOOKUP(E460,各职业基础配置!B:C,2,FALSE)</f>
        <v>[{28,1,1},{29,1,1},{30,1,1},{31,1,1},{10,1,1},{11,1,1},{12,1,1}]</v>
      </c>
      <c r="M460" s="18">
        <v>0</v>
      </c>
      <c r="N460" s="18">
        <f t="shared" si="81"/>
        <v>3</v>
      </c>
      <c r="O460" s="18">
        <f>SUMPRODUCT(P460:AI460,Sheet2!$B$3:$U$3)</f>
        <v>179019</v>
      </c>
      <c r="P460" s="18">
        <f>CEILING(INDEX([1]系统模型!$VD:$VD,MATCH(C460,[1]系统模型!$A:$A,0))*POWER(C460/220,3.8)-50+(1000-A460),1)</f>
        <v>3612</v>
      </c>
      <c r="Q460" s="18">
        <f>CEILING(INDEX([1]系统模型!$VE:$VE,MATCH(C460,[1]系统模型!$A:$A,0))*POWER(C460/220,4),1)</f>
        <v>444</v>
      </c>
      <c r="R460" s="18">
        <f>INT(INDEX([1]系统模型!$VF:$VF,MATCH(C460,[1]系统模型!$A:$A,0))*MAX(POWER(C460/180,4),0.5))</f>
        <v>27469</v>
      </c>
      <c r="S460" s="5">
        <v>1000</v>
      </c>
      <c r="T460" s="25">
        <v>0</v>
      </c>
      <c r="U460" s="25">
        <v>0</v>
      </c>
      <c r="V460" s="25">
        <v>0</v>
      </c>
      <c r="W460" s="25">
        <v>0</v>
      </c>
      <c r="X460" s="25">
        <f t="shared" si="82"/>
        <v>1373</v>
      </c>
      <c r="Y460" s="12">
        <v>0</v>
      </c>
      <c r="Z460" s="25">
        <v>100</v>
      </c>
      <c r="AA460" s="25">
        <v>150</v>
      </c>
      <c r="AB460" s="25">
        <v>0</v>
      </c>
      <c r="AC460" s="25">
        <v>0</v>
      </c>
      <c r="AD460" s="25">
        <v>0</v>
      </c>
      <c r="AE460" s="25">
        <f t="shared" si="83"/>
        <v>364</v>
      </c>
      <c r="AF460" s="25">
        <f t="shared" si="84"/>
        <v>364</v>
      </c>
      <c r="AG460" s="25">
        <v>0</v>
      </c>
      <c r="AH460" s="25">
        <f t="shared" si="85"/>
        <v>4900</v>
      </c>
      <c r="AI460" s="25">
        <f t="shared" si="86"/>
        <v>48</v>
      </c>
      <c r="AJ460" s="25">
        <v>1</v>
      </c>
      <c r="AK460" s="25">
        <v>1000</v>
      </c>
      <c r="AL460" s="25">
        <v>100</v>
      </c>
      <c r="AM460" s="26">
        <v>10</v>
      </c>
      <c r="AN460" s="26">
        <v>10</v>
      </c>
      <c r="AO460" s="22" t="s">
        <v>2211</v>
      </c>
      <c r="AP460" s="26">
        <v>0</v>
      </c>
      <c r="AQ460" s="26">
        <f t="shared" si="87"/>
        <v>540</v>
      </c>
      <c r="AR460" s="18" t="str">
        <f ca="1">CONCATENATE(OFFSET(Sheet1!$A$2,RANDBETWEEN(2,500),0,1,1),OFFSET(Sheet1!$A$2,RANDBETWEEN(2,500),RANDBETWEEN(1,5),1,1))</f>
        <v>费利克斯</v>
      </c>
      <c r="AS460">
        <f>SUMPRODUCT(P460:AI460,Sheet2!$B$3:$U$3)</f>
        <v>179019</v>
      </c>
    </row>
    <row r="461" spans="1:45" x14ac:dyDescent="0.15">
      <c r="A461" s="18">
        <v>460</v>
      </c>
      <c r="B461" s="18" t="s">
        <v>2007</v>
      </c>
      <c r="C461" s="18">
        <f t="shared" si="77"/>
        <v>181</v>
      </c>
      <c r="D461" s="19">
        <f t="shared" si="78"/>
        <v>2</v>
      </c>
      <c r="E461" s="19">
        <f>VLOOKUP(MOD(A461,4),各职业基础配置!C$32:D$35,2,FALSE)</f>
        <v>1</v>
      </c>
      <c r="F461" s="19">
        <f>IF(A461&lt;900,INDEX(各职业基础配置!C$23:C$28,MOD(ROW(A461),4)+1),0)</f>
        <v>13</v>
      </c>
      <c r="G461" s="19">
        <f t="shared" si="79"/>
        <v>36</v>
      </c>
      <c r="H461" s="27">
        <f t="shared" si="80"/>
        <v>2</v>
      </c>
      <c r="I461" s="6" t="s">
        <v>164</v>
      </c>
      <c r="J461" s="23" t="str">
        <f>VLOOKUP(E461,各职业基础配置!$B$9:$C$12,2,FALSE)</f>
        <v>101|102|103|4201|105</v>
      </c>
      <c r="K461" s="18" t="str">
        <f>VLOOKUP(E461,各职业基础配置!$B$15:$C$18,2,FALSE)</f>
        <v>24|25|26|27</v>
      </c>
      <c r="L461" s="18" t="str">
        <f>VLOOKUP(E461,各职业基础配置!B:C,2,FALSE)</f>
        <v>[{24,1,1},{25,1,1},{26,1,1},{27,1,1},{1,1,1},{2,1,1},{3,1,1}]</v>
      </c>
      <c r="M461" s="18">
        <v>0</v>
      </c>
      <c r="N461" s="18">
        <f t="shared" si="81"/>
        <v>3</v>
      </c>
      <c r="O461" s="18">
        <f>SUMPRODUCT(P461:AI461,Sheet2!$B$3:$U$3)</f>
        <v>174830</v>
      </c>
      <c r="P461" s="18">
        <f>CEILING(INDEX([1]系统模型!$VD:$VD,MATCH(C461,[1]系统模型!$A:$A,0))*POWER(C461/220,3.8)-50+(1000-A461),1)</f>
        <v>3513</v>
      </c>
      <c r="Q461" s="18">
        <f>CEILING(INDEX([1]系统模型!$VE:$VE,MATCH(C461,[1]系统模型!$A:$A,0))*POWER(C461/220,4),1)</f>
        <v>430</v>
      </c>
      <c r="R461" s="18">
        <f>INT(INDEX([1]系统模型!$VF:$VF,MATCH(C461,[1]系统模型!$A:$A,0))*MAX(POWER(C461/180,4),0.5))</f>
        <v>26630</v>
      </c>
      <c r="S461" s="5">
        <v>1000</v>
      </c>
      <c r="T461" s="25">
        <v>0</v>
      </c>
      <c r="U461" s="25">
        <v>0</v>
      </c>
      <c r="V461" s="25">
        <v>0</v>
      </c>
      <c r="W461" s="25">
        <v>0</v>
      </c>
      <c r="X461" s="25">
        <f t="shared" si="82"/>
        <v>1331</v>
      </c>
      <c r="Y461" s="12">
        <v>0</v>
      </c>
      <c r="Z461" s="25">
        <v>100</v>
      </c>
      <c r="AA461" s="25">
        <v>150</v>
      </c>
      <c r="AB461" s="25">
        <v>0</v>
      </c>
      <c r="AC461" s="25">
        <v>0</v>
      </c>
      <c r="AD461" s="25">
        <v>0</v>
      </c>
      <c r="AE461" s="25">
        <f t="shared" si="83"/>
        <v>362</v>
      </c>
      <c r="AF461" s="25">
        <f t="shared" si="84"/>
        <v>362</v>
      </c>
      <c r="AG461" s="25">
        <v>0</v>
      </c>
      <c r="AH461" s="25">
        <f t="shared" si="85"/>
        <v>4825</v>
      </c>
      <c r="AI461" s="25">
        <f t="shared" si="86"/>
        <v>46</v>
      </c>
      <c r="AJ461" s="25">
        <v>1</v>
      </c>
      <c r="AK461" s="25">
        <v>1000</v>
      </c>
      <c r="AL461" s="25">
        <v>100</v>
      </c>
      <c r="AM461" s="26">
        <v>10</v>
      </c>
      <c r="AN461" s="26">
        <v>10</v>
      </c>
      <c r="AO461" s="22" t="s">
        <v>2211</v>
      </c>
      <c r="AP461" s="26">
        <v>0</v>
      </c>
      <c r="AQ461" s="26">
        <f t="shared" si="87"/>
        <v>540</v>
      </c>
      <c r="AR461" s="18" t="str">
        <f ca="1">CONCATENATE(OFFSET(Sheet1!$A$2,RANDBETWEEN(2,500),0,1,1),OFFSET(Sheet1!$A$2,RANDBETWEEN(2,500),RANDBETWEEN(1,5),1,1))</f>
        <v>克莱门特</v>
      </c>
      <c r="AS461">
        <f>SUMPRODUCT(P461:AI461,Sheet2!$B$3:$U$3)</f>
        <v>174830</v>
      </c>
    </row>
    <row r="462" spans="1:45" x14ac:dyDescent="0.15">
      <c r="A462" s="18">
        <v>461</v>
      </c>
      <c r="B462" s="18" t="s">
        <v>1171</v>
      </c>
      <c r="C462" s="18">
        <f t="shared" si="77"/>
        <v>181</v>
      </c>
      <c r="D462" s="19">
        <f t="shared" si="78"/>
        <v>3</v>
      </c>
      <c r="E462" s="19">
        <f>VLOOKUP(MOD(A462,4),各职业基础配置!C$32:D$35,2,FALSE)</f>
        <v>3</v>
      </c>
      <c r="F462" s="19">
        <f>IF(A462&lt;900,INDEX(各职业基础配置!C$23:C$28,MOD(ROW(A462),4)+1),0)</f>
        <v>14</v>
      </c>
      <c r="G462" s="19">
        <f t="shared" si="79"/>
        <v>36</v>
      </c>
      <c r="H462" s="27">
        <f t="shared" si="80"/>
        <v>2</v>
      </c>
      <c r="I462" s="6" t="s">
        <v>164</v>
      </c>
      <c r="J462" s="23" t="str">
        <f>VLOOKUP(E462,各职业基础配置!$B$9:$C$12,2,FALSE)</f>
        <v>106|107|108|4201|110</v>
      </c>
      <c r="K462" s="18" t="str">
        <f>VLOOKUP(E462,各职业基础配置!$B$15:$C$18,2,FALSE)</f>
        <v>20|21|22|23</v>
      </c>
      <c r="L462" s="18" t="str">
        <f>VLOOKUP(E462,各职业基础配置!B:C,2,FALSE)</f>
        <v>[{20,1,1},{21,1,1},{22,1,1},{23,1,1},{4,1,1},{5,1,1},{6,1,1}]</v>
      </c>
      <c r="M462" s="18">
        <v>0</v>
      </c>
      <c r="N462" s="18">
        <f t="shared" si="81"/>
        <v>7</v>
      </c>
      <c r="O462" s="18">
        <f>SUMPRODUCT(P462:AI462,Sheet2!$B$3:$U$3)</f>
        <v>174805</v>
      </c>
      <c r="P462" s="18">
        <f>CEILING(INDEX([1]系统模型!$VD:$VD,MATCH(C462,[1]系统模型!$A:$A,0))*POWER(C462/220,3.8)-50+(1000-A462),1)</f>
        <v>3512</v>
      </c>
      <c r="Q462" s="18">
        <f>CEILING(INDEX([1]系统模型!$VE:$VE,MATCH(C462,[1]系统模型!$A:$A,0))*POWER(C462/220,4),1)</f>
        <v>430</v>
      </c>
      <c r="R462" s="18">
        <f>INT(INDEX([1]系统模型!$VF:$VF,MATCH(C462,[1]系统模型!$A:$A,0))*MAX(POWER(C462/180,4),0.5))</f>
        <v>26630</v>
      </c>
      <c r="S462" s="5">
        <v>1000</v>
      </c>
      <c r="T462" s="25">
        <v>0</v>
      </c>
      <c r="U462" s="25">
        <v>0</v>
      </c>
      <c r="V462" s="25">
        <v>0</v>
      </c>
      <c r="W462" s="25">
        <v>0</v>
      </c>
      <c r="X462" s="25">
        <f t="shared" si="82"/>
        <v>1331</v>
      </c>
      <c r="Y462" s="12">
        <v>0</v>
      </c>
      <c r="Z462" s="25">
        <v>100</v>
      </c>
      <c r="AA462" s="25">
        <v>150</v>
      </c>
      <c r="AB462" s="25">
        <v>0</v>
      </c>
      <c r="AC462" s="25">
        <v>0</v>
      </c>
      <c r="AD462" s="25">
        <v>0</v>
      </c>
      <c r="AE462" s="25">
        <f t="shared" si="83"/>
        <v>362</v>
      </c>
      <c r="AF462" s="25">
        <f t="shared" si="84"/>
        <v>362</v>
      </c>
      <c r="AG462" s="25">
        <v>0</v>
      </c>
      <c r="AH462" s="25">
        <f t="shared" si="85"/>
        <v>4825</v>
      </c>
      <c r="AI462" s="25">
        <f t="shared" si="86"/>
        <v>46</v>
      </c>
      <c r="AJ462" s="25">
        <v>1</v>
      </c>
      <c r="AK462" s="25">
        <v>1000</v>
      </c>
      <c r="AL462" s="25">
        <v>100</v>
      </c>
      <c r="AM462" s="26">
        <v>10</v>
      </c>
      <c r="AN462" s="26">
        <v>10</v>
      </c>
      <c r="AO462" s="22" t="s">
        <v>2211</v>
      </c>
      <c r="AP462" s="26">
        <v>0</v>
      </c>
      <c r="AQ462" s="26">
        <f t="shared" si="87"/>
        <v>530</v>
      </c>
      <c r="AR462" s="18" t="str">
        <f ca="1">CONCATENATE(OFFSET(Sheet1!$A$2,RANDBETWEEN(2,500),0,1,1),OFFSET(Sheet1!$A$2,RANDBETWEEN(2,500),RANDBETWEEN(1,5),1,1))</f>
        <v>布鲁斯特莉达</v>
      </c>
      <c r="AS462">
        <f>SUMPRODUCT(P462:AI462,Sheet2!$B$3:$U$3)</f>
        <v>174805</v>
      </c>
    </row>
    <row r="463" spans="1:45" x14ac:dyDescent="0.15">
      <c r="A463" s="23">
        <v>462</v>
      </c>
      <c r="B463" s="18" t="s">
        <v>2008</v>
      </c>
      <c r="C463" s="18">
        <f t="shared" si="77"/>
        <v>181</v>
      </c>
      <c r="D463" s="19">
        <f t="shared" si="78"/>
        <v>2</v>
      </c>
      <c r="E463" s="19">
        <f>VLOOKUP(MOD(A463,4),各职业基础配置!C$32:D$35,2,FALSE)</f>
        <v>6</v>
      </c>
      <c r="F463" s="19">
        <f>IF(A463&lt;900,INDEX(各职业基础配置!C$23:C$28,MOD(ROW(A463),4)+1),0)</f>
        <v>16</v>
      </c>
      <c r="G463" s="19">
        <f t="shared" si="79"/>
        <v>36</v>
      </c>
      <c r="H463" s="27">
        <f t="shared" si="80"/>
        <v>2</v>
      </c>
      <c r="I463" s="6" t="s">
        <v>164</v>
      </c>
      <c r="J463" s="23" t="str">
        <f>VLOOKUP(E463,各职业基础配置!$B$9:$C$12,2,FALSE)</f>
        <v>111|112|113|4201|115</v>
      </c>
      <c r="K463" s="18" t="str">
        <f>VLOOKUP(E463,各职业基础配置!$B$15:$C$18,2,FALSE)</f>
        <v>32|33|34</v>
      </c>
      <c r="L463" s="18" t="str">
        <f>VLOOKUP(E463,各职业基础配置!B:C,2,FALSE)</f>
        <v>[{32,1,1},{33,1,1},{34,1,1},{35,1,1},{7,1,1},{8,1,1},{9,1,1}]</v>
      </c>
      <c r="M463" s="18">
        <v>0</v>
      </c>
      <c r="N463" s="18">
        <f t="shared" si="81"/>
        <v>7</v>
      </c>
      <c r="O463" s="18">
        <f>SUMPRODUCT(P463:AI463,Sheet2!$B$3:$U$3)</f>
        <v>174780</v>
      </c>
      <c r="P463" s="18">
        <f>CEILING(INDEX([1]系统模型!$VD:$VD,MATCH(C463,[1]系统模型!$A:$A,0))*POWER(C463/220,3.8)-50+(1000-A463),1)</f>
        <v>3511</v>
      </c>
      <c r="Q463" s="18">
        <f>CEILING(INDEX([1]系统模型!$VE:$VE,MATCH(C463,[1]系统模型!$A:$A,0))*POWER(C463/220,4),1)</f>
        <v>430</v>
      </c>
      <c r="R463" s="18">
        <f>INT(INDEX([1]系统模型!$VF:$VF,MATCH(C463,[1]系统模型!$A:$A,0))*MAX(POWER(C463/180,4),0.5))</f>
        <v>26630</v>
      </c>
      <c r="S463" s="5">
        <v>1000</v>
      </c>
      <c r="T463" s="25">
        <v>0</v>
      </c>
      <c r="U463" s="25">
        <v>0</v>
      </c>
      <c r="V463" s="25">
        <v>0</v>
      </c>
      <c r="W463" s="25">
        <v>0</v>
      </c>
      <c r="X463" s="25">
        <f t="shared" si="82"/>
        <v>1331</v>
      </c>
      <c r="Y463" s="12">
        <v>0</v>
      </c>
      <c r="Z463" s="25">
        <v>100</v>
      </c>
      <c r="AA463" s="25">
        <v>150</v>
      </c>
      <c r="AB463" s="25">
        <v>0</v>
      </c>
      <c r="AC463" s="25">
        <v>0</v>
      </c>
      <c r="AD463" s="25">
        <v>0</v>
      </c>
      <c r="AE463" s="25">
        <f t="shared" si="83"/>
        <v>362</v>
      </c>
      <c r="AF463" s="25">
        <f t="shared" si="84"/>
        <v>362</v>
      </c>
      <c r="AG463" s="25">
        <v>0</v>
      </c>
      <c r="AH463" s="25">
        <f t="shared" si="85"/>
        <v>4825</v>
      </c>
      <c r="AI463" s="25">
        <f t="shared" si="86"/>
        <v>46</v>
      </c>
      <c r="AJ463" s="25">
        <v>1</v>
      </c>
      <c r="AK463" s="25">
        <v>1000</v>
      </c>
      <c r="AL463" s="25">
        <v>100</v>
      </c>
      <c r="AM463" s="26">
        <v>10</v>
      </c>
      <c r="AN463" s="26">
        <v>10</v>
      </c>
      <c r="AO463" s="22" t="s">
        <v>2211</v>
      </c>
      <c r="AP463" s="26">
        <v>0</v>
      </c>
      <c r="AQ463" s="26">
        <f t="shared" si="87"/>
        <v>530</v>
      </c>
      <c r="AR463" s="18" t="str">
        <f ca="1">CONCATENATE(OFFSET(Sheet1!$A$2,RANDBETWEEN(2,500),0,1,1),OFFSET(Sheet1!$A$2,RANDBETWEEN(2,500),RANDBETWEEN(1,5),1,1))</f>
        <v>格罗特诸葛</v>
      </c>
      <c r="AS463">
        <f>SUMPRODUCT(P463:AI463,Sheet2!$B$3:$U$3)</f>
        <v>174780</v>
      </c>
    </row>
    <row r="464" spans="1:45" x14ac:dyDescent="0.15">
      <c r="A464" s="18">
        <v>463</v>
      </c>
      <c r="B464" s="18" t="s">
        <v>461</v>
      </c>
      <c r="C464" s="18">
        <f t="shared" si="77"/>
        <v>181</v>
      </c>
      <c r="D464" s="19">
        <f t="shared" si="78"/>
        <v>3</v>
      </c>
      <c r="E464" s="19">
        <f>VLOOKUP(MOD(A464,4),各职业基础配置!C$32:D$35,2,FALSE)</f>
        <v>9</v>
      </c>
      <c r="F464" s="19">
        <f>IF(A464&lt;900,INDEX(各职业基础配置!C$23:C$28,MOD(ROW(A464),4)+1),0)</f>
        <v>8</v>
      </c>
      <c r="G464" s="19">
        <f t="shared" si="79"/>
        <v>36</v>
      </c>
      <c r="H464" s="27">
        <f t="shared" si="80"/>
        <v>2</v>
      </c>
      <c r="I464" s="6" t="s">
        <v>164</v>
      </c>
      <c r="J464" s="23" t="str">
        <f>VLOOKUP(E464,各职业基础配置!$B$9:$C$12,2,FALSE)</f>
        <v>116|117|118|4201|120</v>
      </c>
      <c r="K464" s="18" t="str">
        <f>VLOOKUP(E464,各职业基础配置!$B$15:$C$18,2,FALSE)</f>
        <v>28|29|30|31</v>
      </c>
      <c r="L464" s="18" t="str">
        <f>VLOOKUP(E464,各职业基础配置!B:C,2,FALSE)</f>
        <v>[{28,1,1},{29,1,1},{30,1,1},{31,1,1},{10,1,1},{11,1,1},{12,1,1}]</v>
      </c>
      <c r="M464" s="18">
        <v>0</v>
      </c>
      <c r="N464" s="18">
        <f t="shared" si="81"/>
        <v>3</v>
      </c>
      <c r="O464" s="18">
        <f>SUMPRODUCT(P464:AI464,Sheet2!$B$3:$U$3)</f>
        <v>174755</v>
      </c>
      <c r="P464" s="18">
        <f>CEILING(INDEX([1]系统模型!$VD:$VD,MATCH(C464,[1]系统模型!$A:$A,0))*POWER(C464/220,3.8)-50+(1000-A464),1)</f>
        <v>3510</v>
      </c>
      <c r="Q464" s="18">
        <f>CEILING(INDEX([1]系统模型!$VE:$VE,MATCH(C464,[1]系统模型!$A:$A,0))*POWER(C464/220,4),1)</f>
        <v>430</v>
      </c>
      <c r="R464" s="18">
        <f>INT(INDEX([1]系统模型!$VF:$VF,MATCH(C464,[1]系统模型!$A:$A,0))*MAX(POWER(C464/180,4),0.5))</f>
        <v>26630</v>
      </c>
      <c r="S464" s="5">
        <v>1000</v>
      </c>
      <c r="T464" s="25">
        <v>0</v>
      </c>
      <c r="U464" s="25">
        <v>0</v>
      </c>
      <c r="V464" s="25">
        <v>0</v>
      </c>
      <c r="W464" s="25">
        <v>0</v>
      </c>
      <c r="X464" s="25">
        <f t="shared" si="82"/>
        <v>1331</v>
      </c>
      <c r="Y464" s="12">
        <v>0</v>
      </c>
      <c r="Z464" s="25">
        <v>100</v>
      </c>
      <c r="AA464" s="25">
        <v>150</v>
      </c>
      <c r="AB464" s="25">
        <v>0</v>
      </c>
      <c r="AC464" s="25">
        <v>0</v>
      </c>
      <c r="AD464" s="25">
        <v>0</v>
      </c>
      <c r="AE464" s="25">
        <f t="shared" si="83"/>
        <v>362</v>
      </c>
      <c r="AF464" s="25">
        <f t="shared" si="84"/>
        <v>362</v>
      </c>
      <c r="AG464" s="25">
        <v>0</v>
      </c>
      <c r="AH464" s="25">
        <f t="shared" si="85"/>
        <v>4825</v>
      </c>
      <c r="AI464" s="25">
        <f t="shared" si="86"/>
        <v>46</v>
      </c>
      <c r="AJ464" s="25">
        <v>1</v>
      </c>
      <c r="AK464" s="25">
        <v>1000</v>
      </c>
      <c r="AL464" s="25">
        <v>100</v>
      </c>
      <c r="AM464" s="26">
        <v>10</v>
      </c>
      <c r="AN464" s="26">
        <v>10</v>
      </c>
      <c r="AO464" s="22" t="s">
        <v>2211</v>
      </c>
      <c r="AP464" s="26">
        <v>0</v>
      </c>
      <c r="AQ464" s="26">
        <f t="shared" si="87"/>
        <v>530</v>
      </c>
      <c r="AR464" s="18" t="str">
        <f ca="1">CONCATENATE(OFFSET(Sheet1!$A$2,RANDBETWEEN(2,500),0,1,1),OFFSET(Sheet1!$A$2,RANDBETWEEN(2,500),RANDBETWEEN(1,5),1,1))</f>
        <v>詹宁斯</v>
      </c>
      <c r="AS464">
        <f>SUMPRODUCT(P464:AI464,Sheet2!$B$3:$U$3)</f>
        <v>174755</v>
      </c>
    </row>
    <row r="465" spans="1:45" x14ac:dyDescent="0.15">
      <c r="A465" s="18">
        <v>464</v>
      </c>
      <c r="B465" s="18" t="s">
        <v>1326</v>
      </c>
      <c r="C465" s="18">
        <f t="shared" si="77"/>
        <v>181</v>
      </c>
      <c r="D465" s="19">
        <f t="shared" si="78"/>
        <v>2</v>
      </c>
      <c r="E465" s="19">
        <f>VLOOKUP(MOD(A465,4),各职业基础配置!C$32:D$35,2,FALSE)</f>
        <v>1</v>
      </c>
      <c r="F465" s="19">
        <f>IF(A465&lt;900,INDEX(各职业基础配置!C$23:C$28,MOD(ROW(A465),4)+1),0)</f>
        <v>13</v>
      </c>
      <c r="G465" s="19">
        <f t="shared" si="79"/>
        <v>36</v>
      </c>
      <c r="H465" s="27">
        <f t="shared" si="80"/>
        <v>2</v>
      </c>
      <c r="I465" s="6" t="s">
        <v>164</v>
      </c>
      <c r="J465" s="23" t="str">
        <f>VLOOKUP(E465,各职业基础配置!$B$9:$C$12,2,FALSE)</f>
        <v>101|102|103|4201|105</v>
      </c>
      <c r="K465" s="18" t="str">
        <f>VLOOKUP(E465,各职业基础配置!$B$15:$C$18,2,FALSE)</f>
        <v>24|25|26|27</v>
      </c>
      <c r="L465" s="18" t="str">
        <f>VLOOKUP(E465,各职业基础配置!B:C,2,FALSE)</f>
        <v>[{24,1,1},{25,1,1},{26,1,1},{27,1,1},{1,1,1},{2,1,1},{3,1,1}]</v>
      </c>
      <c r="M465" s="18">
        <v>0</v>
      </c>
      <c r="N465" s="18">
        <f t="shared" si="81"/>
        <v>3</v>
      </c>
      <c r="O465" s="18">
        <f>SUMPRODUCT(P465:AI465,Sheet2!$B$3:$U$3)</f>
        <v>174730</v>
      </c>
      <c r="P465" s="18">
        <f>CEILING(INDEX([1]系统模型!$VD:$VD,MATCH(C465,[1]系统模型!$A:$A,0))*POWER(C465/220,3.8)-50+(1000-A465),1)</f>
        <v>3509</v>
      </c>
      <c r="Q465" s="18">
        <f>CEILING(INDEX([1]系统模型!$VE:$VE,MATCH(C465,[1]系统模型!$A:$A,0))*POWER(C465/220,4),1)</f>
        <v>430</v>
      </c>
      <c r="R465" s="18">
        <f>INT(INDEX([1]系统模型!$VF:$VF,MATCH(C465,[1]系统模型!$A:$A,0))*MAX(POWER(C465/180,4),0.5))</f>
        <v>26630</v>
      </c>
      <c r="S465" s="5">
        <v>1000</v>
      </c>
      <c r="T465" s="25">
        <v>0</v>
      </c>
      <c r="U465" s="25">
        <v>0</v>
      </c>
      <c r="V465" s="25">
        <v>0</v>
      </c>
      <c r="W465" s="25">
        <v>0</v>
      </c>
      <c r="X465" s="25">
        <f t="shared" si="82"/>
        <v>1331</v>
      </c>
      <c r="Y465" s="12">
        <v>0</v>
      </c>
      <c r="Z465" s="25">
        <v>100</v>
      </c>
      <c r="AA465" s="25">
        <v>150</v>
      </c>
      <c r="AB465" s="25">
        <v>0</v>
      </c>
      <c r="AC465" s="25">
        <v>0</v>
      </c>
      <c r="AD465" s="25">
        <v>0</v>
      </c>
      <c r="AE465" s="25">
        <f t="shared" si="83"/>
        <v>362</v>
      </c>
      <c r="AF465" s="25">
        <f t="shared" si="84"/>
        <v>362</v>
      </c>
      <c r="AG465" s="25">
        <v>0</v>
      </c>
      <c r="AH465" s="25">
        <f t="shared" si="85"/>
        <v>4825</v>
      </c>
      <c r="AI465" s="25">
        <f t="shared" si="86"/>
        <v>46</v>
      </c>
      <c r="AJ465" s="25">
        <v>1</v>
      </c>
      <c r="AK465" s="25">
        <v>1000</v>
      </c>
      <c r="AL465" s="25">
        <v>100</v>
      </c>
      <c r="AM465" s="26">
        <v>10</v>
      </c>
      <c r="AN465" s="26">
        <v>10</v>
      </c>
      <c r="AO465" s="22" t="s">
        <v>2211</v>
      </c>
      <c r="AP465" s="26">
        <v>0</v>
      </c>
      <c r="AQ465" s="26">
        <f t="shared" si="87"/>
        <v>530</v>
      </c>
      <c r="AR465" s="18" t="str">
        <f ca="1">CONCATENATE(OFFSET(Sheet1!$A$2,RANDBETWEEN(2,500),0,1,1),OFFSET(Sheet1!$A$2,RANDBETWEEN(2,500),RANDBETWEEN(1,5),1,1))</f>
        <v>多萝西娅</v>
      </c>
      <c r="AS465">
        <f>SUMPRODUCT(P465:AI465,Sheet2!$B$3:$U$3)</f>
        <v>174730</v>
      </c>
    </row>
    <row r="466" spans="1:45" x14ac:dyDescent="0.15">
      <c r="A466" s="23">
        <v>465</v>
      </c>
      <c r="B466" s="18" t="s">
        <v>397</v>
      </c>
      <c r="C466" s="18">
        <f t="shared" si="77"/>
        <v>181</v>
      </c>
      <c r="D466" s="19">
        <f t="shared" si="78"/>
        <v>3</v>
      </c>
      <c r="E466" s="19">
        <f>VLOOKUP(MOD(A466,4),各职业基础配置!C$32:D$35,2,FALSE)</f>
        <v>3</v>
      </c>
      <c r="F466" s="19">
        <f>IF(A466&lt;900,INDEX(各职业基础配置!C$23:C$28,MOD(ROW(A466),4)+1),0)</f>
        <v>14</v>
      </c>
      <c r="G466" s="19">
        <f t="shared" si="79"/>
        <v>36</v>
      </c>
      <c r="H466" s="27">
        <f t="shared" si="80"/>
        <v>2</v>
      </c>
      <c r="I466" s="6" t="s">
        <v>164</v>
      </c>
      <c r="J466" s="23" t="str">
        <f>VLOOKUP(E466,各职业基础配置!$B$9:$C$12,2,FALSE)</f>
        <v>106|107|108|4201|110</v>
      </c>
      <c r="K466" s="18" t="str">
        <f>VLOOKUP(E466,各职业基础配置!$B$15:$C$18,2,FALSE)</f>
        <v>20|21|22|23</v>
      </c>
      <c r="L466" s="18" t="str">
        <f>VLOOKUP(E466,各职业基础配置!B:C,2,FALSE)</f>
        <v>[{20,1,1},{21,1,1},{22,1,1},{23,1,1},{4,1,1},{5,1,1},{6,1,1}]</v>
      </c>
      <c r="M466" s="18">
        <v>0</v>
      </c>
      <c r="N466" s="18">
        <f t="shared" si="81"/>
        <v>7</v>
      </c>
      <c r="O466" s="18">
        <f>SUMPRODUCT(P466:AI466,Sheet2!$B$3:$U$3)</f>
        <v>174705</v>
      </c>
      <c r="P466" s="18">
        <f>CEILING(INDEX([1]系统模型!$VD:$VD,MATCH(C466,[1]系统模型!$A:$A,0))*POWER(C466/220,3.8)-50+(1000-A466),1)</f>
        <v>3508</v>
      </c>
      <c r="Q466" s="18">
        <f>CEILING(INDEX([1]系统模型!$VE:$VE,MATCH(C466,[1]系统模型!$A:$A,0))*POWER(C466/220,4),1)</f>
        <v>430</v>
      </c>
      <c r="R466" s="18">
        <f>INT(INDEX([1]系统模型!$VF:$VF,MATCH(C466,[1]系统模型!$A:$A,0))*MAX(POWER(C466/180,4),0.5))</f>
        <v>26630</v>
      </c>
      <c r="S466" s="5">
        <v>1000</v>
      </c>
      <c r="T466" s="25">
        <v>0</v>
      </c>
      <c r="U466" s="25">
        <v>0</v>
      </c>
      <c r="V466" s="25">
        <v>0</v>
      </c>
      <c r="W466" s="25">
        <v>0</v>
      </c>
      <c r="X466" s="25">
        <f t="shared" si="82"/>
        <v>1331</v>
      </c>
      <c r="Y466" s="12">
        <v>0</v>
      </c>
      <c r="Z466" s="25">
        <v>100</v>
      </c>
      <c r="AA466" s="25">
        <v>150</v>
      </c>
      <c r="AB466" s="25">
        <v>0</v>
      </c>
      <c r="AC466" s="25">
        <v>0</v>
      </c>
      <c r="AD466" s="25">
        <v>0</v>
      </c>
      <c r="AE466" s="25">
        <f t="shared" si="83"/>
        <v>362</v>
      </c>
      <c r="AF466" s="25">
        <f t="shared" si="84"/>
        <v>362</v>
      </c>
      <c r="AG466" s="25">
        <v>0</v>
      </c>
      <c r="AH466" s="25">
        <f t="shared" si="85"/>
        <v>4825</v>
      </c>
      <c r="AI466" s="25">
        <f t="shared" si="86"/>
        <v>46</v>
      </c>
      <c r="AJ466" s="25">
        <v>1</v>
      </c>
      <c r="AK466" s="25">
        <v>1000</v>
      </c>
      <c r="AL466" s="25">
        <v>100</v>
      </c>
      <c r="AM466" s="26">
        <v>10</v>
      </c>
      <c r="AN466" s="26">
        <v>10</v>
      </c>
      <c r="AO466" s="22" t="s">
        <v>2211</v>
      </c>
      <c r="AP466" s="26">
        <v>0</v>
      </c>
      <c r="AQ466" s="26">
        <f t="shared" si="87"/>
        <v>530</v>
      </c>
      <c r="AR466" s="18" t="str">
        <f ca="1">CONCATENATE(OFFSET(Sheet1!$A$2,RANDBETWEEN(2,500),0,1,1),OFFSET(Sheet1!$A$2,RANDBETWEEN(2,500),RANDBETWEEN(1,5),1,1))</f>
        <v>克雷吉</v>
      </c>
      <c r="AS466">
        <f>SUMPRODUCT(P466:AI466,Sheet2!$B$3:$U$3)</f>
        <v>174705</v>
      </c>
    </row>
    <row r="467" spans="1:45" x14ac:dyDescent="0.15">
      <c r="A467" s="18">
        <v>466</v>
      </c>
      <c r="B467" s="18" t="s">
        <v>1002</v>
      </c>
      <c r="C467" s="18">
        <f t="shared" si="77"/>
        <v>181</v>
      </c>
      <c r="D467" s="19">
        <f t="shared" si="78"/>
        <v>2</v>
      </c>
      <c r="E467" s="19">
        <f>VLOOKUP(MOD(A467,4),各职业基础配置!C$32:D$35,2,FALSE)</f>
        <v>6</v>
      </c>
      <c r="F467" s="19">
        <f>IF(A467&lt;900,INDEX(各职业基础配置!C$23:C$28,MOD(ROW(A467),4)+1),0)</f>
        <v>16</v>
      </c>
      <c r="G467" s="19">
        <f t="shared" si="79"/>
        <v>36</v>
      </c>
      <c r="H467" s="27">
        <f t="shared" si="80"/>
        <v>2</v>
      </c>
      <c r="I467" s="6" t="s">
        <v>164</v>
      </c>
      <c r="J467" s="23" t="str">
        <f>VLOOKUP(E467,各职业基础配置!$B$9:$C$12,2,FALSE)</f>
        <v>111|112|113|4201|115</v>
      </c>
      <c r="K467" s="18" t="str">
        <f>VLOOKUP(E467,各职业基础配置!$B$15:$C$18,2,FALSE)</f>
        <v>32|33|34</v>
      </c>
      <c r="L467" s="18" t="str">
        <f>VLOOKUP(E467,各职业基础配置!B:C,2,FALSE)</f>
        <v>[{32,1,1},{33,1,1},{34,1,1},{35,1,1},{7,1,1},{8,1,1},{9,1,1}]</v>
      </c>
      <c r="M467" s="18">
        <v>0</v>
      </c>
      <c r="N467" s="18">
        <f t="shared" si="81"/>
        <v>7</v>
      </c>
      <c r="O467" s="18">
        <f>SUMPRODUCT(P467:AI467,Sheet2!$B$3:$U$3)</f>
        <v>174680</v>
      </c>
      <c r="P467" s="18">
        <f>CEILING(INDEX([1]系统模型!$VD:$VD,MATCH(C467,[1]系统模型!$A:$A,0))*POWER(C467/220,3.8)-50+(1000-A467),1)</f>
        <v>3507</v>
      </c>
      <c r="Q467" s="18">
        <f>CEILING(INDEX([1]系统模型!$VE:$VE,MATCH(C467,[1]系统模型!$A:$A,0))*POWER(C467/220,4),1)</f>
        <v>430</v>
      </c>
      <c r="R467" s="18">
        <f>INT(INDEX([1]系统模型!$VF:$VF,MATCH(C467,[1]系统模型!$A:$A,0))*MAX(POWER(C467/180,4),0.5))</f>
        <v>26630</v>
      </c>
      <c r="S467" s="5">
        <v>1000</v>
      </c>
      <c r="T467" s="25">
        <v>0</v>
      </c>
      <c r="U467" s="25">
        <v>0</v>
      </c>
      <c r="V467" s="25">
        <v>0</v>
      </c>
      <c r="W467" s="25">
        <v>0</v>
      </c>
      <c r="X467" s="25">
        <f t="shared" si="82"/>
        <v>1331</v>
      </c>
      <c r="Y467" s="12">
        <v>0</v>
      </c>
      <c r="Z467" s="25">
        <v>100</v>
      </c>
      <c r="AA467" s="25">
        <v>150</v>
      </c>
      <c r="AB467" s="25">
        <v>0</v>
      </c>
      <c r="AC467" s="25">
        <v>0</v>
      </c>
      <c r="AD467" s="25">
        <v>0</v>
      </c>
      <c r="AE467" s="25">
        <f t="shared" si="83"/>
        <v>362</v>
      </c>
      <c r="AF467" s="25">
        <f t="shared" si="84"/>
        <v>362</v>
      </c>
      <c r="AG467" s="25">
        <v>0</v>
      </c>
      <c r="AH467" s="25">
        <f t="shared" si="85"/>
        <v>4825</v>
      </c>
      <c r="AI467" s="25">
        <f t="shared" si="86"/>
        <v>46</v>
      </c>
      <c r="AJ467" s="25">
        <v>1</v>
      </c>
      <c r="AK467" s="25">
        <v>1000</v>
      </c>
      <c r="AL467" s="25">
        <v>100</v>
      </c>
      <c r="AM467" s="26">
        <v>10</v>
      </c>
      <c r="AN467" s="26">
        <v>10</v>
      </c>
      <c r="AO467" s="22" t="s">
        <v>2211</v>
      </c>
      <c r="AP467" s="26">
        <v>0</v>
      </c>
      <c r="AQ467" s="26">
        <f t="shared" si="87"/>
        <v>530</v>
      </c>
      <c r="AR467" s="18" t="str">
        <f ca="1">CONCATENATE(OFFSET(Sheet1!$A$2,RANDBETWEEN(2,500),0,1,1),OFFSET(Sheet1!$A$2,RANDBETWEEN(2,500),RANDBETWEEN(1,5),1,1))</f>
        <v>琼森</v>
      </c>
      <c r="AS467">
        <f>SUMPRODUCT(P467:AI467,Sheet2!$B$3:$U$3)</f>
        <v>174680</v>
      </c>
    </row>
    <row r="468" spans="1:45" x14ac:dyDescent="0.15">
      <c r="A468" s="18">
        <v>467</v>
      </c>
      <c r="B468" s="18" t="s">
        <v>2009</v>
      </c>
      <c r="C468" s="18">
        <f t="shared" si="77"/>
        <v>180</v>
      </c>
      <c r="D468" s="19">
        <f t="shared" si="78"/>
        <v>3</v>
      </c>
      <c r="E468" s="19">
        <f>VLOOKUP(MOD(A468,4),各职业基础配置!C$32:D$35,2,FALSE)</f>
        <v>9</v>
      </c>
      <c r="F468" s="19">
        <f>IF(A468&lt;900,INDEX(各职业基础配置!C$23:C$28,MOD(ROW(A468),4)+1),0)</f>
        <v>8</v>
      </c>
      <c r="G468" s="19">
        <f t="shared" si="79"/>
        <v>34</v>
      </c>
      <c r="H468" s="27">
        <f t="shared" si="80"/>
        <v>2</v>
      </c>
      <c r="I468" s="6" t="s">
        <v>164</v>
      </c>
      <c r="J468" s="23" t="str">
        <f>VLOOKUP(E468,各职业基础配置!$B$9:$C$12,2,FALSE)</f>
        <v>116|117|118|4201|120</v>
      </c>
      <c r="K468" s="18" t="str">
        <f>VLOOKUP(E468,各职业基础配置!$B$15:$C$18,2,FALSE)</f>
        <v>28|29|30|31</v>
      </c>
      <c r="L468" s="18" t="str">
        <f>VLOOKUP(E468,各职业基础配置!B:C,2,FALSE)</f>
        <v>[{28,1,1},{29,1,1},{30,1,1},{31,1,1},{10,1,1},{11,1,1},{12,1,1}]</v>
      </c>
      <c r="M468" s="18">
        <v>0</v>
      </c>
      <c r="N468" s="18">
        <f t="shared" si="81"/>
        <v>3</v>
      </c>
      <c r="O468" s="18">
        <f>SUMPRODUCT(P468:AI468,Sheet2!$B$3:$U$3)</f>
        <v>170301</v>
      </c>
      <c r="P468" s="18">
        <f>CEILING(INDEX([1]系统模型!$VD:$VD,MATCH(C468,[1]系统模型!$A:$A,0))*POWER(C468/220,3.8)-50+(1000-A468),1)</f>
        <v>3406</v>
      </c>
      <c r="Q468" s="18">
        <f>CEILING(INDEX([1]系统模型!$VE:$VE,MATCH(C468,[1]系统模型!$A:$A,0))*POWER(C468/220,4),1)</f>
        <v>415</v>
      </c>
      <c r="R468" s="18">
        <f>INT(INDEX([1]系统模型!$VF:$VF,MATCH(C468,[1]系统模型!$A:$A,0))*MAX(POWER(C468/180,4),0.5))</f>
        <v>25651</v>
      </c>
      <c r="S468" s="5">
        <v>1000</v>
      </c>
      <c r="T468" s="25">
        <v>0</v>
      </c>
      <c r="U468" s="25">
        <v>0</v>
      </c>
      <c r="V468" s="25">
        <v>0</v>
      </c>
      <c r="W468" s="25">
        <v>0</v>
      </c>
      <c r="X468" s="25">
        <f t="shared" si="82"/>
        <v>1282</v>
      </c>
      <c r="Y468" s="12">
        <v>0</v>
      </c>
      <c r="Z468" s="25">
        <v>100</v>
      </c>
      <c r="AA468" s="25">
        <v>150</v>
      </c>
      <c r="AB468" s="25">
        <v>0</v>
      </c>
      <c r="AC468" s="25">
        <v>0</v>
      </c>
      <c r="AD468" s="25">
        <v>0</v>
      </c>
      <c r="AE468" s="25">
        <f t="shared" si="83"/>
        <v>360</v>
      </c>
      <c r="AF468" s="25">
        <f t="shared" si="84"/>
        <v>360</v>
      </c>
      <c r="AG468" s="25">
        <v>0</v>
      </c>
      <c r="AH468" s="25">
        <f t="shared" si="85"/>
        <v>4750</v>
      </c>
      <c r="AI468" s="25">
        <f t="shared" si="86"/>
        <v>45</v>
      </c>
      <c r="AJ468" s="25">
        <v>1</v>
      </c>
      <c r="AK468" s="25">
        <v>1000</v>
      </c>
      <c r="AL468" s="25">
        <v>100</v>
      </c>
      <c r="AM468" s="26">
        <v>10</v>
      </c>
      <c r="AN468" s="26">
        <v>10</v>
      </c>
      <c r="AO468" s="22" t="s">
        <v>2211</v>
      </c>
      <c r="AP468" s="26">
        <v>0</v>
      </c>
      <c r="AQ468" s="26">
        <f t="shared" si="87"/>
        <v>530</v>
      </c>
      <c r="AR468" s="18" t="str">
        <f ca="1">CONCATENATE(OFFSET(Sheet1!$A$2,RANDBETWEEN(2,500),0,1,1),OFFSET(Sheet1!$A$2,RANDBETWEEN(2,500),RANDBETWEEN(1,5),1,1))</f>
        <v>边沁小静</v>
      </c>
      <c r="AS468">
        <f>SUMPRODUCT(P468:AI468,Sheet2!$B$3:$U$3)</f>
        <v>170301</v>
      </c>
    </row>
    <row r="469" spans="1:45" x14ac:dyDescent="0.15">
      <c r="A469" s="23">
        <v>468</v>
      </c>
      <c r="B469" s="18" t="s">
        <v>1056</v>
      </c>
      <c r="C469" s="18">
        <f t="shared" si="77"/>
        <v>180</v>
      </c>
      <c r="D469" s="19">
        <f t="shared" si="78"/>
        <v>2</v>
      </c>
      <c r="E469" s="19">
        <f>VLOOKUP(MOD(A469,4),各职业基础配置!C$32:D$35,2,FALSE)</f>
        <v>1</v>
      </c>
      <c r="F469" s="19">
        <f>IF(A469&lt;900,INDEX(各职业基础配置!C$23:C$28,MOD(ROW(A469),4)+1),0)</f>
        <v>13</v>
      </c>
      <c r="G469" s="19">
        <f t="shared" si="79"/>
        <v>34</v>
      </c>
      <c r="H469" s="27">
        <f t="shared" si="80"/>
        <v>2</v>
      </c>
      <c r="I469" s="6" t="s">
        <v>164</v>
      </c>
      <c r="J469" s="23" t="str">
        <f>VLOOKUP(E469,各职业基础配置!$B$9:$C$12,2,FALSE)</f>
        <v>101|102|103|4201|105</v>
      </c>
      <c r="K469" s="18" t="str">
        <f>VLOOKUP(E469,各职业基础配置!$B$15:$C$18,2,FALSE)</f>
        <v>24|25|26|27</v>
      </c>
      <c r="L469" s="18" t="str">
        <f>VLOOKUP(E469,各职业基础配置!B:C,2,FALSE)</f>
        <v>[{24,1,1},{25,1,1},{26,1,1},{27,1,1},{1,1,1},{2,1,1},{3,1,1}]</v>
      </c>
      <c r="M469" s="18">
        <v>0</v>
      </c>
      <c r="N469" s="18">
        <f t="shared" si="81"/>
        <v>3</v>
      </c>
      <c r="O469" s="18">
        <f>SUMPRODUCT(P469:AI469,Sheet2!$B$3:$U$3)</f>
        <v>170276</v>
      </c>
      <c r="P469" s="18">
        <f>CEILING(INDEX([1]系统模型!$VD:$VD,MATCH(C469,[1]系统模型!$A:$A,0))*POWER(C469/220,3.8)-50+(1000-A469),1)</f>
        <v>3405</v>
      </c>
      <c r="Q469" s="18">
        <f>CEILING(INDEX([1]系统模型!$VE:$VE,MATCH(C469,[1]系统模型!$A:$A,0))*POWER(C469/220,4),1)</f>
        <v>415</v>
      </c>
      <c r="R469" s="18">
        <f>INT(INDEX([1]系统模型!$VF:$VF,MATCH(C469,[1]系统模型!$A:$A,0))*MAX(POWER(C469/180,4),0.5))</f>
        <v>25651</v>
      </c>
      <c r="S469" s="5">
        <v>1000</v>
      </c>
      <c r="T469" s="25">
        <v>0</v>
      </c>
      <c r="U469" s="25">
        <v>0</v>
      </c>
      <c r="V469" s="25">
        <v>0</v>
      </c>
      <c r="W469" s="25">
        <v>0</v>
      </c>
      <c r="X469" s="25">
        <f t="shared" si="82"/>
        <v>1282</v>
      </c>
      <c r="Y469" s="12">
        <v>0</v>
      </c>
      <c r="Z469" s="25">
        <v>100</v>
      </c>
      <c r="AA469" s="25">
        <v>150</v>
      </c>
      <c r="AB469" s="25">
        <v>0</v>
      </c>
      <c r="AC469" s="25">
        <v>0</v>
      </c>
      <c r="AD469" s="25">
        <v>0</v>
      </c>
      <c r="AE469" s="25">
        <f t="shared" si="83"/>
        <v>360</v>
      </c>
      <c r="AF469" s="25">
        <f t="shared" si="84"/>
        <v>360</v>
      </c>
      <c r="AG469" s="25">
        <v>0</v>
      </c>
      <c r="AH469" s="25">
        <f t="shared" si="85"/>
        <v>4750</v>
      </c>
      <c r="AI469" s="25">
        <f t="shared" si="86"/>
        <v>45</v>
      </c>
      <c r="AJ469" s="25">
        <v>1</v>
      </c>
      <c r="AK469" s="25">
        <v>1000</v>
      </c>
      <c r="AL469" s="25">
        <v>100</v>
      </c>
      <c r="AM469" s="26">
        <v>10</v>
      </c>
      <c r="AN469" s="26">
        <v>10</v>
      </c>
      <c r="AO469" s="22" t="s">
        <v>2211</v>
      </c>
      <c r="AP469" s="26">
        <v>0</v>
      </c>
      <c r="AQ469" s="26">
        <f t="shared" si="87"/>
        <v>530</v>
      </c>
      <c r="AR469" s="18" t="str">
        <f ca="1">CONCATENATE(OFFSET(Sheet1!$A$2,RANDBETWEEN(2,500),0,1,1),OFFSET(Sheet1!$A$2,RANDBETWEEN(2,500),RANDBETWEEN(1,5),1,1))</f>
        <v>凯瑟琳</v>
      </c>
      <c r="AS469">
        <f>SUMPRODUCT(P469:AI469,Sheet2!$B$3:$U$3)</f>
        <v>170276</v>
      </c>
    </row>
    <row r="470" spans="1:45" x14ac:dyDescent="0.15">
      <c r="A470" s="18">
        <v>469</v>
      </c>
      <c r="B470" s="18" t="s">
        <v>2010</v>
      </c>
      <c r="C470" s="18">
        <f t="shared" si="77"/>
        <v>180</v>
      </c>
      <c r="D470" s="19">
        <f t="shared" si="78"/>
        <v>3</v>
      </c>
      <c r="E470" s="19">
        <f>VLOOKUP(MOD(A470,4),各职业基础配置!C$32:D$35,2,FALSE)</f>
        <v>3</v>
      </c>
      <c r="F470" s="19">
        <f>IF(A470&lt;900,INDEX(各职业基础配置!C$23:C$28,MOD(ROW(A470),4)+1),0)</f>
        <v>14</v>
      </c>
      <c r="G470" s="19">
        <f t="shared" si="79"/>
        <v>34</v>
      </c>
      <c r="H470" s="27">
        <f t="shared" si="80"/>
        <v>2</v>
      </c>
      <c r="I470" s="6" t="s">
        <v>164</v>
      </c>
      <c r="J470" s="23" t="str">
        <f>VLOOKUP(E470,各职业基础配置!$B$9:$C$12,2,FALSE)</f>
        <v>106|107|108|4201|110</v>
      </c>
      <c r="K470" s="18" t="str">
        <f>VLOOKUP(E470,各职业基础配置!$B$15:$C$18,2,FALSE)</f>
        <v>20|21|22|23</v>
      </c>
      <c r="L470" s="18" t="str">
        <f>VLOOKUP(E470,各职业基础配置!B:C,2,FALSE)</f>
        <v>[{20,1,1},{21,1,1},{22,1,1},{23,1,1},{4,1,1},{5,1,1},{6,1,1}]</v>
      </c>
      <c r="M470" s="18">
        <v>0</v>
      </c>
      <c r="N470" s="18">
        <f t="shared" si="81"/>
        <v>7</v>
      </c>
      <c r="O470" s="18">
        <f>SUMPRODUCT(P470:AI470,Sheet2!$B$3:$U$3)</f>
        <v>170251</v>
      </c>
      <c r="P470" s="18">
        <f>CEILING(INDEX([1]系统模型!$VD:$VD,MATCH(C470,[1]系统模型!$A:$A,0))*POWER(C470/220,3.8)-50+(1000-A470),1)</f>
        <v>3404</v>
      </c>
      <c r="Q470" s="18">
        <f>CEILING(INDEX([1]系统模型!$VE:$VE,MATCH(C470,[1]系统模型!$A:$A,0))*POWER(C470/220,4),1)</f>
        <v>415</v>
      </c>
      <c r="R470" s="18">
        <f>INT(INDEX([1]系统模型!$VF:$VF,MATCH(C470,[1]系统模型!$A:$A,0))*MAX(POWER(C470/180,4),0.5))</f>
        <v>25651</v>
      </c>
      <c r="S470" s="5">
        <v>1000</v>
      </c>
      <c r="T470" s="25">
        <v>0</v>
      </c>
      <c r="U470" s="25">
        <v>0</v>
      </c>
      <c r="V470" s="25">
        <v>0</v>
      </c>
      <c r="W470" s="25">
        <v>0</v>
      </c>
      <c r="X470" s="25">
        <f t="shared" si="82"/>
        <v>1282</v>
      </c>
      <c r="Y470" s="12">
        <v>0</v>
      </c>
      <c r="Z470" s="25">
        <v>100</v>
      </c>
      <c r="AA470" s="25">
        <v>150</v>
      </c>
      <c r="AB470" s="25">
        <v>0</v>
      </c>
      <c r="AC470" s="25">
        <v>0</v>
      </c>
      <c r="AD470" s="25">
        <v>0</v>
      </c>
      <c r="AE470" s="25">
        <f t="shared" si="83"/>
        <v>360</v>
      </c>
      <c r="AF470" s="25">
        <f t="shared" si="84"/>
        <v>360</v>
      </c>
      <c r="AG470" s="25">
        <v>0</v>
      </c>
      <c r="AH470" s="25">
        <f t="shared" si="85"/>
        <v>4750</v>
      </c>
      <c r="AI470" s="25">
        <f t="shared" si="86"/>
        <v>45</v>
      </c>
      <c r="AJ470" s="25">
        <v>1</v>
      </c>
      <c r="AK470" s="25">
        <v>1000</v>
      </c>
      <c r="AL470" s="25">
        <v>100</v>
      </c>
      <c r="AM470" s="26">
        <v>10</v>
      </c>
      <c r="AN470" s="26">
        <v>10</v>
      </c>
      <c r="AO470" s="22" t="s">
        <v>2211</v>
      </c>
      <c r="AP470" s="26">
        <v>0</v>
      </c>
      <c r="AQ470" s="26">
        <f t="shared" si="87"/>
        <v>530</v>
      </c>
      <c r="AR470" s="18" t="str">
        <f ca="1">CONCATENATE(OFFSET(Sheet1!$A$2,RANDBETWEEN(2,500),0,1,1),OFFSET(Sheet1!$A$2,RANDBETWEEN(2,500),RANDBETWEEN(1,5),1,1))</f>
        <v>迪克</v>
      </c>
      <c r="AS470">
        <f>SUMPRODUCT(P470:AI470,Sheet2!$B$3:$U$3)</f>
        <v>170251</v>
      </c>
    </row>
    <row r="471" spans="1:45" x14ac:dyDescent="0.15">
      <c r="A471" s="18">
        <v>470</v>
      </c>
      <c r="B471" s="18" t="s">
        <v>429</v>
      </c>
      <c r="C471" s="18">
        <f t="shared" si="77"/>
        <v>180</v>
      </c>
      <c r="D471" s="19">
        <f t="shared" si="78"/>
        <v>2</v>
      </c>
      <c r="E471" s="19">
        <f>VLOOKUP(MOD(A471,4),各职业基础配置!C$32:D$35,2,FALSE)</f>
        <v>6</v>
      </c>
      <c r="F471" s="19">
        <f>IF(A471&lt;900,INDEX(各职业基础配置!C$23:C$28,MOD(ROW(A471),4)+1),0)</f>
        <v>16</v>
      </c>
      <c r="G471" s="19">
        <f t="shared" si="79"/>
        <v>34</v>
      </c>
      <c r="H471" s="27">
        <f t="shared" si="80"/>
        <v>2</v>
      </c>
      <c r="I471" s="6" t="s">
        <v>164</v>
      </c>
      <c r="J471" s="23" t="str">
        <f>VLOOKUP(E471,各职业基础配置!$B$9:$C$12,2,FALSE)</f>
        <v>111|112|113|4201|115</v>
      </c>
      <c r="K471" s="18" t="str">
        <f>VLOOKUP(E471,各职业基础配置!$B$15:$C$18,2,FALSE)</f>
        <v>32|33|34</v>
      </c>
      <c r="L471" s="18" t="str">
        <f>VLOOKUP(E471,各职业基础配置!B:C,2,FALSE)</f>
        <v>[{32,1,1},{33,1,1},{34,1,1},{35,1,1},{7,1,1},{8,1,1},{9,1,1}]</v>
      </c>
      <c r="M471" s="18">
        <v>0</v>
      </c>
      <c r="N471" s="18">
        <f t="shared" si="81"/>
        <v>7</v>
      </c>
      <c r="O471" s="18">
        <f>SUMPRODUCT(P471:AI471,Sheet2!$B$3:$U$3)</f>
        <v>170226</v>
      </c>
      <c r="P471" s="18">
        <f>CEILING(INDEX([1]系统模型!$VD:$VD,MATCH(C471,[1]系统模型!$A:$A,0))*POWER(C471/220,3.8)-50+(1000-A471),1)</f>
        <v>3403</v>
      </c>
      <c r="Q471" s="18">
        <f>CEILING(INDEX([1]系统模型!$VE:$VE,MATCH(C471,[1]系统模型!$A:$A,0))*POWER(C471/220,4),1)</f>
        <v>415</v>
      </c>
      <c r="R471" s="18">
        <f>INT(INDEX([1]系统模型!$VF:$VF,MATCH(C471,[1]系统模型!$A:$A,0))*MAX(POWER(C471/180,4),0.5))</f>
        <v>25651</v>
      </c>
      <c r="S471" s="5">
        <v>1000</v>
      </c>
      <c r="T471" s="25">
        <v>0</v>
      </c>
      <c r="U471" s="25">
        <v>0</v>
      </c>
      <c r="V471" s="25">
        <v>0</v>
      </c>
      <c r="W471" s="25">
        <v>0</v>
      </c>
      <c r="X471" s="25">
        <f t="shared" si="82"/>
        <v>1282</v>
      </c>
      <c r="Y471" s="12">
        <v>0</v>
      </c>
      <c r="Z471" s="25">
        <v>100</v>
      </c>
      <c r="AA471" s="25">
        <v>150</v>
      </c>
      <c r="AB471" s="25">
        <v>0</v>
      </c>
      <c r="AC471" s="25">
        <v>0</v>
      </c>
      <c r="AD471" s="25">
        <v>0</v>
      </c>
      <c r="AE471" s="25">
        <f t="shared" si="83"/>
        <v>360</v>
      </c>
      <c r="AF471" s="25">
        <f t="shared" si="84"/>
        <v>360</v>
      </c>
      <c r="AG471" s="25">
        <v>0</v>
      </c>
      <c r="AH471" s="25">
        <f t="shared" si="85"/>
        <v>4750</v>
      </c>
      <c r="AI471" s="25">
        <f t="shared" si="86"/>
        <v>45</v>
      </c>
      <c r="AJ471" s="25">
        <v>1</v>
      </c>
      <c r="AK471" s="25">
        <v>1000</v>
      </c>
      <c r="AL471" s="25">
        <v>100</v>
      </c>
      <c r="AM471" s="26">
        <v>10</v>
      </c>
      <c r="AN471" s="26">
        <v>10</v>
      </c>
      <c r="AO471" s="22" t="s">
        <v>2211</v>
      </c>
      <c r="AP471" s="26">
        <v>0</v>
      </c>
      <c r="AQ471" s="26">
        <f t="shared" si="87"/>
        <v>530</v>
      </c>
      <c r="AR471" s="18" t="str">
        <f ca="1">CONCATENATE(OFFSET(Sheet1!$A$2,RANDBETWEEN(2,500),0,1,1),OFFSET(Sheet1!$A$2,RANDBETWEEN(2,500),RANDBETWEEN(1,5),1,1))</f>
        <v>布赖恩</v>
      </c>
      <c r="AS471">
        <f>SUMPRODUCT(P471:AI471,Sheet2!$B$3:$U$3)</f>
        <v>170226</v>
      </c>
    </row>
    <row r="472" spans="1:45" x14ac:dyDescent="0.15">
      <c r="A472" s="23">
        <v>471</v>
      </c>
      <c r="B472" s="18" t="s">
        <v>861</v>
      </c>
      <c r="C472" s="18">
        <f t="shared" si="77"/>
        <v>180</v>
      </c>
      <c r="D472" s="19">
        <f t="shared" si="78"/>
        <v>3</v>
      </c>
      <c r="E472" s="19">
        <f>VLOOKUP(MOD(A472,4),各职业基础配置!C$32:D$35,2,FALSE)</f>
        <v>9</v>
      </c>
      <c r="F472" s="19">
        <f>IF(A472&lt;900,INDEX(各职业基础配置!C$23:C$28,MOD(ROW(A472),4)+1),0)</f>
        <v>8</v>
      </c>
      <c r="G472" s="19">
        <f t="shared" si="79"/>
        <v>34</v>
      </c>
      <c r="H472" s="27">
        <f t="shared" si="80"/>
        <v>2</v>
      </c>
      <c r="I472" s="6" t="s">
        <v>164</v>
      </c>
      <c r="J472" s="23" t="str">
        <f>VLOOKUP(E472,各职业基础配置!$B$9:$C$12,2,FALSE)</f>
        <v>116|117|118|4201|120</v>
      </c>
      <c r="K472" s="18" t="str">
        <f>VLOOKUP(E472,各职业基础配置!$B$15:$C$18,2,FALSE)</f>
        <v>28|29|30|31</v>
      </c>
      <c r="L472" s="18" t="str">
        <f>VLOOKUP(E472,各职业基础配置!B:C,2,FALSE)</f>
        <v>[{28,1,1},{29,1,1},{30,1,1},{31,1,1},{10,1,1},{11,1,1},{12,1,1}]</v>
      </c>
      <c r="M472" s="18">
        <v>0</v>
      </c>
      <c r="N472" s="18">
        <f t="shared" si="81"/>
        <v>3</v>
      </c>
      <c r="O472" s="18">
        <f>SUMPRODUCT(P472:AI472,Sheet2!$B$3:$U$3)</f>
        <v>170201</v>
      </c>
      <c r="P472" s="18">
        <f>CEILING(INDEX([1]系统模型!$VD:$VD,MATCH(C472,[1]系统模型!$A:$A,0))*POWER(C472/220,3.8)-50+(1000-A472),1)</f>
        <v>3402</v>
      </c>
      <c r="Q472" s="18">
        <f>CEILING(INDEX([1]系统模型!$VE:$VE,MATCH(C472,[1]系统模型!$A:$A,0))*POWER(C472/220,4),1)</f>
        <v>415</v>
      </c>
      <c r="R472" s="18">
        <f>INT(INDEX([1]系统模型!$VF:$VF,MATCH(C472,[1]系统模型!$A:$A,0))*MAX(POWER(C472/180,4),0.5))</f>
        <v>25651</v>
      </c>
      <c r="S472" s="5">
        <v>1000</v>
      </c>
      <c r="T472" s="25">
        <v>0</v>
      </c>
      <c r="U472" s="25">
        <v>0</v>
      </c>
      <c r="V472" s="25">
        <v>0</v>
      </c>
      <c r="W472" s="25">
        <v>0</v>
      </c>
      <c r="X472" s="25">
        <f t="shared" si="82"/>
        <v>1282</v>
      </c>
      <c r="Y472" s="12">
        <v>0</v>
      </c>
      <c r="Z472" s="25">
        <v>100</v>
      </c>
      <c r="AA472" s="25">
        <v>150</v>
      </c>
      <c r="AB472" s="25">
        <v>0</v>
      </c>
      <c r="AC472" s="25">
        <v>0</v>
      </c>
      <c r="AD472" s="25">
        <v>0</v>
      </c>
      <c r="AE472" s="25">
        <f t="shared" si="83"/>
        <v>360</v>
      </c>
      <c r="AF472" s="25">
        <f t="shared" si="84"/>
        <v>360</v>
      </c>
      <c r="AG472" s="25">
        <v>0</v>
      </c>
      <c r="AH472" s="25">
        <f t="shared" si="85"/>
        <v>4750</v>
      </c>
      <c r="AI472" s="25">
        <f t="shared" si="86"/>
        <v>45</v>
      </c>
      <c r="AJ472" s="25">
        <v>1</v>
      </c>
      <c r="AK472" s="25">
        <v>1000</v>
      </c>
      <c r="AL472" s="25">
        <v>100</v>
      </c>
      <c r="AM472" s="26">
        <v>10</v>
      </c>
      <c r="AN472" s="26">
        <v>10</v>
      </c>
      <c r="AO472" s="22" t="s">
        <v>2211</v>
      </c>
      <c r="AP472" s="26">
        <v>0</v>
      </c>
      <c r="AQ472" s="26">
        <f t="shared" si="87"/>
        <v>520</v>
      </c>
      <c r="AR472" s="18" t="str">
        <f ca="1">CONCATENATE(OFFSET(Sheet1!$A$2,RANDBETWEEN(2,500),0,1,1),OFFSET(Sheet1!$A$2,RANDBETWEEN(2,500),RANDBETWEEN(1,5),1,1))</f>
        <v>福克纳</v>
      </c>
      <c r="AS472">
        <f>SUMPRODUCT(P472:AI472,Sheet2!$B$3:$U$3)</f>
        <v>170201</v>
      </c>
    </row>
    <row r="473" spans="1:45" x14ac:dyDescent="0.15">
      <c r="A473" s="18">
        <v>472</v>
      </c>
      <c r="B473" s="18" t="s">
        <v>184</v>
      </c>
      <c r="C473" s="18">
        <f t="shared" si="77"/>
        <v>180</v>
      </c>
      <c r="D473" s="19">
        <f t="shared" si="78"/>
        <v>2</v>
      </c>
      <c r="E473" s="19">
        <f>VLOOKUP(MOD(A473,4),各职业基础配置!C$32:D$35,2,FALSE)</f>
        <v>1</v>
      </c>
      <c r="F473" s="19">
        <f>IF(A473&lt;900,INDEX(各职业基础配置!C$23:C$28,MOD(ROW(A473),4)+1),0)</f>
        <v>13</v>
      </c>
      <c r="G473" s="19">
        <f t="shared" si="79"/>
        <v>34</v>
      </c>
      <c r="H473" s="27">
        <f t="shared" si="80"/>
        <v>2</v>
      </c>
      <c r="I473" s="6" t="s">
        <v>164</v>
      </c>
      <c r="J473" s="23" t="str">
        <f>VLOOKUP(E473,各职业基础配置!$B$9:$C$12,2,FALSE)</f>
        <v>101|102|103|4201|105</v>
      </c>
      <c r="K473" s="18" t="str">
        <f>VLOOKUP(E473,各职业基础配置!$B$15:$C$18,2,FALSE)</f>
        <v>24|25|26|27</v>
      </c>
      <c r="L473" s="18" t="str">
        <f>VLOOKUP(E473,各职业基础配置!B:C,2,FALSE)</f>
        <v>[{24,1,1},{25,1,1},{26,1,1},{27,1,1},{1,1,1},{2,1,1},{3,1,1}]</v>
      </c>
      <c r="M473" s="18">
        <v>0</v>
      </c>
      <c r="N473" s="18">
        <f t="shared" si="81"/>
        <v>3</v>
      </c>
      <c r="O473" s="18">
        <f>SUMPRODUCT(P473:AI473,Sheet2!$B$3:$U$3)</f>
        <v>170176</v>
      </c>
      <c r="P473" s="18">
        <f>CEILING(INDEX([1]系统模型!$VD:$VD,MATCH(C473,[1]系统模型!$A:$A,0))*POWER(C473/220,3.8)-50+(1000-A473),1)</f>
        <v>3401</v>
      </c>
      <c r="Q473" s="18">
        <f>CEILING(INDEX([1]系统模型!$VE:$VE,MATCH(C473,[1]系统模型!$A:$A,0))*POWER(C473/220,4),1)</f>
        <v>415</v>
      </c>
      <c r="R473" s="18">
        <f>INT(INDEX([1]系统模型!$VF:$VF,MATCH(C473,[1]系统模型!$A:$A,0))*MAX(POWER(C473/180,4),0.5))</f>
        <v>25651</v>
      </c>
      <c r="S473" s="5">
        <v>1000</v>
      </c>
      <c r="T473" s="25">
        <v>0</v>
      </c>
      <c r="U473" s="25">
        <v>0</v>
      </c>
      <c r="V473" s="25">
        <v>0</v>
      </c>
      <c r="W473" s="25">
        <v>0</v>
      </c>
      <c r="X473" s="25">
        <f t="shared" si="82"/>
        <v>1282</v>
      </c>
      <c r="Y473" s="12">
        <v>0</v>
      </c>
      <c r="Z473" s="25">
        <v>100</v>
      </c>
      <c r="AA473" s="25">
        <v>150</v>
      </c>
      <c r="AB473" s="25">
        <v>0</v>
      </c>
      <c r="AC473" s="25">
        <v>0</v>
      </c>
      <c r="AD473" s="25">
        <v>0</v>
      </c>
      <c r="AE473" s="25">
        <f t="shared" si="83"/>
        <v>360</v>
      </c>
      <c r="AF473" s="25">
        <f t="shared" si="84"/>
        <v>360</v>
      </c>
      <c r="AG473" s="25">
        <v>0</v>
      </c>
      <c r="AH473" s="25">
        <f t="shared" si="85"/>
        <v>4750</v>
      </c>
      <c r="AI473" s="25">
        <f t="shared" si="86"/>
        <v>45</v>
      </c>
      <c r="AJ473" s="25">
        <v>1</v>
      </c>
      <c r="AK473" s="25">
        <v>1000</v>
      </c>
      <c r="AL473" s="25">
        <v>100</v>
      </c>
      <c r="AM473" s="26">
        <v>10</v>
      </c>
      <c r="AN473" s="26">
        <v>10</v>
      </c>
      <c r="AO473" s="22" t="s">
        <v>2211</v>
      </c>
      <c r="AP473" s="26">
        <v>0</v>
      </c>
      <c r="AQ473" s="26">
        <f t="shared" si="87"/>
        <v>520</v>
      </c>
      <c r="AR473" s="18" t="str">
        <f ca="1">CONCATENATE(OFFSET(Sheet1!$A$2,RANDBETWEEN(2,500),0,1,1),OFFSET(Sheet1!$A$2,RANDBETWEEN(2,500),RANDBETWEEN(1,5),1,1))</f>
        <v>勃朗宁精英</v>
      </c>
      <c r="AS473">
        <f>SUMPRODUCT(P473:AI473,Sheet2!$B$3:$U$3)</f>
        <v>170176</v>
      </c>
    </row>
    <row r="474" spans="1:45" x14ac:dyDescent="0.15">
      <c r="A474" s="18">
        <v>473</v>
      </c>
      <c r="B474" s="18" t="s">
        <v>2011</v>
      </c>
      <c r="C474" s="18">
        <f t="shared" si="77"/>
        <v>179</v>
      </c>
      <c r="D474" s="19">
        <f t="shared" si="78"/>
        <v>3</v>
      </c>
      <c r="E474" s="19">
        <f>VLOOKUP(MOD(A474,4),各职业基础配置!C$32:D$35,2,FALSE)</f>
        <v>3</v>
      </c>
      <c r="F474" s="19">
        <f>IF(A474&lt;900,INDEX(各职业基础配置!C$23:C$28,MOD(ROW(A474),4)+1),0)</f>
        <v>14</v>
      </c>
      <c r="G474" s="19">
        <f t="shared" si="79"/>
        <v>33</v>
      </c>
      <c r="H474" s="27">
        <f t="shared" si="80"/>
        <v>2</v>
      </c>
      <c r="I474" s="6" t="s">
        <v>164</v>
      </c>
      <c r="J474" s="23" t="str">
        <f>VLOOKUP(E474,各职业基础配置!$B$9:$C$12,2,FALSE)</f>
        <v>106|107|108|4201|110</v>
      </c>
      <c r="K474" s="18" t="str">
        <f>VLOOKUP(E474,各职业基础配置!$B$15:$C$18,2,FALSE)</f>
        <v>20|21|22|23</v>
      </c>
      <c r="L474" s="18" t="str">
        <f>VLOOKUP(E474,各职业基础配置!B:C,2,FALSE)</f>
        <v>[{20,1,1},{21,1,1},{22,1,1},{23,1,1},{4,1,1},{5,1,1},{6,1,1}]</v>
      </c>
      <c r="M474" s="18">
        <v>0</v>
      </c>
      <c r="N474" s="18">
        <f t="shared" si="81"/>
        <v>7</v>
      </c>
      <c r="O474" s="18">
        <f>SUMPRODUCT(P474:AI474,Sheet2!$B$3:$U$3)</f>
        <v>165430</v>
      </c>
      <c r="P474" s="18">
        <f>CEILING(INDEX([1]系统模型!$VD:$VD,MATCH(C474,[1]系统模型!$A:$A,0))*POWER(C474/220,3.8)-50+(1000-A474),1)</f>
        <v>3284</v>
      </c>
      <c r="Q474" s="18">
        <f>CEILING(INDEX([1]系统模型!$VE:$VE,MATCH(C474,[1]系统模型!$A:$A,0))*POWER(C474/220,4),1)</f>
        <v>400</v>
      </c>
      <c r="R474" s="18">
        <f>INT(INDEX([1]系统模型!$VF:$VF,MATCH(C474,[1]系统模型!$A:$A,0))*MAX(POWER(C474/180,4),0.5))</f>
        <v>24730</v>
      </c>
      <c r="S474" s="5">
        <v>1000</v>
      </c>
      <c r="T474" s="25">
        <v>0</v>
      </c>
      <c r="U474" s="25">
        <v>0</v>
      </c>
      <c r="V474" s="25">
        <v>0</v>
      </c>
      <c r="W474" s="25">
        <v>0</v>
      </c>
      <c r="X474" s="25">
        <f t="shared" si="82"/>
        <v>1236</v>
      </c>
      <c r="Y474" s="12">
        <v>0</v>
      </c>
      <c r="Z474" s="25">
        <v>100</v>
      </c>
      <c r="AA474" s="25">
        <v>150</v>
      </c>
      <c r="AB474" s="25">
        <v>0</v>
      </c>
      <c r="AC474" s="25">
        <v>0</v>
      </c>
      <c r="AD474" s="25">
        <v>0</v>
      </c>
      <c r="AE474" s="25">
        <f t="shared" si="83"/>
        <v>358</v>
      </c>
      <c r="AF474" s="25">
        <f t="shared" si="84"/>
        <v>358</v>
      </c>
      <c r="AG474" s="25">
        <v>0</v>
      </c>
      <c r="AH474" s="25">
        <f t="shared" si="85"/>
        <v>4675</v>
      </c>
      <c r="AI474" s="25">
        <f t="shared" si="86"/>
        <v>43</v>
      </c>
      <c r="AJ474" s="25">
        <v>1</v>
      </c>
      <c r="AK474" s="25">
        <v>1000</v>
      </c>
      <c r="AL474" s="25">
        <v>100</v>
      </c>
      <c r="AM474" s="26">
        <v>10</v>
      </c>
      <c r="AN474" s="26">
        <v>10</v>
      </c>
      <c r="AO474" s="22" t="s">
        <v>2211</v>
      </c>
      <c r="AP474" s="26">
        <v>0</v>
      </c>
      <c r="AQ474" s="26">
        <f t="shared" si="87"/>
        <v>520</v>
      </c>
      <c r="AR474" s="18" t="str">
        <f ca="1">CONCATENATE(OFFSET(Sheet1!$A$2,RANDBETWEEN(2,500),0,1,1),OFFSET(Sheet1!$A$2,RANDBETWEEN(2,500),RANDBETWEEN(1,5),1,1))</f>
        <v>休姆非主流</v>
      </c>
      <c r="AS474">
        <f>SUMPRODUCT(P474:AI474,Sheet2!$B$3:$U$3)</f>
        <v>165430</v>
      </c>
    </row>
    <row r="475" spans="1:45" x14ac:dyDescent="0.15">
      <c r="A475" s="23">
        <v>474</v>
      </c>
      <c r="B475" s="18" t="s">
        <v>1082</v>
      </c>
      <c r="C475" s="18">
        <f t="shared" si="77"/>
        <v>179</v>
      </c>
      <c r="D475" s="19">
        <f t="shared" si="78"/>
        <v>2</v>
      </c>
      <c r="E475" s="19">
        <f>VLOOKUP(MOD(A475,4),各职业基础配置!C$32:D$35,2,FALSE)</f>
        <v>6</v>
      </c>
      <c r="F475" s="19">
        <f>IF(A475&lt;900,INDEX(各职业基础配置!C$23:C$28,MOD(ROW(A475),4)+1),0)</f>
        <v>16</v>
      </c>
      <c r="G475" s="19">
        <f t="shared" si="79"/>
        <v>33</v>
      </c>
      <c r="H475" s="27">
        <f t="shared" si="80"/>
        <v>2</v>
      </c>
      <c r="I475" s="6" t="s">
        <v>164</v>
      </c>
      <c r="J475" s="23" t="str">
        <f>VLOOKUP(E475,各职业基础配置!$B$9:$C$12,2,FALSE)</f>
        <v>111|112|113|4201|115</v>
      </c>
      <c r="K475" s="18" t="str">
        <f>VLOOKUP(E475,各职业基础配置!$B$15:$C$18,2,FALSE)</f>
        <v>32|33|34</v>
      </c>
      <c r="L475" s="18" t="str">
        <f>VLOOKUP(E475,各职业基础配置!B:C,2,FALSE)</f>
        <v>[{32,1,1},{33,1,1},{34,1,1},{35,1,1},{7,1,1},{8,1,1},{9,1,1}]</v>
      </c>
      <c r="M475" s="18">
        <v>0</v>
      </c>
      <c r="N475" s="18">
        <f t="shared" si="81"/>
        <v>7</v>
      </c>
      <c r="O475" s="18">
        <f>SUMPRODUCT(P475:AI475,Sheet2!$B$3:$U$3)</f>
        <v>165405</v>
      </c>
      <c r="P475" s="18">
        <f>CEILING(INDEX([1]系统模型!$VD:$VD,MATCH(C475,[1]系统模型!$A:$A,0))*POWER(C475/220,3.8)-50+(1000-A475),1)</f>
        <v>3283</v>
      </c>
      <c r="Q475" s="18">
        <f>CEILING(INDEX([1]系统模型!$VE:$VE,MATCH(C475,[1]系统模型!$A:$A,0))*POWER(C475/220,4),1)</f>
        <v>400</v>
      </c>
      <c r="R475" s="18">
        <f>INT(INDEX([1]系统模型!$VF:$VF,MATCH(C475,[1]系统模型!$A:$A,0))*MAX(POWER(C475/180,4),0.5))</f>
        <v>24730</v>
      </c>
      <c r="S475" s="5">
        <v>1000</v>
      </c>
      <c r="T475" s="25">
        <v>0</v>
      </c>
      <c r="U475" s="25">
        <v>0</v>
      </c>
      <c r="V475" s="25">
        <v>0</v>
      </c>
      <c r="W475" s="25">
        <v>0</v>
      </c>
      <c r="X475" s="25">
        <f t="shared" si="82"/>
        <v>1236</v>
      </c>
      <c r="Y475" s="12">
        <v>0</v>
      </c>
      <c r="Z475" s="25">
        <v>100</v>
      </c>
      <c r="AA475" s="25">
        <v>150</v>
      </c>
      <c r="AB475" s="25">
        <v>0</v>
      </c>
      <c r="AC475" s="25">
        <v>0</v>
      </c>
      <c r="AD475" s="25">
        <v>0</v>
      </c>
      <c r="AE475" s="25">
        <f t="shared" si="83"/>
        <v>358</v>
      </c>
      <c r="AF475" s="25">
        <f t="shared" si="84"/>
        <v>358</v>
      </c>
      <c r="AG475" s="25">
        <v>0</v>
      </c>
      <c r="AH475" s="25">
        <f t="shared" si="85"/>
        <v>4675</v>
      </c>
      <c r="AI475" s="25">
        <f t="shared" si="86"/>
        <v>43</v>
      </c>
      <c r="AJ475" s="25">
        <v>1</v>
      </c>
      <c r="AK475" s="25">
        <v>1000</v>
      </c>
      <c r="AL475" s="25">
        <v>100</v>
      </c>
      <c r="AM475" s="26">
        <v>10</v>
      </c>
      <c r="AN475" s="26">
        <v>10</v>
      </c>
      <c r="AO475" s="22" t="s">
        <v>2211</v>
      </c>
      <c r="AP475" s="26">
        <v>0</v>
      </c>
      <c r="AQ475" s="26">
        <f t="shared" si="87"/>
        <v>520</v>
      </c>
      <c r="AR475" s="18" t="str">
        <f ca="1">CONCATENATE(OFFSET(Sheet1!$A$2,RANDBETWEEN(2,500),0,1,1),OFFSET(Sheet1!$A$2,RANDBETWEEN(2,500),RANDBETWEEN(1,5),1,1))</f>
        <v>贺拉斯优雅</v>
      </c>
      <c r="AS475">
        <f>SUMPRODUCT(P475:AI475,Sheet2!$B$3:$U$3)</f>
        <v>165405</v>
      </c>
    </row>
    <row r="476" spans="1:45" x14ac:dyDescent="0.15">
      <c r="A476" s="18">
        <v>475</v>
      </c>
      <c r="B476" s="18" t="s">
        <v>2012</v>
      </c>
      <c r="C476" s="18">
        <f t="shared" si="77"/>
        <v>179</v>
      </c>
      <c r="D476" s="19">
        <f t="shared" si="78"/>
        <v>3</v>
      </c>
      <c r="E476" s="19">
        <f>VLOOKUP(MOD(A476,4),各职业基础配置!C$32:D$35,2,FALSE)</f>
        <v>9</v>
      </c>
      <c r="F476" s="19">
        <f>IF(A476&lt;900,INDEX(各职业基础配置!C$23:C$28,MOD(ROW(A476),4)+1),0)</f>
        <v>8</v>
      </c>
      <c r="G476" s="19">
        <f t="shared" si="79"/>
        <v>33</v>
      </c>
      <c r="H476" s="27">
        <f t="shared" si="80"/>
        <v>2</v>
      </c>
      <c r="I476" s="6" t="s">
        <v>164</v>
      </c>
      <c r="J476" s="23" t="str">
        <f>VLOOKUP(E476,各职业基础配置!$B$9:$C$12,2,FALSE)</f>
        <v>116|117|118|4201|120</v>
      </c>
      <c r="K476" s="18" t="str">
        <f>VLOOKUP(E476,各职业基础配置!$B$15:$C$18,2,FALSE)</f>
        <v>28|29|30|31</v>
      </c>
      <c r="L476" s="18" t="str">
        <f>VLOOKUP(E476,各职业基础配置!B:C,2,FALSE)</f>
        <v>[{28,1,1},{29,1,1},{30,1,1},{31,1,1},{10,1,1},{11,1,1},{12,1,1}]</v>
      </c>
      <c r="M476" s="18">
        <v>0</v>
      </c>
      <c r="N476" s="18">
        <f t="shared" si="81"/>
        <v>3</v>
      </c>
      <c r="O476" s="18">
        <f>SUMPRODUCT(P476:AI476,Sheet2!$B$3:$U$3)</f>
        <v>165380</v>
      </c>
      <c r="P476" s="18">
        <f>CEILING(INDEX([1]系统模型!$VD:$VD,MATCH(C476,[1]系统模型!$A:$A,0))*POWER(C476/220,3.8)-50+(1000-A476),1)</f>
        <v>3282</v>
      </c>
      <c r="Q476" s="18">
        <f>CEILING(INDEX([1]系统模型!$VE:$VE,MATCH(C476,[1]系统模型!$A:$A,0))*POWER(C476/220,4),1)</f>
        <v>400</v>
      </c>
      <c r="R476" s="18">
        <f>INT(INDEX([1]系统模型!$VF:$VF,MATCH(C476,[1]系统模型!$A:$A,0))*MAX(POWER(C476/180,4),0.5))</f>
        <v>24730</v>
      </c>
      <c r="S476" s="5">
        <v>1000</v>
      </c>
      <c r="T476" s="25">
        <v>0</v>
      </c>
      <c r="U476" s="25">
        <v>0</v>
      </c>
      <c r="V476" s="25">
        <v>0</v>
      </c>
      <c r="W476" s="25">
        <v>0</v>
      </c>
      <c r="X476" s="25">
        <f t="shared" si="82"/>
        <v>1236</v>
      </c>
      <c r="Y476" s="12">
        <v>0</v>
      </c>
      <c r="Z476" s="25">
        <v>100</v>
      </c>
      <c r="AA476" s="25">
        <v>150</v>
      </c>
      <c r="AB476" s="25">
        <v>0</v>
      </c>
      <c r="AC476" s="25">
        <v>0</v>
      </c>
      <c r="AD476" s="25">
        <v>0</v>
      </c>
      <c r="AE476" s="25">
        <f t="shared" si="83"/>
        <v>358</v>
      </c>
      <c r="AF476" s="25">
        <f t="shared" si="84"/>
        <v>358</v>
      </c>
      <c r="AG476" s="25">
        <v>0</v>
      </c>
      <c r="AH476" s="25">
        <f t="shared" si="85"/>
        <v>4675</v>
      </c>
      <c r="AI476" s="25">
        <f t="shared" si="86"/>
        <v>43</v>
      </c>
      <c r="AJ476" s="25">
        <v>1</v>
      </c>
      <c r="AK476" s="25">
        <v>1000</v>
      </c>
      <c r="AL476" s="25">
        <v>100</v>
      </c>
      <c r="AM476" s="26">
        <v>10</v>
      </c>
      <c r="AN476" s="26">
        <v>10</v>
      </c>
      <c r="AO476" s="22" t="s">
        <v>2211</v>
      </c>
      <c r="AP476" s="26">
        <v>0</v>
      </c>
      <c r="AQ476" s="26">
        <f t="shared" si="87"/>
        <v>520</v>
      </c>
      <c r="AR476" s="18" t="str">
        <f ca="1">CONCATENATE(OFFSET(Sheet1!$A$2,RANDBETWEEN(2,500),0,1,1),OFFSET(Sheet1!$A$2,RANDBETWEEN(2,500),RANDBETWEEN(1,5),1,1))</f>
        <v>休小蕊</v>
      </c>
      <c r="AS476">
        <f>SUMPRODUCT(P476:AI476,Sheet2!$B$3:$U$3)</f>
        <v>165380</v>
      </c>
    </row>
    <row r="477" spans="1:45" x14ac:dyDescent="0.15">
      <c r="A477" s="18">
        <v>476</v>
      </c>
      <c r="B477" s="18" t="s">
        <v>217</v>
      </c>
      <c r="C477" s="18">
        <f t="shared" si="77"/>
        <v>179</v>
      </c>
      <c r="D477" s="19">
        <f t="shared" si="78"/>
        <v>2</v>
      </c>
      <c r="E477" s="19">
        <f>VLOOKUP(MOD(A477,4),各职业基础配置!C$32:D$35,2,FALSE)</f>
        <v>1</v>
      </c>
      <c r="F477" s="19">
        <f>IF(A477&lt;900,INDEX(各职业基础配置!C$23:C$28,MOD(ROW(A477),4)+1),0)</f>
        <v>13</v>
      </c>
      <c r="G477" s="19">
        <f t="shared" si="79"/>
        <v>33</v>
      </c>
      <c r="H477" s="27">
        <f t="shared" si="80"/>
        <v>2</v>
      </c>
      <c r="I477" s="6" t="s">
        <v>164</v>
      </c>
      <c r="J477" s="23" t="str">
        <f>VLOOKUP(E477,各职业基础配置!$B$9:$C$12,2,FALSE)</f>
        <v>101|102|103|4201|105</v>
      </c>
      <c r="K477" s="18" t="str">
        <f>VLOOKUP(E477,各职业基础配置!$B$15:$C$18,2,FALSE)</f>
        <v>24|25|26|27</v>
      </c>
      <c r="L477" s="18" t="str">
        <f>VLOOKUP(E477,各职业基础配置!B:C,2,FALSE)</f>
        <v>[{24,1,1},{25,1,1},{26,1,1},{27,1,1},{1,1,1},{2,1,1},{3,1,1}]</v>
      </c>
      <c r="M477" s="18">
        <v>0</v>
      </c>
      <c r="N477" s="18">
        <f t="shared" si="81"/>
        <v>3</v>
      </c>
      <c r="O477" s="18">
        <f>SUMPRODUCT(P477:AI477,Sheet2!$B$3:$U$3)</f>
        <v>165355</v>
      </c>
      <c r="P477" s="18">
        <f>CEILING(INDEX([1]系统模型!$VD:$VD,MATCH(C477,[1]系统模型!$A:$A,0))*POWER(C477/220,3.8)-50+(1000-A477),1)</f>
        <v>3281</v>
      </c>
      <c r="Q477" s="18">
        <f>CEILING(INDEX([1]系统模型!$VE:$VE,MATCH(C477,[1]系统模型!$A:$A,0))*POWER(C477/220,4),1)</f>
        <v>400</v>
      </c>
      <c r="R477" s="18">
        <f>INT(INDEX([1]系统模型!$VF:$VF,MATCH(C477,[1]系统模型!$A:$A,0))*MAX(POWER(C477/180,4),0.5))</f>
        <v>24730</v>
      </c>
      <c r="S477" s="5">
        <v>1000</v>
      </c>
      <c r="T477" s="25">
        <v>0</v>
      </c>
      <c r="U477" s="25">
        <v>0</v>
      </c>
      <c r="V477" s="25">
        <v>0</v>
      </c>
      <c r="W477" s="25">
        <v>0</v>
      </c>
      <c r="X477" s="25">
        <f t="shared" si="82"/>
        <v>1236</v>
      </c>
      <c r="Y477" s="12">
        <v>0</v>
      </c>
      <c r="Z477" s="25">
        <v>100</v>
      </c>
      <c r="AA477" s="25">
        <v>150</v>
      </c>
      <c r="AB477" s="25">
        <v>0</v>
      </c>
      <c r="AC477" s="25">
        <v>0</v>
      </c>
      <c r="AD477" s="25">
        <v>0</v>
      </c>
      <c r="AE477" s="25">
        <f t="shared" si="83"/>
        <v>358</v>
      </c>
      <c r="AF477" s="25">
        <f t="shared" si="84"/>
        <v>358</v>
      </c>
      <c r="AG477" s="25">
        <v>0</v>
      </c>
      <c r="AH477" s="25">
        <f t="shared" si="85"/>
        <v>4675</v>
      </c>
      <c r="AI477" s="25">
        <f t="shared" si="86"/>
        <v>43</v>
      </c>
      <c r="AJ477" s="25">
        <v>1</v>
      </c>
      <c r="AK477" s="25">
        <v>1000</v>
      </c>
      <c r="AL477" s="25">
        <v>100</v>
      </c>
      <c r="AM477" s="26">
        <v>10</v>
      </c>
      <c r="AN477" s="26">
        <v>10</v>
      </c>
      <c r="AO477" s="22" t="s">
        <v>2211</v>
      </c>
      <c r="AP477" s="26">
        <v>0</v>
      </c>
      <c r="AQ477" s="26">
        <f t="shared" si="87"/>
        <v>520</v>
      </c>
      <c r="AR477" s="18" t="str">
        <f ca="1">CONCATENATE(OFFSET(Sheet1!$A$2,RANDBETWEEN(2,500),0,1,1),OFFSET(Sheet1!$A$2,RANDBETWEEN(2,500),RANDBETWEEN(1,5),1,1))</f>
        <v>布赖恩</v>
      </c>
      <c r="AS477">
        <f>SUMPRODUCT(P477:AI477,Sheet2!$B$3:$U$3)</f>
        <v>165355</v>
      </c>
    </row>
    <row r="478" spans="1:45" x14ac:dyDescent="0.15">
      <c r="A478" s="23">
        <v>477</v>
      </c>
      <c r="B478" s="18" t="s">
        <v>587</v>
      </c>
      <c r="C478" s="18">
        <f t="shared" si="77"/>
        <v>179</v>
      </c>
      <c r="D478" s="19">
        <f t="shared" si="78"/>
        <v>3</v>
      </c>
      <c r="E478" s="19">
        <f>VLOOKUP(MOD(A478,4),各职业基础配置!C$32:D$35,2,FALSE)</f>
        <v>3</v>
      </c>
      <c r="F478" s="19">
        <f>IF(A478&lt;900,INDEX(各职业基础配置!C$23:C$28,MOD(ROW(A478),4)+1),0)</f>
        <v>14</v>
      </c>
      <c r="G478" s="19">
        <f t="shared" si="79"/>
        <v>33</v>
      </c>
      <c r="H478" s="27">
        <f t="shared" si="80"/>
        <v>2</v>
      </c>
      <c r="I478" s="6" t="s">
        <v>164</v>
      </c>
      <c r="J478" s="23" t="str">
        <f>VLOOKUP(E478,各职业基础配置!$B$9:$C$12,2,FALSE)</f>
        <v>106|107|108|4201|110</v>
      </c>
      <c r="K478" s="18" t="str">
        <f>VLOOKUP(E478,各职业基础配置!$B$15:$C$18,2,FALSE)</f>
        <v>20|21|22|23</v>
      </c>
      <c r="L478" s="18" t="str">
        <f>VLOOKUP(E478,各职业基础配置!B:C,2,FALSE)</f>
        <v>[{20,1,1},{21,1,1},{22,1,1},{23,1,1},{4,1,1},{5,1,1},{6,1,1}]</v>
      </c>
      <c r="M478" s="18">
        <v>0</v>
      </c>
      <c r="N478" s="18">
        <f t="shared" si="81"/>
        <v>7</v>
      </c>
      <c r="O478" s="18">
        <f>SUMPRODUCT(P478:AI478,Sheet2!$B$3:$U$3)</f>
        <v>165330</v>
      </c>
      <c r="P478" s="18">
        <f>CEILING(INDEX([1]系统模型!$VD:$VD,MATCH(C478,[1]系统模型!$A:$A,0))*POWER(C478/220,3.8)-50+(1000-A478),1)</f>
        <v>3280</v>
      </c>
      <c r="Q478" s="18">
        <f>CEILING(INDEX([1]系统模型!$VE:$VE,MATCH(C478,[1]系统模型!$A:$A,0))*POWER(C478/220,4),1)</f>
        <v>400</v>
      </c>
      <c r="R478" s="18">
        <f>INT(INDEX([1]系统模型!$VF:$VF,MATCH(C478,[1]系统模型!$A:$A,0))*MAX(POWER(C478/180,4),0.5))</f>
        <v>24730</v>
      </c>
      <c r="S478" s="5">
        <v>1000</v>
      </c>
      <c r="T478" s="25">
        <v>0</v>
      </c>
      <c r="U478" s="25">
        <v>0</v>
      </c>
      <c r="V478" s="25">
        <v>0</v>
      </c>
      <c r="W478" s="25">
        <v>0</v>
      </c>
      <c r="X478" s="25">
        <f t="shared" si="82"/>
        <v>1236</v>
      </c>
      <c r="Y478" s="12">
        <v>0</v>
      </c>
      <c r="Z478" s="25">
        <v>100</v>
      </c>
      <c r="AA478" s="25">
        <v>150</v>
      </c>
      <c r="AB478" s="25">
        <v>0</v>
      </c>
      <c r="AC478" s="25">
        <v>0</v>
      </c>
      <c r="AD478" s="25">
        <v>0</v>
      </c>
      <c r="AE478" s="25">
        <f t="shared" si="83"/>
        <v>358</v>
      </c>
      <c r="AF478" s="25">
        <f t="shared" si="84"/>
        <v>358</v>
      </c>
      <c r="AG478" s="25">
        <v>0</v>
      </c>
      <c r="AH478" s="25">
        <f t="shared" si="85"/>
        <v>4675</v>
      </c>
      <c r="AI478" s="25">
        <f t="shared" si="86"/>
        <v>43</v>
      </c>
      <c r="AJ478" s="25">
        <v>1</v>
      </c>
      <c r="AK478" s="25">
        <v>1000</v>
      </c>
      <c r="AL478" s="25">
        <v>100</v>
      </c>
      <c r="AM478" s="26">
        <v>10</v>
      </c>
      <c r="AN478" s="26">
        <v>10</v>
      </c>
      <c r="AO478" s="22" t="s">
        <v>2211</v>
      </c>
      <c r="AP478" s="26">
        <v>0</v>
      </c>
      <c r="AQ478" s="26">
        <f t="shared" si="87"/>
        <v>520</v>
      </c>
      <c r="AR478" s="18" t="str">
        <f ca="1">CONCATENATE(OFFSET(Sheet1!$A$2,RANDBETWEEN(2,500),0,1,1),OFFSET(Sheet1!$A$2,RANDBETWEEN(2,500),RANDBETWEEN(1,5),1,1))</f>
        <v>盖伊</v>
      </c>
      <c r="AS478">
        <f>SUMPRODUCT(P478:AI478,Sheet2!$B$3:$U$3)</f>
        <v>165330</v>
      </c>
    </row>
    <row r="479" spans="1:45" x14ac:dyDescent="0.15">
      <c r="A479" s="18">
        <v>478</v>
      </c>
      <c r="B479" s="18" t="s">
        <v>2013</v>
      </c>
      <c r="C479" s="18">
        <f t="shared" si="77"/>
        <v>179</v>
      </c>
      <c r="D479" s="19">
        <f t="shared" si="78"/>
        <v>2</v>
      </c>
      <c r="E479" s="19">
        <f>VLOOKUP(MOD(A479,4),各职业基础配置!C$32:D$35,2,FALSE)</f>
        <v>6</v>
      </c>
      <c r="F479" s="19">
        <f>IF(A479&lt;900,INDEX(各职业基础配置!C$23:C$28,MOD(ROW(A479),4)+1),0)</f>
        <v>16</v>
      </c>
      <c r="G479" s="19">
        <f t="shared" si="79"/>
        <v>33</v>
      </c>
      <c r="H479" s="27">
        <f t="shared" si="80"/>
        <v>2</v>
      </c>
      <c r="I479" s="6" t="s">
        <v>164</v>
      </c>
      <c r="J479" s="23" t="str">
        <f>VLOOKUP(E479,各职业基础配置!$B$9:$C$12,2,FALSE)</f>
        <v>111|112|113|4201|115</v>
      </c>
      <c r="K479" s="18" t="str">
        <f>VLOOKUP(E479,各职业基础配置!$B$15:$C$18,2,FALSE)</f>
        <v>32|33|34</v>
      </c>
      <c r="L479" s="18" t="str">
        <f>VLOOKUP(E479,各职业基础配置!B:C,2,FALSE)</f>
        <v>[{32,1,1},{33,1,1},{34,1,1},{35,1,1},{7,1,1},{8,1,1},{9,1,1}]</v>
      </c>
      <c r="M479" s="18">
        <v>0</v>
      </c>
      <c r="N479" s="18">
        <f t="shared" si="81"/>
        <v>7</v>
      </c>
      <c r="O479" s="18">
        <f>SUMPRODUCT(P479:AI479,Sheet2!$B$3:$U$3)</f>
        <v>165305</v>
      </c>
      <c r="P479" s="18">
        <f>CEILING(INDEX([1]系统模型!$VD:$VD,MATCH(C479,[1]系统模型!$A:$A,0))*POWER(C479/220,3.8)-50+(1000-A479),1)</f>
        <v>3279</v>
      </c>
      <c r="Q479" s="18">
        <f>CEILING(INDEX([1]系统模型!$VE:$VE,MATCH(C479,[1]系统模型!$A:$A,0))*POWER(C479/220,4),1)</f>
        <v>400</v>
      </c>
      <c r="R479" s="18">
        <f>INT(INDEX([1]系统模型!$VF:$VF,MATCH(C479,[1]系统模型!$A:$A,0))*MAX(POWER(C479/180,4),0.5))</f>
        <v>24730</v>
      </c>
      <c r="S479" s="5">
        <v>1000</v>
      </c>
      <c r="T479" s="25">
        <v>0</v>
      </c>
      <c r="U479" s="25">
        <v>0</v>
      </c>
      <c r="V479" s="25">
        <v>0</v>
      </c>
      <c r="W479" s="25">
        <v>0</v>
      </c>
      <c r="X479" s="25">
        <f t="shared" si="82"/>
        <v>1236</v>
      </c>
      <c r="Y479" s="12">
        <v>0</v>
      </c>
      <c r="Z479" s="25">
        <v>100</v>
      </c>
      <c r="AA479" s="25">
        <v>150</v>
      </c>
      <c r="AB479" s="25">
        <v>0</v>
      </c>
      <c r="AC479" s="25">
        <v>0</v>
      </c>
      <c r="AD479" s="25">
        <v>0</v>
      </c>
      <c r="AE479" s="25">
        <f t="shared" si="83"/>
        <v>358</v>
      </c>
      <c r="AF479" s="25">
        <f t="shared" si="84"/>
        <v>358</v>
      </c>
      <c r="AG479" s="25">
        <v>0</v>
      </c>
      <c r="AH479" s="25">
        <f t="shared" si="85"/>
        <v>4675</v>
      </c>
      <c r="AI479" s="25">
        <f t="shared" si="86"/>
        <v>43</v>
      </c>
      <c r="AJ479" s="25">
        <v>1</v>
      </c>
      <c r="AK479" s="25">
        <v>1000</v>
      </c>
      <c r="AL479" s="25">
        <v>100</v>
      </c>
      <c r="AM479" s="26">
        <v>10</v>
      </c>
      <c r="AN479" s="26">
        <v>10</v>
      </c>
      <c r="AO479" s="22" t="s">
        <v>2211</v>
      </c>
      <c r="AP479" s="26">
        <v>0</v>
      </c>
      <c r="AQ479" s="26">
        <f t="shared" si="87"/>
        <v>520</v>
      </c>
      <c r="AR479" s="18" t="str">
        <f ca="1">CONCATENATE(OFFSET(Sheet1!$A$2,RANDBETWEEN(2,500),0,1,1),OFFSET(Sheet1!$A$2,RANDBETWEEN(2,500),RANDBETWEEN(1,5),1,1))</f>
        <v>法兰西斯萨琳娜</v>
      </c>
      <c r="AS479">
        <f>SUMPRODUCT(P479:AI479,Sheet2!$B$3:$U$3)</f>
        <v>165305</v>
      </c>
    </row>
    <row r="480" spans="1:45" x14ac:dyDescent="0.15">
      <c r="A480" s="18">
        <v>479</v>
      </c>
      <c r="B480" s="18" t="s">
        <v>1294</v>
      </c>
      <c r="C480" s="18">
        <f t="shared" si="77"/>
        <v>179</v>
      </c>
      <c r="D480" s="19">
        <f t="shared" si="78"/>
        <v>3</v>
      </c>
      <c r="E480" s="19">
        <f>VLOOKUP(MOD(A480,4),各职业基础配置!C$32:D$35,2,FALSE)</f>
        <v>9</v>
      </c>
      <c r="F480" s="19">
        <f>IF(A480&lt;900,INDEX(各职业基础配置!C$23:C$28,MOD(ROW(A480),4)+1),0)</f>
        <v>8</v>
      </c>
      <c r="G480" s="19">
        <f t="shared" si="79"/>
        <v>33</v>
      </c>
      <c r="H480" s="27">
        <f t="shared" si="80"/>
        <v>2</v>
      </c>
      <c r="I480" s="6" t="s">
        <v>164</v>
      </c>
      <c r="J480" s="23" t="str">
        <f>VLOOKUP(E480,各职业基础配置!$B$9:$C$12,2,FALSE)</f>
        <v>116|117|118|4201|120</v>
      </c>
      <c r="K480" s="18" t="str">
        <f>VLOOKUP(E480,各职业基础配置!$B$15:$C$18,2,FALSE)</f>
        <v>28|29|30|31</v>
      </c>
      <c r="L480" s="18" t="str">
        <f>VLOOKUP(E480,各职业基础配置!B:C,2,FALSE)</f>
        <v>[{28,1,1},{29,1,1},{30,1,1},{31,1,1},{10,1,1},{11,1,1},{12,1,1}]</v>
      </c>
      <c r="M480" s="18">
        <v>0</v>
      </c>
      <c r="N480" s="18">
        <f t="shared" si="81"/>
        <v>3</v>
      </c>
      <c r="O480" s="18">
        <f>SUMPRODUCT(P480:AI480,Sheet2!$B$3:$U$3)</f>
        <v>165280</v>
      </c>
      <c r="P480" s="18">
        <f>CEILING(INDEX([1]系统模型!$VD:$VD,MATCH(C480,[1]系统模型!$A:$A,0))*POWER(C480/220,3.8)-50+(1000-A480),1)</f>
        <v>3278</v>
      </c>
      <c r="Q480" s="18">
        <f>CEILING(INDEX([1]系统模型!$VE:$VE,MATCH(C480,[1]系统模型!$A:$A,0))*POWER(C480/220,4),1)</f>
        <v>400</v>
      </c>
      <c r="R480" s="18">
        <f>INT(INDEX([1]系统模型!$VF:$VF,MATCH(C480,[1]系统模型!$A:$A,0))*MAX(POWER(C480/180,4),0.5))</f>
        <v>24730</v>
      </c>
      <c r="S480" s="5">
        <v>1000</v>
      </c>
      <c r="T480" s="25">
        <v>0</v>
      </c>
      <c r="U480" s="25">
        <v>0</v>
      </c>
      <c r="V480" s="25">
        <v>0</v>
      </c>
      <c r="W480" s="25">
        <v>0</v>
      </c>
      <c r="X480" s="25">
        <f t="shared" si="82"/>
        <v>1236</v>
      </c>
      <c r="Y480" s="12">
        <v>0</v>
      </c>
      <c r="Z480" s="25">
        <v>100</v>
      </c>
      <c r="AA480" s="25">
        <v>150</v>
      </c>
      <c r="AB480" s="25">
        <v>0</v>
      </c>
      <c r="AC480" s="25">
        <v>0</v>
      </c>
      <c r="AD480" s="25">
        <v>0</v>
      </c>
      <c r="AE480" s="25">
        <f t="shared" si="83"/>
        <v>358</v>
      </c>
      <c r="AF480" s="25">
        <f t="shared" si="84"/>
        <v>358</v>
      </c>
      <c r="AG480" s="25">
        <v>0</v>
      </c>
      <c r="AH480" s="25">
        <f t="shared" si="85"/>
        <v>4675</v>
      </c>
      <c r="AI480" s="25">
        <f t="shared" si="86"/>
        <v>43</v>
      </c>
      <c r="AJ480" s="25">
        <v>1</v>
      </c>
      <c r="AK480" s="25">
        <v>1000</v>
      </c>
      <c r="AL480" s="25">
        <v>100</v>
      </c>
      <c r="AM480" s="26">
        <v>10</v>
      </c>
      <c r="AN480" s="26">
        <v>10</v>
      </c>
      <c r="AO480" s="22" t="s">
        <v>2211</v>
      </c>
      <c r="AP480" s="26">
        <v>0</v>
      </c>
      <c r="AQ480" s="26">
        <f t="shared" si="87"/>
        <v>520</v>
      </c>
      <c r="AR480" s="18" t="str">
        <f ca="1">CONCATENATE(OFFSET(Sheet1!$A$2,RANDBETWEEN(2,500),0,1,1),OFFSET(Sheet1!$A$2,RANDBETWEEN(2,500),RANDBETWEEN(1,5),1,1))</f>
        <v>查理</v>
      </c>
      <c r="AS480">
        <f>SUMPRODUCT(P480:AI480,Sheet2!$B$3:$U$3)</f>
        <v>165280</v>
      </c>
    </row>
    <row r="481" spans="1:45" x14ac:dyDescent="0.15">
      <c r="A481" s="23">
        <v>480</v>
      </c>
      <c r="B481" s="18" t="s">
        <v>2014</v>
      </c>
      <c r="C481" s="18">
        <f t="shared" si="77"/>
        <v>178</v>
      </c>
      <c r="D481" s="19">
        <f t="shared" si="78"/>
        <v>2</v>
      </c>
      <c r="E481" s="19">
        <f>VLOOKUP(MOD(A481,4),各职业基础配置!C$32:D$35,2,FALSE)</f>
        <v>1</v>
      </c>
      <c r="F481" s="19">
        <f>IF(A481&lt;900,INDEX(各职业基础配置!C$23:C$28,MOD(ROW(A481),4)+1),0)</f>
        <v>13</v>
      </c>
      <c r="G481" s="19">
        <f t="shared" si="79"/>
        <v>32</v>
      </c>
      <c r="H481" s="27">
        <f t="shared" si="80"/>
        <v>2</v>
      </c>
      <c r="I481" s="6" t="s">
        <v>164</v>
      </c>
      <c r="J481" s="23" t="str">
        <f>VLOOKUP(E481,各职业基础配置!$B$9:$C$12,2,FALSE)</f>
        <v>101|102|103|4201|105</v>
      </c>
      <c r="K481" s="18" t="str">
        <f>VLOOKUP(E481,各职业基础配置!$B$15:$C$18,2,FALSE)</f>
        <v>24|25|26|27</v>
      </c>
      <c r="L481" s="18" t="str">
        <f>VLOOKUP(E481,各职业基础配置!B:C,2,FALSE)</f>
        <v>[{24,1,1},{25,1,1},{26,1,1},{27,1,1},{1,1,1},{2,1,1},{3,1,1}]</v>
      </c>
      <c r="M481" s="18">
        <v>0</v>
      </c>
      <c r="N481" s="18">
        <f t="shared" si="81"/>
        <v>3</v>
      </c>
      <c r="O481" s="18">
        <f>SUMPRODUCT(P481:AI481,Sheet2!$B$3:$U$3)</f>
        <v>160860</v>
      </c>
      <c r="P481" s="18">
        <f>CEILING(INDEX([1]系统模型!$VD:$VD,MATCH(C481,[1]系统模型!$A:$A,0))*POWER(C481/220,3.8)-50+(1000-A481),1)</f>
        <v>3166</v>
      </c>
      <c r="Q481" s="18">
        <f>CEILING(INDEX([1]系统模型!$VE:$VE,MATCH(C481,[1]系统模型!$A:$A,0))*POWER(C481/220,4),1)</f>
        <v>386</v>
      </c>
      <c r="R481" s="18">
        <f>INT(INDEX([1]系统模型!$VF:$VF,MATCH(C481,[1]系统模型!$A:$A,0))*MAX(POWER(C481/180,4),0.5))</f>
        <v>23960</v>
      </c>
      <c r="S481" s="5">
        <v>1000</v>
      </c>
      <c r="T481" s="25">
        <v>0</v>
      </c>
      <c r="U481" s="25">
        <v>0</v>
      </c>
      <c r="V481" s="25">
        <v>0</v>
      </c>
      <c r="W481" s="25">
        <v>0</v>
      </c>
      <c r="X481" s="25">
        <f t="shared" si="82"/>
        <v>1198</v>
      </c>
      <c r="Y481" s="12">
        <v>0</v>
      </c>
      <c r="Z481" s="25">
        <v>100</v>
      </c>
      <c r="AA481" s="25">
        <v>150</v>
      </c>
      <c r="AB481" s="25">
        <v>0</v>
      </c>
      <c r="AC481" s="25">
        <v>0</v>
      </c>
      <c r="AD481" s="25">
        <v>0</v>
      </c>
      <c r="AE481" s="25">
        <f t="shared" si="83"/>
        <v>356</v>
      </c>
      <c r="AF481" s="25">
        <f t="shared" si="84"/>
        <v>356</v>
      </c>
      <c r="AG481" s="25">
        <v>0</v>
      </c>
      <c r="AH481" s="25">
        <f t="shared" si="85"/>
        <v>4600</v>
      </c>
      <c r="AI481" s="25">
        <f t="shared" si="86"/>
        <v>42</v>
      </c>
      <c r="AJ481" s="25">
        <v>1</v>
      </c>
      <c r="AK481" s="25">
        <v>1000</v>
      </c>
      <c r="AL481" s="25">
        <v>100</v>
      </c>
      <c r="AM481" s="26">
        <v>10</v>
      </c>
      <c r="AN481" s="26">
        <v>10</v>
      </c>
      <c r="AO481" s="22" t="s">
        <v>2211</v>
      </c>
      <c r="AP481" s="26">
        <v>0</v>
      </c>
      <c r="AQ481" s="26">
        <f t="shared" si="87"/>
        <v>520</v>
      </c>
      <c r="AR481" s="18" t="str">
        <f ca="1">CONCATENATE(OFFSET(Sheet1!$A$2,RANDBETWEEN(2,500),0,1,1),OFFSET(Sheet1!$A$2,RANDBETWEEN(2,500),RANDBETWEEN(1,5),1,1))</f>
        <v>休斯敦爱玛</v>
      </c>
      <c r="AS481">
        <f>SUMPRODUCT(P481:AI481,Sheet2!$B$3:$U$3)</f>
        <v>160860</v>
      </c>
    </row>
    <row r="482" spans="1:45" x14ac:dyDescent="0.15">
      <c r="A482" s="18">
        <v>481</v>
      </c>
      <c r="B482" s="18" t="s">
        <v>727</v>
      </c>
      <c r="C482" s="18">
        <f t="shared" si="77"/>
        <v>178</v>
      </c>
      <c r="D482" s="19">
        <f t="shared" si="78"/>
        <v>3</v>
      </c>
      <c r="E482" s="19">
        <f>VLOOKUP(MOD(A482,4),各职业基础配置!C$32:D$35,2,FALSE)</f>
        <v>3</v>
      </c>
      <c r="F482" s="19">
        <f>IF(A482&lt;900,INDEX(各职业基础配置!C$23:C$28,MOD(ROW(A482),4)+1),0)</f>
        <v>14</v>
      </c>
      <c r="G482" s="19">
        <f t="shared" si="79"/>
        <v>32</v>
      </c>
      <c r="H482" s="27">
        <f t="shared" si="80"/>
        <v>2</v>
      </c>
      <c r="I482" s="6" t="s">
        <v>164</v>
      </c>
      <c r="J482" s="23" t="str">
        <f>VLOOKUP(E482,各职业基础配置!$B$9:$C$12,2,FALSE)</f>
        <v>106|107|108|4201|110</v>
      </c>
      <c r="K482" s="18" t="str">
        <f>VLOOKUP(E482,各职业基础配置!$B$15:$C$18,2,FALSE)</f>
        <v>20|21|22|23</v>
      </c>
      <c r="L482" s="18" t="str">
        <f>VLOOKUP(E482,各职业基础配置!B:C,2,FALSE)</f>
        <v>[{20,1,1},{21,1,1},{22,1,1},{23,1,1},{4,1,1},{5,1,1},{6,1,1}]</v>
      </c>
      <c r="M482" s="18">
        <v>0</v>
      </c>
      <c r="N482" s="18">
        <f t="shared" si="81"/>
        <v>7</v>
      </c>
      <c r="O482" s="18">
        <f>SUMPRODUCT(P482:AI482,Sheet2!$B$3:$U$3)</f>
        <v>160835</v>
      </c>
      <c r="P482" s="18">
        <f>CEILING(INDEX([1]系统模型!$VD:$VD,MATCH(C482,[1]系统模型!$A:$A,0))*POWER(C482/220,3.8)-50+(1000-A482),1)</f>
        <v>3165</v>
      </c>
      <c r="Q482" s="18">
        <f>CEILING(INDEX([1]系统模型!$VE:$VE,MATCH(C482,[1]系统模型!$A:$A,0))*POWER(C482/220,4),1)</f>
        <v>386</v>
      </c>
      <c r="R482" s="18">
        <f>INT(INDEX([1]系统模型!$VF:$VF,MATCH(C482,[1]系统模型!$A:$A,0))*MAX(POWER(C482/180,4),0.5))</f>
        <v>23960</v>
      </c>
      <c r="S482" s="5">
        <v>1000</v>
      </c>
      <c r="T482" s="25">
        <v>0</v>
      </c>
      <c r="U482" s="25">
        <v>0</v>
      </c>
      <c r="V482" s="25">
        <v>0</v>
      </c>
      <c r="W482" s="25">
        <v>0</v>
      </c>
      <c r="X482" s="25">
        <f t="shared" si="82"/>
        <v>1198</v>
      </c>
      <c r="Y482" s="12">
        <v>0</v>
      </c>
      <c r="Z482" s="25">
        <v>100</v>
      </c>
      <c r="AA482" s="25">
        <v>150</v>
      </c>
      <c r="AB482" s="25">
        <v>0</v>
      </c>
      <c r="AC482" s="25">
        <v>0</v>
      </c>
      <c r="AD482" s="25">
        <v>0</v>
      </c>
      <c r="AE482" s="25">
        <f t="shared" si="83"/>
        <v>356</v>
      </c>
      <c r="AF482" s="25">
        <f t="shared" si="84"/>
        <v>356</v>
      </c>
      <c r="AG482" s="25">
        <v>0</v>
      </c>
      <c r="AH482" s="25">
        <f t="shared" si="85"/>
        <v>4600</v>
      </c>
      <c r="AI482" s="25">
        <f t="shared" si="86"/>
        <v>42</v>
      </c>
      <c r="AJ482" s="25">
        <v>1</v>
      </c>
      <c r="AK482" s="25">
        <v>1000</v>
      </c>
      <c r="AL482" s="25">
        <v>100</v>
      </c>
      <c r="AM482" s="26">
        <v>10</v>
      </c>
      <c r="AN482" s="26">
        <v>10</v>
      </c>
      <c r="AO482" s="22" t="s">
        <v>2211</v>
      </c>
      <c r="AP482" s="26">
        <v>0</v>
      </c>
      <c r="AQ482" s="26">
        <f t="shared" si="87"/>
        <v>510</v>
      </c>
      <c r="AR482" s="18" t="str">
        <f ca="1">CONCATENATE(OFFSET(Sheet1!$A$2,RANDBETWEEN(2,500),0,1,1),OFFSET(Sheet1!$A$2,RANDBETWEEN(2,500),RANDBETWEEN(1,5),1,1))</f>
        <v>多恩</v>
      </c>
      <c r="AS482">
        <f>SUMPRODUCT(P482:AI482,Sheet2!$B$3:$U$3)</f>
        <v>160835</v>
      </c>
    </row>
    <row r="483" spans="1:45" x14ac:dyDescent="0.15">
      <c r="A483" s="18">
        <v>482</v>
      </c>
      <c r="B483" s="18" t="s">
        <v>337</v>
      </c>
      <c r="C483" s="18">
        <f t="shared" si="77"/>
        <v>178</v>
      </c>
      <c r="D483" s="19">
        <f t="shared" si="78"/>
        <v>2</v>
      </c>
      <c r="E483" s="19">
        <f>VLOOKUP(MOD(A483,4),各职业基础配置!C$32:D$35,2,FALSE)</f>
        <v>6</v>
      </c>
      <c r="F483" s="19">
        <f>IF(A483&lt;900,INDEX(各职业基础配置!C$23:C$28,MOD(ROW(A483),4)+1),0)</f>
        <v>16</v>
      </c>
      <c r="G483" s="19">
        <f t="shared" si="79"/>
        <v>32</v>
      </c>
      <c r="H483" s="27">
        <f t="shared" si="80"/>
        <v>2</v>
      </c>
      <c r="I483" s="6" t="s">
        <v>164</v>
      </c>
      <c r="J483" s="23" t="str">
        <f>VLOOKUP(E483,各职业基础配置!$B$9:$C$12,2,FALSE)</f>
        <v>111|112|113|4201|115</v>
      </c>
      <c r="K483" s="18" t="str">
        <f>VLOOKUP(E483,各职业基础配置!$B$15:$C$18,2,FALSE)</f>
        <v>32|33|34</v>
      </c>
      <c r="L483" s="18" t="str">
        <f>VLOOKUP(E483,各职业基础配置!B:C,2,FALSE)</f>
        <v>[{32,1,1},{33,1,1},{34,1,1},{35,1,1},{7,1,1},{8,1,1},{9,1,1}]</v>
      </c>
      <c r="M483" s="18">
        <v>0</v>
      </c>
      <c r="N483" s="18">
        <f t="shared" si="81"/>
        <v>7</v>
      </c>
      <c r="O483" s="18">
        <f>SUMPRODUCT(P483:AI483,Sheet2!$B$3:$U$3)</f>
        <v>160810</v>
      </c>
      <c r="P483" s="18">
        <f>CEILING(INDEX([1]系统模型!$VD:$VD,MATCH(C483,[1]系统模型!$A:$A,0))*POWER(C483/220,3.8)-50+(1000-A483),1)</f>
        <v>3164</v>
      </c>
      <c r="Q483" s="18">
        <f>CEILING(INDEX([1]系统模型!$VE:$VE,MATCH(C483,[1]系统模型!$A:$A,0))*POWER(C483/220,4),1)</f>
        <v>386</v>
      </c>
      <c r="R483" s="18">
        <f>INT(INDEX([1]系统模型!$VF:$VF,MATCH(C483,[1]系统模型!$A:$A,0))*MAX(POWER(C483/180,4),0.5))</f>
        <v>23960</v>
      </c>
      <c r="S483" s="5">
        <v>1000</v>
      </c>
      <c r="T483" s="25">
        <v>0</v>
      </c>
      <c r="U483" s="25">
        <v>0</v>
      </c>
      <c r="V483" s="25">
        <v>0</v>
      </c>
      <c r="W483" s="25">
        <v>0</v>
      </c>
      <c r="X483" s="25">
        <f t="shared" si="82"/>
        <v>1198</v>
      </c>
      <c r="Y483" s="12">
        <v>0</v>
      </c>
      <c r="Z483" s="25">
        <v>100</v>
      </c>
      <c r="AA483" s="25">
        <v>150</v>
      </c>
      <c r="AB483" s="25">
        <v>0</v>
      </c>
      <c r="AC483" s="25">
        <v>0</v>
      </c>
      <c r="AD483" s="25">
        <v>0</v>
      </c>
      <c r="AE483" s="25">
        <f t="shared" si="83"/>
        <v>356</v>
      </c>
      <c r="AF483" s="25">
        <f t="shared" si="84"/>
        <v>356</v>
      </c>
      <c r="AG483" s="25">
        <v>0</v>
      </c>
      <c r="AH483" s="25">
        <f t="shared" si="85"/>
        <v>4600</v>
      </c>
      <c r="AI483" s="25">
        <f t="shared" si="86"/>
        <v>42</v>
      </c>
      <c r="AJ483" s="25">
        <v>1</v>
      </c>
      <c r="AK483" s="25">
        <v>1000</v>
      </c>
      <c r="AL483" s="25">
        <v>100</v>
      </c>
      <c r="AM483" s="26">
        <v>10</v>
      </c>
      <c r="AN483" s="26">
        <v>10</v>
      </c>
      <c r="AO483" s="22" t="s">
        <v>2211</v>
      </c>
      <c r="AP483" s="26">
        <v>0</v>
      </c>
      <c r="AQ483" s="26">
        <f t="shared" si="87"/>
        <v>510</v>
      </c>
      <c r="AR483" s="18" t="str">
        <f ca="1">CONCATENATE(OFFSET(Sheet1!$A$2,RANDBETWEEN(2,500),0,1,1),OFFSET(Sheet1!$A$2,RANDBETWEEN(2,500),RANDBETWEEN(1,5),1,1))</f>
        <v>康斯坦斯</v>
      </c>
      <c r="AS483">
        <f>SUMPRODUCT(P483:AI483,Sheet2!$B$3:$U$3)</f>
        <v>160810</v>
      </c>
    </row>
    <row r="484" spans="1:45" x14ac:dyDescent="0.15">
      <c r="A484" s="23">
        <v>483</v>
      </c>
      <c r="B484" s="18" t="s">
        <v>888</v>
      </c>
      <c r="C484" s="18">
        <f t="shared" si="77"/>
        <v>178</v>
      </c>
      <c r="D484" s="19">
        <f t="shared" si="78"/>
        <v>3</v>
      </c>
      <c r="E484" s="19">
        <f>VLOOKUP(MOD(A484,4),各职业基础配置!C$32:D$35,2,FALSE)</f>
        <v>9</v>
      </c>
      <c r="F484" s="19">
        <f>IF(A484&lt;900,INDEX(各职业基础配置!C$23:C$28,MOD(ROW(A484),4)+1),0)</f>
        <v>8</v>
      </c>
      <c r="G484" s="19">
        <f t="shared" si="79"/>
        <v>32</v>
      </c>
      <c r="H484" s="27">
        <f t="shared" si="80"/>
        <v>2</v>
      </c>
      <c r="I484" s="6" t="s">
        <v>164</v>
      </c>
      <c r="J484" s="23" t="str">
        <f>VLOOKUP(E484,各职业基础配置!$B$9:$C$12,2,FALSE)</f>
        <v>116|117|118|4201|120</v>
      </c>
      <c r="K484" s="18" t="str">
        <f>VLOOKUP(E484,各职业基础配置!$B$15:$C$18,2,FALSE)</f>
        <v>28|29|30|31</v>
      </c>
      <c r="L484" s="18" t="str">
        <f>VLOOKUP(E484,各职业基础配置!B:C,2,FALSE)</f>
        <v>[{28,1,1},{29,1,1},{30,1,1},{31,1,1},{10,1,1},{11,1,1},{12,1,1}]</v>
      </c>
      <c r="M484" s="18">
        <v>0</v>
      </c>
      <c r="N484" s="18">
        <f t="shared" si="81"/>
        <v>3</v>
      </c>
      <c r="O484" s="18">
        <f>SUMPRODUCT(P484:AI484,Sheet2!$B$3:$U$3)</f>
        <v>160785</v>
      </c>
      <c r="P484" s="18">
        <f>CEILING(INDEX([1]系统模型!$VD:$VD,MATCH(C484,[1]系统模型!$A:$A,0))*POWER(C484/220,3.8)-50+(1000-A484),1)</f>
        <v>3163</v>
      </c>
      <c r="Q484" s="18">
        <f>CEILING(INDEX([1]系统模型!$VE:$VE,MATCH(C484,[1]系统模型!$A:$A,0))*POWER(C484/220,4),1)</f>
        <v>386</v>
      </c>
      <c r="R484" s="18">
        <f>INT(INDEX([1]系统模型!$VF:$VF,MATCH(C484,[1]系统模型!$A:$A,0))*MAX(POWER(C484/180,4),0.5))</f>
        <v>23960</v>
      </c>
      <c r="S484" s="5">
        <v>1000</v>
      </c>
      <c r="T484" s="25">
        <v>0</v>
      </c>
      <c r="U484" s="25">
        <v>0</v>
      </c>
      <c r="V484" s="25">
        <v>0</v>
      </c>
      <c r="W484" s="25">
        <v>0</v>
      </c>
      <c r="X484" s="25">
        <f t="shared" si="82"/>
        <v>1198</v>
      </c>
      <c r="Y484" s="12">
        <v>0</v>
      </c>
      <c r="Z484" s="25">
        <v>100</v>
      </c>
      <c r="AA484" s="25">
        <v>150</v>
      </c>
      <c r="AB484" s="25">
        <v>0</v>
      </c>
      <c r="AC484" s="25">
        <v>0</v>
      </c>
      <c r="AD484" s="25">
        <v>0</v>
      </c>
      <c r="AE484" s="25">
        <f t="shared" si="83"/>
        <v>356</v>
      </c>
      <c r="AF484" s="25">
        <f t="shared" si="84"/>
        <v>356</v>
      </c>
      <c r="AG484" s="25">
        <v>0</v>
      </c>
      <c r="AH484" s="25">
        <f t="shared" si="85"/>
        <v>4600</v>
      </c>
      <c r="AI484" s="25">
        <f t="shared" si="86"/>
        <v>42</v>
      </c>
      <c r="AJ484" s="25">
        <v>1</v>
      </c>
      <c r="AK484" s="25">
        <v>1000</v>
      </c>
      <c r="AL484" s="25">
        <v>100</v>
      </c>
      <c r="AM484" s="26">
        <v>10</v>
      </c>
      <c r="AN484" s="26">
        <v>10</v>
      </c>
      <c r="AO484" s="22" t="s">
        <v>2211</v>
      </c>
      <c r="AP484" s="26">
        <v>0</v>
      </c>
      <c r="AQ484" s="26">
        <f t="shared" si="87"/>
        <v>510</v>
      </c>
      <c r="AR484" s="18" t="str">
        <f ca="1">CONCATENATE(OFFSET(Sheet1!$A$2,RANDBETWEEN(2,500),0,1,1),OFFSET(Sheet1!$A$2,RANDBETWEEN(2,500),RANDBETWEEN(1,5),1,1))</f>
        <v>詹宁斯希尔达</v>
      </c>
      <c r="AS484">
        <f>SUMPRODUCT(P484:AI484,Sheet2!$B$3:$U$3)</f>
        <v>160785</v>
      </c>
    </row>
    <row r="485" spans="1:45" x14ac:dyDescent="0.15">
      <c r="A485" s="18">
        <v>484</v>
      </c>
      <c r="B485" s="18" t="s">
        <v>2015</v>
      </c>
      <c r="C485" s="18">
        <f t="shared" si="77"/>
        <v>178</v>
      </c>
      <c r="D485" s="19">
        <f t="shared" si="78"/>
        <v>2</v>
      </c>
      <c r="E485" s="19">
        <f>VLOOKUP(MOD(A485,4),各职业基础配置!C$32:D$35,2,FALSE)</f>
        <v>1</v>
      </c>
      <c r="F485" s="19">
        <f>IF(A485&lt;900,INDEX(各职业基础配置!C$23:C$28,MOD(ROW(A485),4)+1),0)</f>
        <v>13</v>
      </c>
      <c r="G485" s="19">
        <f t="shared" si="79"/>
        <v>32</v>
      </c>
      <c r="H485" s="27">
        <f t="shared" si="80"/>
        <v>2</v>
      </c>
      <c r="I485" s="6" t="s">
        <v>164</v>
      </c>
      <c r="J485" s="23" t="str">
        <f>VLOOKUP(E485,各职业基础配置!$B$9:$C$12,2,FALSE)</f>
        <v>101|102|103|4201|105</v>
      </c>
      <c r="K485" s="18" t="str">
        <f>VLOOKUP(E485,各职业基础配置!$B$15:$C$18,2,FALSE)</f>
        <v>24|25|26|27</v>
      </c>
      <c r="L485" s="18" t="str">
        <f>VLOOKUP(E485,各职业基础配置!B:C,2,FALSE)</f>
        <v>[{24,1,1},{25,1,1},{26,1,1},{27,1,1},{1,1,1},{2,1,1},{3,1,1}]</v>
      </c>
      <c r="M485" s="18">
        <v>0</v>
      </c>
      <c r="N485" s="18">
        <f t="shared" si="81"/>
        <v>3</v>
      </c>
      <c r="O485" s="18">
        <f>SUMPRODUCT(P485:AI485,Sheet2!$B$3:$U$3)</f>
        <v>160760</v>
      </c>
      <c r="P485" s="18">
        <f>CEILING(INDEX([1]系统模型!$VD:$VD,MATCH(C485,[1]系统模型!$A:$A,0))*POWER(C485/220,3.8)-50+(1000-A485),1)</f>
        <v>3162</v>
      </c>
      <c r="Q485" s="18">
        <f>CEILING(INDEX([1]系统模型!$VE:$VE,MATCH(C485,[1]系统模型!$A:$A,0))*POWER(C485/220,4),1)</f>
        <v>386</v>
      </c>
      <c r="R485" s="18">
        <f>INT(INDEX([1]系统模型!$VF:$VF,MATCH(C485,[1]系统模型!$A:$A,0))*MAX(POWER(C485/180,4),0.5))</f>
        <v>23960</v>
      </c>
      <c r="S485" s="5">
        <v>1000</v>
      </c>
      <c r="T485" s="25">
        <v>0</v>
      </c>
      <c r="U485" s="25">
        <v>0</v>
      </c>
      <c r="V485" s="25">
        <v>0</v>
      </c>
      <c r="W485" s="25">
        <v>0</v>
      </c>
      <c r="X485" s="25">
        <f t="shared" si="82"/>
        <v>1198</v>
      </c>
      <c r="Y485" s="12">
        <v>0</v>
      </c>
      <c r="Z485" s="25">
        <v>100</v>
      </c>
      <c r="AA485" s="25">
        <v>150</v>
      </c>
      <c r="AB485" s="25">
        <v>0</v>
      </c>
      <c r="AC485" s="25">
        <v>0</v>
      </c>
      <c r="AD485" s="25">
        <v>0</v>
      </c>
      <c r="AE485" s="25">
        <f t="shared" si="83"/>
        <v>356</v>
      </c>
      <c r="AF485" s="25">
        <f t="shared" si="84"/>
        <v>356</v>
      </c>
      <c r="AG485" s="25">
        <v>0</v>
      </c>
      <c r="AH485" s="25">
        <f t="shared" si="85"/>
        <v>4600</v>
      </c>
      <c r="AI485" s="25">
        <f t="shared" si="86"/>
        <v>42</v>
      </c>
      <c r="AJ485" s="25">
        <v>1</v>
      </c>
      <c r="AK485" s="25">
        <v>1000</v>
      </c>
      <c r="AL485" s="25">
        <v>100</v>
      </c>
      <c r="AM485" s="26">
        <v>10</v>
      </c>
      <c r="AN485" s="26">
        <v>10</v>
      </c>
      <c r="AO485" s="22" t="s">
        <v>2211</v>
      </c>
      <c r="AP485" s="26">
        <v>0</v>
      </c>
      <c r="AQ485" s="26">
        <f t="shared" si="87"/>
        <v>510</v>
      </c>
      <c r="AR485" s="18" t="str">
        <f ca="1">CONCATENATE(OFFSET(Sheet1!$A$2,RANDBETWEEN(2,500),0,1,1),OFFSET(Sheet1!$A$2,RANDBETWEEN(2,500),RANDBETWEEN(1,5),1,1))</f>
        <v>琼森鲁思玛丽</v>
      </c>
      <c r="AS485">
        <f>SUMPRODUCT(P485:AI485,Sheet2!$B$3:$U$3)</f>
        <v>160760</v>
      </c>
    </row>
    <row r="486" spans="1:45" x14ac:dyDescent="0.15">
      <c r="A486" s="18">
        <v>485</v>
      </c>
      <c r="B486" s="18" t="s">
        <v>2016</v>
      </c>
      <c r="C486" s="18">
        <f t="shared" si="77"/>
        <v>178</v>
      </c>
      <c r="D486" s="19">
        <f t="shared" si="78"/>
        <v>3</v>
      </c>
      <c r="E486" s="19">
        <f>VLOOKUP(MOD(A486,4),各职业基础配置!C$32:D$35,2,FALSE)</f>
        <v>3</v>
      </c>
      <c r="F486" s="19">
        <f>IF(A486&lt;900,INDEX(各职业基础配置!C$23:C$28,MOD(ROW(A486),4)+1),0)</f>
        <v>14</v>
      </c>
      <c r="G486" s="19">
        <f t="shared" si="79"/>
        <v>32</v>
      </c>
      <c r="H486" s="27">
        <f t="shared" si="80"/>
        <v>2</v>
      </c>
      <c r="I486" s="6" t="s">
        <v>164</v>
      </c>
      <c r="J486" s="23" t="str">
        <f>VLOOKUP(E486,各职业基础配置!$B$9:$C$12,2,FALSE)</f>
        <v>106|107|108|4201|110</v>
      </c>
      <c r="K486" s="18" t="str">
        <f>VLOOKUP(E486,各职业基础配置!$B$15:$C$18,2,FALSE)</f>
        <v>20|21|22|23</v>
      </c>
      <c r="L486" s="18" t="str">
        <f>VLOOKUP(E486,各职业基础配置!B:C,2,FALSE)</f>
        <v>[{20,1,1},{21,1,1},{22,1,1},{23,1,1},{4,1,1},{5,1,1},{6,1,1}]</v>
      </c>
      <c r="M486" s="18">
        <v>0</v>
      </c>
      <c r="N486" s="18">
        <f t="shared" si="81"/>
        <v>7</v>
      </c>
      <c r="O486" s="18">
        <f>SUMPRODUCT(P486:AI486,Sheet2!$B$3:$U$3)</f>
        <v>160735</v>
      </c>
      <c r="P486" s="18">
        <f>CEILING(INDEX([1]系统模型!$VD:$VD,MATCH(C486,[1]系统模型!$A:$A,0))*POWER(C486/220,3.8)-50+(1000-A486),1)</f>
        <v>3161</v>
      </c>
      <c r="Q486" s="18">
        <f>CEILING(INDEX([1]系统模型!$VE:$VE,MATCH(C486,[1]系统模型!$A:$A,0))*POWER(C486/220,4),1)</f>
        <v>386</v>
      </c>
      <c r="R486" s="18">
        <f>INT(INDEX([1]系统模型!$VF:$VF,MATCH(C486,[1]系统模型!$A:$A,0))*MAX(POWER(C486/180,4),0.5))</f>
        <v>23960</v>
      </c>
      <c r="S486" s="5">
        <v>1000</v>
      </c>
      <c r="T486" s="25">
        <v>0</v>
      </c>
      <c r="U486" s="25">
        <v>0</v>
      </c>
      <c r="V486" s="25">
        <v>0</v>
      </c>
      <c r="W486" s="25">
        <v>0</v>
      </c>
      <c r="X486" s="25">
        <f t="shared" si="82"/>
        <v>1198</v>
      </c>
      <c r="Y486" s="12">
        <v>0</v>
      </c>
      <c r="Z486" s="25">
        <v>100</v>
      </c>
      <c r="AA486" s="25">
        <v>150</v>
      </c>
      <c r="AB486" s="25">
        <v>0</v>
      </c>
      <c r="AC486" s="25">
        <v>0</v>
      </c>
      <c r="AD486" s="25">
        <v>0</v>
      </c>
      <c r="AE486" s="25">
        <f t="shared" si="83"/>
        <v>356</v>
      </c>
      <c r="AF486" s="25">
        <f t="shared" si="84"/>
        <v>356</v>
      </c>
      <c r="AG486" s="25">
        <v>0</v>
      </c>
      <c r="AH486" s="25">
        <f t="shared" si="85"/>
        <v>4600</v>
      </c>
      <c r="AI486" s="25">
        <f t="shared" si="86"/>
        <v>42</v>
      </c>
      <c r="AJ486" s="25">
        <v>1</v>
      </c>
      <c r="AK486" s="25">
        <v>1000</v>
      </c>
      <c r="AL486" s="25">
        <v>100</v>
      </c>
      <c r="AM486" s="26">
        <v>10</v>
      </c>
      <c r="AN486" s="26">
        <v>10</v>
      </c>
      <c r="AO486" s="22" t="s">
        <v>2211</v>
      </c>
      <c r="AP486" s="26">
        <v>0</v>
      </c>
      <c r="AQ486" s="26">
        <f t="shared" si="87"/>
        <v>510</v>
      </c>
      <c r="AR486" s="18" t="str">
        <f ca="1">CONCATENATE(OFFSET(Sheet1!$A$2,RANDBETWEEN(2,500),0,1,1),OFFSET(Sheet1!$A$2,RANDBETWEEN(2,500),RANDBETWEEN(1,5),1,1))</f>
        <v>卡拉米</v>
      </c>
      <c r="AS486">
        <f>SUMPRODUCT(P486:AI486,Sheet2!$B$3:$U$3)</f>
        <v>160735</v>
      </c>
    </row>
    <row r="487" spans="1:45" x14ac:dyDescent="0.15">
      <c r="A487" s="23">
        <v>486</v>
      </c>
      <c r="B487" s="18" t="s">
        <v>2017</v>
      </c>
      <c r="C487" s="18">
        <f t="shared" si="77"/>
        <v>178</v>
      </c>
      <c r="D487" s="19">
        <f t="shared" si="78"/>
        <v>2</v>
      </c>
      <c r="E487" s="19">
        <f>VLOOKUP(MOD(A487,4),各职业基础配置!C$32:D$35,2,FALSE)</f>
        <v>6</v>
      </c>
      <c r="F487" s="19">
        <f>IF(A487&lt;900,INDEX(各职业基础配置!C$23:C$28,MOD(ROW(A487),4)+1),0)</f>
        <v>16</v>
      </c>
      <c r="G487" s="19">
        <f t="shared" si="79"/>
        <v>32</v>
      </c>
      <c r="H487" s="27">
        <f t="shared" si="80"/>
        <v>2</v>
      </c>
      <c r="I487" s="6" t="s">
        <v>164</v>
      </c>
      <c r="J487" s="23" t="str">
        <f>VLOOKUP(E487,各职业基础配置!$B$9:$C$12,2,FALSE)</f>
        <v>111|112|113|4201|115</v>
      </c>
      <c r="K487" s="18" t="str">
        <f>VLOOKUP(E487,各职业基础配置!$B$15:$C$18,2,FALSE)</f>
        <v>32|33|34</v>
      </c>
      <c r="L487" s="18" t="str">
        <f>VLOOKUP(E487,各职业基础配置!B:C,2,FALSE)</f>
        <v>[{32,1,1},{33,1,1},{34,1,1},{35,1,1},{7,1,1},{8,1,1},{9,1,1}]</v>
      </c>
      <c r="M487" s="18">
        <v>0</v>
      </c>
      <c r="N487" s="18">
        <f t="shared" si="81"/>
        <v>7</v>
      </c>
      <c r="O487" s="18">
        <f>SUMPRODUCT(P487:AI487,Sheet2!$B$3:$U$3)</f>
        <v>160710</v>
      </c>
      <c r="P487" s="18">
        <f>CEILING(INDEX([1]系统模型!$VD:$VD,MATCH(C487,[1]系统模型!$A:$A,0))*POWER(C487/220,3.8)-50+(1000-A487),1)</f>
        <v>3160</v>
      </c>
      <c r="Q487" s="18">
        <f>CEILING(INDEX([1]系统模型!$VE:$VE,MATCH(C487,[1]系统模型!$A:$A,0))*POWER(C487/220,4),1)</f>
        <v>386</v>
      </c>
      <c r="R487" s="18">
        <f>INT(INDEX([1]系统模型!$VF:$VF,MATCH(C487,[1]系统模型!$A:$A,0))*MAX(POWER(C487/180,4),0.5))</f>
        <v>23960</v>
      </c>
      <c r="S487" s="5">
        <v>1000</v>
      </c>
      <c r="T487" s="25">
        <v>0</v>
      </c>
      <c r="U487" s="25">
        <v>0</v>
      </c>
      <c r="V487" s="25">
        <v>0</v>
      </c>
      <c r="W487" s="25">
        <v>0</v>
      </c>
      <c r="X487" s="25">
        <f t="shared" si="82"/>
        <v>1198</v>
      </c>
      <c r="Y487" s="12">
        <v>0</v>
      </c>
      <c r="Z487" s="25">
        <v>100</v>
      </c>
      <c r="AA487" s="25">
        <v>150</v>
      </c>
      <c r="AB487" s="25">
        <v>0</v>
      </c>
      <c r="AC487" s="25">
        <v>0</v>
      </c>
      <c r="AD487" s="25">
        <v>0</v>
      </c>
      <c r="AE487" s="25">
        <f t="shared" si="83"/>
        <v>356</v>
      </c>
      <c r="AF487" s="25">
        <f t="shared" si="84"/>
        <v>356</v>
      </c>
      <c r="AG487" s="25">
        <v>0</v>
      </c>
      <c r="AH487" s="25">
        <f t="shared" si="85"/>
        <v>4600</v>
      </c>
      <c r="AI487" s="25">
        <f t="shared" si="86"/>
        <v>42</v>
      </c>
      <c r="AJ487" s="25">
        <v>1</v>
      </c>
      <c r="AK487" s="25">
        <v>1000</v>
      </c>
      <c r="AL487" s="25">
        <v>100</v>
      </c>
      <c r="AM487" s="26">
        <v>10</v>
      </c>
      <c r="AN487" s="26">
        <v>10</v>
      </c>
      <c r="AO487" s="22" t="s">
        <v>2211</v>
      </c>
      <c r="AP487" s="26">
        <v>0</v>
      </c>
      <c r="AQ487" s="26">
        <f t="shared" si="87"/>
        <v>510</v>
      </c>
      <c r="AR487" s="18" t="str">
        <f ca="1">CONCATENATE(OFFSET(Sheet1!$A$2,RANDBETWEEN(2,500),0,1,1),OFFSET(Sheet1!$A$2,RANDBETWEEN(2,500),RANDBETWEEN(1,5),1,1))</f>
        <v>费迪南德</v>
      </c>
      <c r="AS487">
        <f>SUMPRODUCT(P487:AI487,Sheet2!$B$3:$U$3)</f>
        <v>160710</v>
      </c>
    </row>
    <row r="488" spans="1:45" x14ac:dyDescent="0.15">
      <c r="A488" s="18">
        <v>487</v>
      </c>
      <c r="B488" s="18" t="s">
        <v>2018</v>
      </c>
      <c r="C488" s="18">
        <f t="shared" si="77"/>
        <v>177</v>
      </c>
      <c r="D488" s="19">
        <f t="shared" si="78"/>
        <v>3</v>
      </c>
      <c r="E488" s="19">
        <f>VLOOKUP(MOD(A488,4),各职业基础配置!C$32:D$35,2,FALSE)</f>
        <v>9</v>
      </c>
      <c r="F488" s="19">
        <f>IF(A488&lt;900,INDEX(各职业基础配置!C$23:C$28,MOD(ROW(A488),4)+1),0)</f>
        <v>8</v>
      </c>
      <c r="G488" s="19">
        <f t="shared" si="79"/>
        <v>31</v>
      </c>
      <c r="H488" s="27">
        <f t="shared" si="80"/>
        <v>2</v>
      </c>
      <c r="I488" s="6" t="s">
        <v>164</v>
      </c>
      <c r="J488" s="23" t="str">
        <f>VLOOKUP(E488,各职业基础配置!$B$9:$C$12,2,FALSE)</f>
        <v>116|117|118|4201|120</v>
      </c>
      <c r="K488" s="18" t="str">
        <f>VLOOKUP(E488,各职业基础配置!$B$15:$C$18,2,FALSE)</f>
        <v>28|29|30|31</v>
      </c>
      <c r="L488" s="18" t="str">
        <f>VLOOKUP(E488,各职业基础配置!B:C,2,FALSE)</f>
        <v>[{28,1,1},{29,1,1},{30,1,1},{31,1,1},{10,1,1},{11,1,1},{12,1,1}]</v>
      </c>
      <c r="M488" s="18">
        <v>0</v>
      </c>
      <c r="N488" s="18">
        <f t="shared" si="81"/>
        <v>3</v>
      </c>
      <c r="O488" s="18">
        <f>SUMPRODUCT(P488:AI488,Sheet2!$B$3:$U$3)</f>
        <v>157240</v>
      </c>
      <c r="P488" s="18">
        <f>CEILING(INDEX([1]系统模型!$VD:$VD,MATCH(C488,[1]系统模型!$A:$A,0))*POWER(C488/220,3.8)-50+(1000-A488),1)</f>
        <v>3081</v>
      </c>
      <c r="Q488" s="18">
        <f>CEILING(INDEX([1]系统模型!$VE:$VE,MATCH(C488,[1]系统模型!$A:$A,0))*POWER(C488/220,4),1)</f>
        <v>373</v>
      </c>
      <c r="R488" s="18">
        <f>INT(INDEX([1]系统模型!$VF:$VF,MATCH(C488,[1]系统模型!$A:$A,0))*MAX(POWER(C488/180,4),0.5))</f>
        <v>23290</v>
      </c>
      <c r="S488" s="5">
        <v>1000</v>
      </c>
      <c r="T488" s="25">
        <v>0</v>
      </c>
      <c r="U488" s="25">
        <v>0</v>
      </c>
      <c r="V488" s="25">
        <v>0</v>
      </c>
      <c r="W488" s="25">
        <v>0</v>
      </c>
      <c r="X488" s="25">
        <f t="shared" si="82"/>
        <v>1164</v>
      </c>
      <c r="Y488" s="12">
        <v>0</v>
      </c>
      <c r="Z488" s="25">
        <v>100</v>
      </c>
      <c r="AA488" s="25">
        <v>150</v>
      </c>
      <c r="AB488" s="25">
        <v>0</v>
      </c>
      <c r="AC488" s="25">
        <v>0</v>
      </c>
      <c r="AD488" s="25">
        <v>0</v>
      </c>
      <c r="AE488" s="25">
        <f t="shared" si="83"/>
        <v>354</v>
      </c>
      <c r="AF488" s="25">
        <f t="shared" si="84"/>
        <v>354</v>
      </c>
      <c r="AG488" s="25">
        <v>0</v>
      </c>
      <c r="AH488" s="25">
        <f t="shared" si="85"/>
        <v>4525</v>
      </c>
      <c r="AI488" s="25">
        <f t="shared" si="86"/>
        <v>41</v>
      </c>
      <c r="AJ488" s="25">
        <v>1</v>
      </c>
      <c r="AK488" s="25">
        <v>1000</v>
      </c>
      <c r="AL488" s="25">
        <v>100</v>
      </c>
      <c r="AM488" s="26">
        <v>10</v>
      </c>
      <c r="AN488" s="26">
        <v>10</v>
      </c>
      <c r="AO488" s="22" t="s">
        <v>2211</v>
      </c>
      <c r="AP488" s="26">
        <v>0</v>
      </c>
      <c r="AQ488" s="26">
        <f t="shared" si="87"/>
        <v>510</v>
      </c>
      <c r="AR488" s="18" t="str">
        <f ca="1">CONCATENATE(OFFSET(Sheet1!$A$2,RANDBETWEEN(2,500),0,1,1),OFFSET(Sheet1!$A$2,RANDBETWEEN(2,500),RANDBETWEEN(1,5),1,1))</f>
        <v>阿米利亚</v>
      </c>
      <c r="AS488">
        <f>SUMPRODUCT(P488:AI488,Sheet2!$B$3:$U$3)</f>
        <v>157240</v>
      </c>
    </row>
    <row r="489" spans="1:45" x14ac:dyDescent="0.15">
      <c r="A489" s="18">
        <v>488</v>
      </c>
      <c r="B489" s="18" t="s">
        <v>847</v>
      </c>
      <c r="C489" s="18">
        <f t="shared" si="77"/>
        <v>177</v>
      </c>
      <c r="D489" s="19">
        <f t="shared" si="78"/>
        <v>2</v>
      </c>
      <c r="E489" s="19">
        <f>VLOOKUP(MOD(A489,4),各职业基础配置!C$32:D$35,2,FALSE)</f>
        <v>1</v>
      </c>
      <c r="F489" s="19">
        <f>IF(A489&lt;900,INDEX(各职业基础配置!C$23:C$28,MOD(ROW(A489),4)+1),0)</f>
        <v>13</v>
      </c>
      <c r="G489" s="19">
        <f t="shared" si="79"/>
        <v>31</v>
      </c>
      <c r="H489" s="27">
        <f t="shared" si="80"/>
        <v>2</v>
      </c>
      <c r="I489" s="6" t="s">
        <v>164</v>
      </c>
      <c r="J489" s="23" t="str">
        <f>VLOOKUP(E489,各职业基础配置!$B$9:$C$12,2,FALSE)</f>
        <v>101|102|103|4201|105</v>
      </c>
      <c r="K489" s="18" t="str">
        <f>VLOOKUP(E489,各职业基础配置!$B$15:$C$18,2,FALSE)</f>
        <v>24|25|26|27</v>
      </c>
      <c r="L489" s="18" t="str">
        <f>VLOOKUP(E489,各职业基础配置!B:C,2,FALSE)</f>
        <v>[{24,1,1},{25,1,1},{26,1,1},{27,1,1},{1,1,1},{2,1,1},{3,1,1}]</v>
      </c>
      <c r="M489" s="18">
        <v>0</v>
      </c>
      <c r="N489" s="18">
        <f t="shared" si="81"/>
        <v>3</v>
      </c>
      <c r="O489" s="18">
        <f>SUMPRODUCT(P489:AI489,Sheet2!$B$3:$U$3)</f>
        <v>157215</v>
      </c>
      <c r="P489" s="18">
        <f>CEILING(INDEX([1]系统模型!$VD:$VD,MATCH(C489,[1]系统模型!$A:$A,0))*POWER(C489/220,3.8)-50+(1000-A489),1)</f>
        <v>3080</v>
      </c>
      <c r="Q489" s="18">
        <f>CEILING(INDEX([1]系统模型!$VE:$VE,MATCH(C489,[1]系统模型!$A:$A,0))*POWER(C489/220,4),1)</f>
        <v>373</v>
      </c>
      <c r="R489" s="18">
        <f>INT(INDEX([1]系统模型!$VF:$VF,MATCH(C489,[1]系统模型!$A:$A,0))*MAX(POWER(C489/180,4),0.5))</f>
        <v>23290</v>
      </c>
      <c r="S489" s="5">
        <v>1000</v>
      </c>
      <c r="T489" s="25">
        <v>0</v>
      </c>
      <c r="U489" s="25">
        <v>0</v>
      </c>
      <c r="V489" s="25">
        <v>0</v>
      </c>
      <c r="W489" s="25">
        <v>0</v>
      </c>
      <c r="X489" s="25">
        <f t="shared" si="82"/>
        <v>1164</v>
      </c>
      <c r="Y489" s="12">
        <v>0</v>
      </c>
      <c r="Z489" s="25">
        <v>100</v>
      </c>
      <c r="AA489" s="25">
        <v>150</v>
      </c>
      <c r="AB489" s="25">
        <v>0</v>
      </c>
      <c r="AC489" s="25">
        <v>0</v>
      </c>
      <c r="AD489" s="25">
        <v>0</v>
      </c>
      <c r="AE489" s="25">
        <f t="shared" si="83"/>
        <v>354</v>
      </c>
      <c r="AF489" s="25">
        <f t="shared" si="84"/>
        <v>354</v>
      </c>
      <c r="AG489" s="25">
        <v>0</v>
      </c>
      <c r="AH489" s="25">
        <f t="shared" si="85"/>
        <v>4525</v>
      </c>
      <c r="AI489" s="25">
        <f t="shared" si="86"/>
        <v>41</v>
      </c>
      <c r="AJ489" s="25">
        <v>1</v>
      </c>
      <c r="AK489" s="25">
        <v>1000</v>
      </c>
      <c r="AL489" s="25">
        <v>100</v>
      </c>
      <c r="AM489" s="26">
        <v>10</v>
      </c>
      <c r="AN489" s="26">
        <v>10</v>
      </c>
      <c r="AO489" s="22" t="s">
        <v>2211</v>
      </c>
      <c r="AP489" s="26">
        <v>0</v>
      </c>
      <c r="AQ489" s="26">
        <f t="shared" si="87"/>
        <v>510</v>
      </c>
      <c r="AR489" s="18" t="str">
        <f ca="1">CONCATENATE(OFFSET(Sheet1!$A$2,RANDBETWEEN(2,500),0,1,1),OFFSET(Sheet1!$A$2,RANDBETWEEN(2,500),RANDBETWEEN(1,5),1,1))</f>
        <v>哈特埃尔韦拉</v>
      </c>
      <c r="AS489">
        <f>SUMPRODUCT(P489:AI489,Sheet2!$B$3:$U$3)</f>
        <v>157215</v>
      </c>
    </row>
    <row r="490" spans="1:45" x14ac:dyDescent="0.15">
      <c r="A490" s="23">
        <v>489</v>
      </c>
      <c r="B490" s="18" t="s">
        <v>953</v>
      </c>
      <c r="C490" s="18">
        <f t="shared" si="77"/>
        <v>177</v>
      </c>
      <c r="D490" s="19">
        <f t="shared" si="78"/>
        <v>3</v>
      </c>
      <c r="E490" s="19">
        <f>VLOOKUP(MOD(A490,4),各职业基础配置!C$32:D$35,2,FALSE)</f>
        <v>3</v>
      </c>
      <c r="F490" s="19">
        <f>IF(A490&lt;900,INDEX(各职业基础配置!C$23:C$28,MOD(ROW(A490),4)+1),0)</f>
        <v>14</v>
      </c>
      <c r="G490" s="19">
        <f t="shared" si="79"/>
        <v>31</v>
      </c>
      <c r="H490" s="27">
        <f t="shared" si="80"/>
        <v>2</v>
      </c>
      <c r="I490" s="6" t="s">
        <v>164</v>
      </c>
      <c r="J490" s="23" t="str">
        <f>VLOOKUP(E490,各职业基础配置!$B$9:$C$12,2,FALSE)</f>
        <v>106|107|108|4201|110</v>
      </c>
      <c r="K490" s="18" t="str">
        <f>VLOOKUP(E490,各职业基础配置!$B$15:$C$18,2,FALSE)</f>
        <v>20|21|22|23</v>
      </c>
      <c r="L490" s="18" t="str">
        <f>VLOOKUP(E490,各职业基础配置!B:C,2,FALSE)</f>
        <v>[{20,1,1},{21,1,1},{22,1,1},{23,1,1},{4,1,1},{5,1,1},{6,1,1}]</v>
      </c>
      <c r="M490" s="18">
        <v>0</v>
      </c>
      <c r="N490" s="18">
        <f t="shared" si="81"/>
        <v>7</v>
      </c>
      <c r="O490" s="18">
        <f>SUMPRODUCT(P490:AI490,Sheet2!$B$3:$U$3)</f>
        <v>157190</v>
      </c>
      <c r="P490" s="18">
        <f>CEILING(INDEX([1]系统模型!$VD:$VD,MATCH(C490,[1]系统模型!$A:$A,0))*POWER(C490/220,3.8)-50+(1000-A490),1)</f>
        <v>3079</v>
      </c>
      <c r="Q490" s="18">
        <f>CEILING(INDEX([1]系统模型!$VE:$VE,MATCH(C490,[1]系统模型!$A:$A,0))*POWER(C490/220,4),1)</f>
        <v>373</v>
      </c>
      <c r="R490" s="18">
        <f>INT(INDEX([1]系统模型!$VF:$VF,MATCH(C490,[1]系统模型!$A:$A,0))*MAX(POWER(C490/180,4),0.5))</f>
        <v>23290</v>
      </c>
      <c r="S490" s="5">
        <v>1000</v>
      </c>
      <c r="T490" s="25">
        <v>0</v>
      </c>
      <c r="U490" s="25">
        <v>0</v>
      </c>
      <c r="V490" s="25">
        <v>0</v>
      </c>
      <c r="W490" s="25">
        <v>0</v>
      </c>
      <c r="X490" s="25">
        <f t="shared" si="82"/>
        <v>1164</v>
      </c>
      <c r="Y490" s="12">
        <v>0</v>
      </c>
      <c r="Z490" s="25">
        <v>100</v>
      </c>
      <c r="AA490" s="25">
        <v>150</v>
      </c>
      <c r="AB490" s="25">
        <v>0</v>
      </c>
      <c r="AC490" s="25">
        <v>0</v>
      </c>
      <c r="AD490" s="25">
        <v>0</v>
      </c>
      <c r="AE490" s="25">
        <f t="shared" si="83"/>
        <v>354</v>
      </c>
      <c r="AF490" s="25">
        <f t="shared" si="84"/>
        <v>354</v>
      </c>
      <c r="AG490" s="25">
        <v>0</v>
      </c>
      <c r="AH490" s="25">
        <f t="shared" si="85"/>
        <v>4525</v>
      </c>
      <c r="AI490" s="25">
        <f t="shared" si="86"/>
        <v>41</v>
      </c>
      <c r="AJ490" s="25">
        <v>1</v>
      </c>
      <c r="AK490" s="25">
        <v>1000</v>
      </c>
      <c r="AL490" s="25">
        <v>100</v>
      </c>
      <c r="AM490" s="26">
        <v>10</v>
      </c>
      <c r="AN490" s="26">
        <v>10</v>
      </c>
      <c r="AO490" s="22" t="s">
        <v>2211</v>
      </c>
      <c r="AP490" s="26">
        <v>0</v>
      </c>
      <c r="AQ490" s="26">
        <f t="shared" si="87"/>
        <v>510</v>
      </c>
      <c r="AR490" s="18" t="str">
        <f ca="1">CONCATENATE(OFFSET(Sheet1!$A$2,RANDBETWEEN(2,500),0,1,1),OFFSET(Sheet1!$A$2,RANDBETWEEN(2,500),RANDBETWEEN(1,5),1,1))</f>
        <v>戴西</v>
      </c>
      <c r="AS490">
        <f>SUMPRODUCT(P490:AI490,Sheet2!$B$3:$U$3)</f>
        <v>157190</v>
      </c>
    </row>
    <row r="491" spans="1:45" x14ac:dyDescent="0.15">
      <c r="A491" s="18">
        <v>490</v>
      </c>
      <c r="B491" s="18" t="s">
        <v>1356</v>
      </c>
      <c r="C491" s="18">
        <f t="shared" si="77"/>
        <v>177</v>
      </c>
      <c r="D491" s="19">
        <f t="shared" si="78"/>
        <v>2</v>
      </c>
      <c r="E491" s="19">
        <f>VLOOKUP(MOD(A491,4),各职业基础配置!C$32:D$35,2,FALSE)</f>
        <v>6</v>
      </c>
      <c r="F491" s="19">
        <f>IF(A491&lt;900,INDEX(各职业基础配置!C$23:C$28,MOD(ROW(A491),4)+1),0)</f>
        <v>16</v>
      </c>
      <c r="G491" s="19">
        <f t="shared" si="79"/>
        <v>31</v>
      </c>
      <c r="H491" s="27">
        <f t="shared" si="80"/>
        <v>2</v>
      </c>
      <c r="I491" s="6" t="s">
        <v>164</v>
      </c>
      <c r="J491" s="23" t="str">
        <f>VLOOKUP(E491,各职业基础配置!$B$9:$C$12,2,FALSE)</f>
        <v>111|112|113|4201|115</v>
      </c>
      <c r="K491" s="18" t="str">
        <f>VLOOKUP(E491,各职业基础配置!$B$15:$C$18,2,FALSE)</f>
        <v>32|33|34</v>
      </c>
      <c r="L491" s="18" t="str">
        <f>VLOOKUP(E491,各职业基础配置!B:C,2,FALSE)</f>
        <v>[{32,1,1},{33,1,1},{34,1,1},{35,1,1},{7,1,1},{8,1,1},{9,1,1}]</v>
      </c>
      <c r="M491" s="18">
        <v>0</v>
      </c>
      <c r="N491" s="18">
        <f t="shared" si="81"/>
        <v>7</v>
      </c>
      <c r="O491" s="18">
        <f>SUMPRODUCT(P491:AI491,Sheet2!$B$3:$U$3)</f>
        <v>157165</v>
      </c>
      <c r="P491" s="18">
        <f>CEILING(INDEX([1]系统模型!$VD:$VD,MATCH(C491,[1]系统模型!$A:$A,0))*POWER(C491/220,3.8)-50+(1000-A491),1)</f>
        <v>3078</v>
      </c>
      <c r="Q491" s="18">
        <f>CEILING(INDEX([1]系统模型!$VE:$VE,MATCH(C491,[1]系统模型!$A:$A,0))*POWER(C491/220,4),1)</f>
        <v>373</v>
      </c>
      <c r="R491" s="18">
        <f>INT(INDEX([1]系统模型!$VF:$VF,MATCH(C491,[1]系统模型!$A:$A,0))*MAX(POWER(C491/180,4),0.5))</f>
        <v>23290</v>
      </c>
      <c r="S491" s="5">
        <v>1000</v>
      </c>
      <c r="T491" s="25">
        <v>0</v>
      </c>
      <c r="U491" s="25">
        <v>0</v>
      </c>
      <c r="V491" s="25">
        <v>0</v>
      </c>
      <c r="W491" s="25">
        <v>0</v>
      </c>
      <c r="X491" s="25">
        <f t="shared" si="82"/>
        <v>1164</v>
      </c>
      <c r="Y491" s="12">
        <v>0</v>
      </c>
      <c r="Z491" s="25">
        <v>100</v>
      </c>
      <c r="AA491" s="25">
        <v>150</v>
      </c>
      <c r="AB491" s="25">
        <v>0</v>
      </c>
      <c r="AC491" s="25">
        <v>0</v>
      </c>
      <c r="AD491" s="25">
        <v>0</v>
      </c>
      <c r="AE491" s="25">
        <f t="shared" si="83"/>
        <v>354</v>
      </c>
      <c r="AF491" s="25">
        <f t="shared" si="84"/>
        <v>354</v>
      </c>
      <c r="AG491" s="25">
        <v>0</v>
      </c>
      <c r="AH491" s="25">
        <f t="shared" si="85"/>
        <v>4525</v>
      </c>
      <c r="AI491" s="25">
        <f t="shared" si="86"/>
        <v>41</v>
      </c>
      <c r="AJ491" s="25">
        <v>1</v>
      </c>
      <c r="AK491" s="25">
        <v>1000</v>
      </c>
      <c r="AL491" s="25">
        <v>100</v>
      </c>
      <c r="AM491" s="26">
        <v>10</v>
      </c>
      <c r="AN491" s="26">
        <v>10</v>
      </c>
      <c r="AO491" s="22" t="s">
        <v>2211</v>
      </c>
      <c r="AP491" s="26">
        <v>0</v>
      </c>
      <c r="AQ491" s="26">
        <f t="shared" si="87"/>
        <v>510</v>
      </c>
      <c r="AR491" s="18" t="str">
        <f ca="1">CONCATENATE(OFFSET(Sheet1!$A$2,RANDBETWEEN(2,500),0,1,1),OFFSET(Sheet1!$A$2,RANDBETWEEN(2,500),RANDBETWEEN(1,5),1,1))</f>
        <v>丹尼尔</v>
      </c>
      <c r="AS491">
        <f>SUMPRODUCT(P491:AI491,Sheet2!$B$3:$U$3)</f>
        <v>157165</v>
      </c>
    </row>
    <row r="492" spans="1:45" x14ac:dyDescent="0.15">
      <c r="A492" s="18">
        <v>491</v>
      </c>
      <c r="B492" s="18" t="s">
        <v>956</v>
      </c>
      <c r="C492" s="18">
        <f t="shared" si="77"/>
        <v>177</v>
      </c>
      <c r="D492" s="19">
        <f t="shared" si="78"/>
        <v>3</v>
      </c>
      <c r="E492" s="19">
        <f>VLOOKUP(MOD(A492,4),各职业基础配置!C$32:D$35,2,FALSE)</f>
        <v>9</v>
      </c>
      <c r="F492" s="19">
        <f>IF(A492&lt;900,INDEX(各职业基础配置!C$23:C$28,MOD(ROW(A492),4)+1),0)</f>
        <v>8</v>
      </c>
      <c r="G492" s="19">
        <f t="shared" si="79"/>
        <v>31</v>
      </c>
      <c r="H492" s="27">
        <f t="shared" si="80"/>
        <v>2</v>
      </c>
      <c r="I492" s="6" t="s">
        <v>164</v>
      </c>
      <c r="J492" s="23" t="str">
        <f>VLOOKUP(E492,各职业基础配置!$B$9:$C$12,2,FALSE)</f>
        <v>116|117|118|4201|120</v>
      </c>
      <c r="K492" s="18" t="str">
        <f>VLOOKUP(E492,各职业基础配置!$B$15:$C$18,2,FALSE)</f>
        <v>28|29|30|31</v>
      </c>
      <c r="L492" s="18" t="str">
        <f>VLOOKUP(E492,各职业基础配置!B:C,2,FALSE)</f>
        <v>[{28,1,1},{29,1,1},{30,1,1},{31,1,1},{10,1,1},{11,1,1},{12,1,1}]</v>
      </c>
      <c r="M492" s="18">
        <v>0</v>
      </c>
      <c r="N492" s="18">
        <f t="shared" si="81"/>
        <v>3</v>
      </c>
      <c r="O492" s="18">
        <f>SUMPRODUCT(P492:AI492,Sheet2!$B$3:$U$3)</f>
        <v>157140</v>
      </c>
      <c r="P492" s="18">
        <f>CEILING(INDEX([1]系统模型!$VD:$VD,MATCH(C492,[1]系统模型!$A:$A,0))*POWER(C492/220,3.8)-50+(1000-A492),1)</f>
        <v>3077</v>
      </c>
      <c r="Q492" s="18">
        <f>CEILING(INDEX([1]系统模型!$VE:$VE,MATCH(C492,[1]系统模型!$A:$A,0))*POWER(C492/220,4),1)</f>
        <v>373</v>
      </c>
      <c r="R492" s="18">
        <f>INT(INDEX([1]系统模型!$VF:$VF,MATCH(C492,[1]系统模型!$A:$A,0))*MAX(POWER(C492/180,4),0.5))</f>
        <v>23290</v>
      </c>
      <c r="S492" s="5">
        <v>1000</v>
      </c>
      <c r="T492" s="25">
        <v>0</v>
      </c>
      <c r="U492" s="25">
        <v>0</v>
      </c>
      <c r="V492" s="25">
        <v>0</v>
      </c>
      <c r="W492" s="25">
        <v>0</v>
      </c>
      <c r="X492" s="25">
        <f t="shared" si="82"/>
        <v>1164</v>
      </c>
      <c r="Y492" s="12">
        <v>0</v>
      </c>
      <c r="Z492" s="25">
        <v>100</v>
      </c>
      <c r="AA492" s="25">
        <v>150</v>
      </c>
      <c r="AB492" s="25">
        <v>0</v>
      </c>
      <c r="AC492" s="25">
        <v>0</v>
      </c>
      <c r="AD492" s="25">
        <v>0</v>
      </c>
      <c r="AE492" s="25">
        <f t="shared" si="83"/>
        <v>354</v>
      </c>
      <c r="AF492" s="25">
        <f t="shared" si="84"/>
        <v>354</v>
      </c>
      <c r="AG492" s="25">
        <v>0</v>
      </c>
      <c r="AH492" s="25">
        <f t="shared" si="85"/>
        <v>4525</v>
      </c>
      <c r="AI492" s="25">
        <f t="shared" si="86"/>
        <v>41</v>
      </c>
      <c r="AJ492" s="25">
        <v>1</v>
      </c>
      <c r="AK492" s="25">
        <v>1000</v>
      </c>
      <c r="AL492" s="25">
        <v>100</v>
      </c>
      <c r="AM492" s="26">
        <v>10</v>
      </c>
      <c r="AN492" s="26">
        <v>10</v>
      </c>
      <c r="AO492" s="22" t="s">
        <v>2211</v>
      </c>
      <c r="AP492" s="26">
        <v>0</v>
      </c>
      <c r="AQ492" s="26">
        <f t="shared" si="87"/>
        <v>500</v>
      </c>
      <c r="AR492" s="18" t="str">
        <f ca="1">CONCATENATE(OFFSET(Sheet1!$A$2,RANDBETWEEN(2,500),0,1,1),OFFSET(Sheet1!$A$2,RANDBETWEEN(2,500),RANDBETWEEN(1,5),1,1))</f>
        <v>康尼</v>
      </c>
      <c r="AS492">
        <f>SUMPRODUCT(P492:AI492,Sheet2!$B$3:$U$3)</f>
        <v>157140</v>
      </c>
    </row>
    <row r="493" spans="1:45" x14ac:dyDescent="0.15">
      <c r="A493" s="23">
        <v>492</v>
      </c>
      <c r="B493" s="18" t="s">
        <v>1087</v>
      </c>
      <c r="C493" s="18">
        <f t="shared" si="77"/>
        <v>177</v>
      </c>
      <c r="D493" s="19">
        <f t="shared" si="78"/>
        <v>2</v>
      </c>
      <c r="E493" s="19">
        <f>VLOOKUP(MOD(A493,4),各职业基础配置!C$32:D$35,2,FALSE)</f>
        <v>1</v>
      </c>
      <c r="F493" s="19">
        <f>IF(A493&lt;900,INDEX(各职业基础配置!C$23:C$28,MOD(ROW(A493),4)+1),0)</f>
        <v>13</v>
      </c>
      <c r="G493" s="19">
        <f t="shared" si="79"/>
        <v>31</v>
      </c>
      <c r="H493" s="27">
        <f t="shared" si="80"/>
        <v>2</v>
      </c>
      <c r="I493" s="6" t="s">
        <v>164</v>
      </c>
      <c r="J493" s="23" t="str">
        <f>VLOOKUP(E493,各职业基础配置!$B$9:$C$12,2,FALSE)</f>
        <v>101|102|103|4201|105</v>
      </c>
      <c r="K493" s="18" t="str">
        <f>VLOOKUP(E493,各职业基础配置!$B$15:$C$18,2,FALSE)</f>
        <v>24|25|26|27</v>
      </c>
      <c r="L493" s="18" t="str">
        <f>VLOOKUP(E493,各职业基础配置!B:C,2,FALSE)</f>
        <v>[{24,1,1},{25,1,1},{26,1,1},{27,1,1},{1,1,1},{2,1,1},{3,1,1}]</v>
      </c>
      <c r="M493" s="18">
        <v>0</v>
      </c>
      <c r="N493" s="18">
        <f t="shared" si="81"/>
        <v>3</v>
      </c>
      <c r="O493" s="18">
        <f>SUMPRODUCT(P493:AI493,Sheet2!$B$3:$U$3)</f>
        <v>157115</v>
      </c>
      <c r="P493" s="18">
        <f>CEILING(INDEX([1]系统模型!$VD:$VD,MATCH(C493,[1]系统模型!$A:$A,0))*POWER(C493/220,3.8)-50+(1000-A493),1)</f>
        <v>3076</v>
      </c>
      <c r="Q493" s="18">
        <f>CEILING(INDEX([1]系统模型!$VE:$VE,MATCH(C493,[1]系统模型!$A:$A,0))*POWER(C493/220,4),1)</f>
        <v>373</v>
      </c>
      <c r="R493" s="18">
        <f>INT(INDEX([1]系统模型!$VF:$VF,MATCH(C493,[1]系统模型!$A:$A,0))*MAX(POWER(C493/180,4),0.5))</f>
        <v>23290</v>
      </c>
      <c r="S493" s="5">
        <v>1000</v>
      </c>
      <c r="T493" s="25">
        <v>0</v>
      </c>
      <c r="U493" s="25">
        <v>0</v>
      </c>
      <c r="V493" s="25">
        <v>0</v>
      </c>
      <c r="W493" s="25">
        <v>0</v>
      </c>
      <c r="X493" s="25">
        <f t="shared" si="82"/>
        <v>1164</v>
      </c>
      <c r="Y493" s="12">
        <v>0</v>
      </c>
      <c r="Z493" s="25">
        <v>100</v>
      </c>
      <c r="AA493" s="25">
        <v>150</v>
      </c>
      <c r="AB493" s="25">
        <v>0</v>
      </c>
      <c r="AC493" s="25">
        <v>0</v>
      </c>
      <c r="AD493" s="25">
        <v>0</v>
      </c>
      <c r="AE493" s="25">
        <f t="shared" si="83"/>
        <v>354</v>
      </c>
      <c r="AF493" s="25">
        <f t="shared" si="84"/>
        <v>354</v>
      </c>
      <c r="AG493" s="25">
        <v>0</v>
      </c>
      <c r="AH493" s="25">
        <f t="shared" si="85"/>
        <v>4525</v>
      </c>
      <c r="AI493" s="25">
        <f t="shared" si="86"/>
        <v>41</v>
      </c>
      <c r="AJ493" s="25">
        <v>1</v>
      </c>
      <c r="AK493" s="25">
        <v>1000</v>
      </c>
      <c r="AL493" s="25">
        <v>100</v>
      </c>
      <c r="AM493" s="26">
        <v>10</v>
      </c>
      <c r="AN493" s="26">
        <v>10</v>
      </c>
      <c r="AO493" s="22" t="s">
        <v>2211</v>
      </c>
      <c r="AP493" s="26">
        <v>0</v>
      </c>
      <c r="AQ493" s="26">
        <f t="shared" si="87"/>
        <v>500</v>
      </c>
      <c r="AR493" s="18" t="str">
        <f ca="1">CONCATENATE(OFFSET(Sheet1!$A$2,RANDBETWEEN(2,500),0,1,1),OFFSET(Sheet1!$A$2,RANDBETWEEN(2,500),RANDBETWEEN(1,5),1,1))</f>
        <v>康纳葛佳丝塔芙</v>
      </c>
      <c r="AS493">
        <f>SUMPRODUCT(P493:AI493,Sheet2!$B$3:$U$3)</f>
        <v>157115</v>
      </c>
    </row>
    <row r="494" spans="1:45" x14ac:dyDescent="0.15">
      <c r="A494" s="18">
        <v>493</v>
      </c>
      <c r="B494" s="18" t="s">
        <v>2019</v>
      </c>
      <c r="C494" s="18">
        <f t="shared" si="77"/>
        <v>177</v>
      </c>
      <c r="D494" s="19">
        <f t="shared" si="78"/>
        <v>3</v>
      </c>
      <c r="E494" s="19">
        <f>VLOOKUP(MOD(A494,4),各职业基础配置!C$32:D$35,2,FALSE)</f>
        <v>3</v>
      </c>
      <c r="F494" s="19">
        <f>IF(A494&lt;900,INDEX(各职业基础配置!C$23:C$28,MOD(ROW(A494),4)+1),0)</f>
        <v>14</v>
      </c>
      <c r="G494" s="19">
        <f t="shared" si="79"/>
        <v>31</v>
      </c>
      <c r="H494" s="27">
        <f t="shared" si="80"/>
        <v>2</v>
      </c>
      <c r="I494" s="6" t="s">
        <v>164</v>
      </c>
      <c r="J494" s="23" t="str">
        <f>VLOOKUP(E494,各职业基础配置!$B$9:$C$12,2,FALSE)</f>
        <v>106|107|108|4201|110</v>
      </c>
      <c r="K494" s="18" t="str">
        <f>VLOOKUP(E494,各职业基础配置!$B$15:$C$18,2,FALSE)</f>
        <v>20|21|22|23</v>
      </c>
      <c r="L494" s="18" t="str">
        <f>VLOOKUP(E494,各职业基础配置!B:C,2,FALSE)</f>
        <v>[{20,1,1},{21,1,1},{22,1,1},{23,1,1},{4,1,1},{5,1,1},{6,1,1}]</v>
      </c>
      <c r="M494" s="18">
        <v>0</v>
      </c>
      <c r="N494" s="18">
        <f t="shared" si="81"/>
        <v>7</v>
      </c>
      <c r="O494" s="18">
        <f>SUMPRODUCT(P494:AI494,Sheet2!$B$3:$U$3)</f>
        <v>157090</v>
      </c>
      <c r="P494" s="18">
        <f>CEILING(INDEX([1]系统模型!$VD:$VD,MATCH(C494,[1]系统模型!$A:$A,0))*POWER(C494/220,3.8)-50+(1000-A494),1)</f>
        <v>3075</v>
      </c>
      <c r="Q494" s="18">
        <f>CEILING(INDEX([1]系统模型!$VE:$VE,MATCH(C494,[1]系统模型!$A:$A,0))*POWER(C494/220,4),1)</f>
        <v>373</v>
      </c>
      <c r="R494" s="18">
        <f>INT(INDEX([1]系统模型!$VF:$VF,MATCH(C494,[1]系统模型!$A:$A,0))*MAX(POWER(C494/180,4),0.5))</f>
        <v>23290</v>
      </c>
      <c r="S494" s="5">
        <v>1000</v>
      </c>
      <c r="T494" s="25">
        <v>0</v>
      </c>
      <c r="U494" s="25">
        <v>0</v>
      </c>
      <c r="V494" s="25">
        <v>0</v>
      </c>
      <c r="W494" s="25">
        <v>0</v>
      </c>
      <c r="X494" s="25">
        <f t="shared" si="82"/>
        <v>1164</v>
      </c>
      <c r="Y494" s="12">
        <v>0</v>
      </c>
      <c r="Z494" s="25">
        <v>100</v>
      </c>
      <c r="AA494" s="25">
        <v>150</v>
      </c>
      <c r="AB494" s="25">
        <v>0</v>
      </c>
      <c r="AC494" s="25">
        <v>0</v>
      </c>
      <c r="AD494" s="25">
        <v>0</v>
      </c>
      <c r="AE494" s="25">
        <f t="shared" si="83"/>
        <v>354</v>
      </c>
      <c r="AF494" s="25">
        <f t="shared" si="84"/>
        <v>354</v>
      </c>
      <c r="AG494" s="25">
        <v>0</v>
      </c>
      <c r="AH494" s="25">
        <f t="shared" si="85"/>
        <v>4525</v>
      </c>
      <c r="AI494" s="25">
        <f t="shared" si="86"/>
        <v>41</v>
      </c>
      <c r="AJ494" s="25">
        <v>1</v>
      </c>
      <c r="AK494" s="25">
        <v>1000</v>
      </c>
      <c r="AL494" s="25">
        <v>100</v>
      </c>
      <c r="AM494" s="26">
        <v>10</v>
      </c>
      <c r="AN494" s="26">
        <v>10</v>
      </c>
      <c r="AO494" s="22" t="s">
        <v>2211</v>
      </c>
      <c r="AP494" s="26">
        <v>0</v>
      </c>
      <c r="AQ494" s="26">
        <f t="shared" si="87"/>
        <v>500</v>
      </c>
      <c r="AR494" s="18" t="str">
        <f ca="1">CONCATENATE(OFFSET(Sheet1!$A$2,RANDBETWEEN(2,500),0,1,1),OFFSET(Sheet1!$A$2,RANDBETWEEN(2,500),RANDBETWEEN(1,5),1,1))</f>
        <v>霍雷肖</v>
      </c>
      <c r="AS494">
        <f>SUMPRODUCT(P494:AI494,Sheet2!$B$3:$U$3)</f>
        <v>157090</v>
      </c>
    </row>
    <row r="495" spans="1:45" x14ac:dyDescent="0.15">
      <c r="A495" s="18">
        <v>494</v>
      </c>
      <c r="B495" s="18" t="s">
        <v>415</v>
      </c>
      <c r="C495" s="18">
        <f t="shared" si="77"/>
        <v>176</v>
      </c>
      <c r="D495" s="19">
        <f t="shared" si="78"/>
        <v>2</v>
      </c>
      <c r="E495" s="19">
        <f>VLOOKUP(MOD(A495,4),各职业基础配置!C$32:D$35,2,FALSE)</f>
        <v>6</v>
      </c>
      <c r="F495" s="19">
        <f>IF(A495&lt;900,INDEX(各职业基础配置!C$23:C$28,MOD(ROW(A495),4)+1),0)</f>
        <v>16</v>
      </c>
      <c r="G495" s="19">
        <f t="shared" si="79"/>
        <v>30</v>
      </c>
      <c r="H495" s="27">
        <f t="shared" si="80"/>
        <v>2</v>
      </c>
      <c r="I495" s="6" t="s">
        <v>164</v>
      </c>
      <c r="J495" s="23" t="str">
        <f>VLOOKUP(E495,各职业基础配置!$B$9:$C$12,2,FALSE)</f>
        <v>111|112|113|4201|115</v>
      </c>
      <c r="K495" s="18" t="str">
        <f>VLOOKUP(E495,各职业基础配置!$B$15:$C$18,2,FALSE)</f>
        <v>32|33|34</v>
      </c>
      <c r="L495" s="18" t="str">
        <f>VLOOKUP(E495,各职业基础配置!B:C,2,FALSE)</f>
        <v>[{32,1,1},{33,1,1},{34,1,1},{35,1,1},{7,1,1},{8,1,1},{9,1,1}]</v>
      </c>
      <c r="M495" s="18">
        <v>0</v>
      </c>
      <c r="N495" s="18">
        <f t="shared" si="81"/>
        <v>7</v>
      </c>
      <c r="O495" s="18">
        <f>SUMPRODUCT(P495:AI495,Sheet2!$B$3:$U$3)</f>
        <v>153246</v>
      </c>
      <c r="P495" s="18">
        <f>CEILING(INDEX([1]系统模型!$VD:$VD,MATCH(C495,[1]系统模型!$A:$A,0))*POWER(C495/220,3.8)-50+(1000-A495),1)</f>
        <v>2980</v>
      </c>
      <c r="Q495" s="18">
        <f>CEILING(INDEX([1]系统模型!$VE:$VE,MATCH(C495,[1]系统模型!$A:$A,0))*POWER(C495/220,4),1)</f>
        <v>361</v>
      </c>
      <c r="R495" s="18">
        <f>INT(INDEX([1]系统模型!$VF:$VF,MATCH(C495,[1]系统模型!$A:$A,0))*MAX(POWER(C495/180,4),0.5))</f>
        <v>22646</v>
      </c>
      <c r="S495" s="5">
        <v>1000</v>
      </c>
      <c r="T495" s="25">
        <v>0</v>
      </c>
      <c r="U495" s="25">
        <v>0</v>
      </c>
      <c r="V495" s="25">
        <v>0</v>
      </c>
      <c r="W495" s="25">
        <v>0</v>
      </c>
      <c r="X495" s="25">
        <f t="shared" si="82"/>
        <v>1132</v>
      </c>
      <c r="Y495" s="12">
        <v>0</v>
      </c>
      <c r="Z495" s="25">
        <v>100</v>
      </c>
      <c r="AA495" s="25">
        <v>150</v>
      </c>
      <c r="AB495" s="25">
        <v>0</v>
      </c>
      <c r="AC495" s="25">
        <v>0</v>
      </c>
      <c r="AD495" s="25">
        <v>0</v>
      </c>
      <c r="AE495" s="25">
        <f t="shared" si="83"/>
        <v>352</v>
      </c>
      <c r="AF495" s="25">
        <f t="shared" si="84"/>
        <v>352</v>
      </c>
      <c r="AG495" s="25">
        <v>0</v>
      </c>
      <c r="AH495" s="25">
        <f t="shared" si="85"/>
        <v>4450</v>
      </c>
      <c r="AI495" s="25">
        <f t="shared" si="86"/>
        <v>39</v>
      </c>
      <c r="AJ495" s="25">
        <v>1</v>
      </c>
      <c r="AK495" s="25">
        <v>1000</v>
      </c>
      <c r="AL495" s="25">
        <v>100</v>
      </c>
      <c r="AM495" s="26">
        <v>10</v>
      </c>
      <c r="AN495" s="26">
        <v>10</v>
      </c>
      <c r="AO495" s="22" t="s">
        <v>2211</v>
      </c>
      <c r="AP495" s="26">
        <v>0</v>
      </c>
      <c r="AQ495" s="26">
        <f t="shared" si="87"/>
        <v>500</v>
      </c>
      <c r="AR495" s="18" t="str">
        <f ca="1">CONCATENATE(OFFSET(Sheet1!$A$2,RANDBETWEEN(2,500),0,1,1),OFFSET(Sheet1!$A$2,RANDBETWEEN(2,500),RANDBETWEEN(1,5),1,1))</f>
        <v>弗兰克</v>
      </c>
      <c r="AS495">
        <f>SUMPRODUCT(P495:AI495,Sheet2!$B$3:$U$3)</f>
        <v>153246</v>
      </c>
    </row>
    <row r="496" spans="1:45" x14ac:dyDescent="0.15">
      <c r="A496" s="23">
        <v>495</v>
      </c>
      <c r="B496" s="18" t="s">
        <v>2020</v>
      </c>
      <c r="C496" s="18">
        <f t="shared" si="77"/>
        <v>176</v>
      </c>
      <c r="D496" s="19">
        <f t="shared" si="78"/>
        <v>3</v>
      </c>
      <c r="E496" s="19">
        <f>VLOOKUP(MOD(A496,4),各职业基础配置!C$32:D$35,2,FALSE)</f>
        <v>9</v>
      </c>
      <c r="F496" s="19">
        <f>IF(A496&lt;900,INDEX(各职业基础配置!C$23:C$28,MOD(ROW(A496),4)+1),0)</f>
        <v>8</v>
      </c>
      <c r="G496" s="19">
        <f t="shared" si="79"/>
        <v>30</v>
      </c>
      <c r="H496" s="27">
        <f t="shared" si="80"/>
        <v>2</v>
      </c>
      <c r="I496" s="6" t="s">
        <v>164</v>
      </c>
      <c r="J496" s="23" t="str">
        <f>VLOOKUP(E496,各职业基础配置!$B$9:$C$12,2,FALSE)</f>
        <v>116|117|118|4201|120</v>
      </c>
      <c r="K496" s="18" t="str">
        <f>VLOOKUP(E496,各职业基础配置!$B$15:$C$18,2,FALSE)</f>
        <v>28|29|30|31</v>
      </c>
      <c r="L496" s="18" t="str">
        <f>VLOOKUP(E496,各职业基础配置!B:C,2,FALSE)</f>
        <v>[{28,1,1},{29,1,1},{30,1,1},{31,1,1},{10,1,1},{11,1,1},{12,1,1}]</v>
      </c>
      <c r="M496" s="18">
        <v>0</v>
      </c>
      <c r="N496" s="18">
        <f t="shared" si="81"/>
        <v>3</v>
      </c>
      <c r="O496" s="18">
        <f>SUMPRODUCT(P496:AI496,Sheet2!$B$3:$U$3)</f>
        <v>153221</v>
      </c>
      <c r="P496" s="18">
        <f>CEILING(INDEX([1]系统模型!$VD:$VD,MATCH(C496,[1]系统模型!$A:$A,0))*POWER(C496/220,3.8)-50+(1000-A496),1)</f>
        <v>2979</v>
      </c>
      <c r="Q496" s="18">
        <f>CEILING(INDEX([1]系统模型!$VE:$VE,MATCH(C496,[1]系统模型!$A:$A,0))*POWER(C496/220,4),1)</f>
        <v>361</v>
      </c>
      <c r="R496" s="18">
        <f>INT(INDEX([1]系统模型!$VF:$VF,MATCH(C496,[1]系统模型!$A:$A,0))*MAX(POWER(C496/180,4),0.5))</f>
        <v>22646</v>
      </c>
      <c r="S496" s="5">
        <v>1000</v>
      </c>
      <c r="T496" s="25">
        <v>0</v>
      </c>
      <c r="U496" s="25">
        <v>0</v>
      </c>
      <c r="V496" s="25">
        <v>0</v>
      </c>
      <c r="W496" s="25">
        <v>0</v>
      </c>
      <c r="X496" s="25">
        <f t="shared" si="82"/>
        <v>1132</v>
      </c>
      <c r="Y496" s="12">
        <v>0</v>
      </c>
      <c r="Z496" s="25">
        <v>100</v>
      </c>
      <c r="AA496" s="25">
        <v>150</v>
      </c>
      <c r="AB496" s="25">
        <v>0</v>
      </c>
      <c r="AC496" s="25">
        <v>0</v>
      </c>
      <c r="AD496" s="25">
        <v>0</v>
      </c>
      <c r="AE496" s="25">
        <f t="shared" si="83"/>
        <v>352</v>
      </c>
      <c r="AF496" s="25">
        <f t="shared" si="84"/>
        <v>352</v>
      </c>
      <c r="AG496" s="25">
        <v>0</v>
      </c>
      <c r="AH496" s="25">
        <f t="shared" si="85"/>
        <v>4450</v>
      </c>
      <c r="AI496" s="25">
        <f t="shared" si="86"/>
        <v>39</v>
      </c>
      <c r="AJ496" s="25">
        <v>1</v>
      </c>
      <c r="AK496" s="25">
        <v>1000</v>
      </c>
      <c r="AL496" s="25">
        <v>100</v>
      </c>
      <c r="AM496" s="26">
        <v>10</v>
      </c>
      <c r="AN496" s="26">
        <v>10</v>
      </c>
      <c r="AO496" s="22" t="s">
        <v>2211</v>
      </c>
      <c r="AP496" s="26">
        <v>0</v>
      </c>
      <c r="AQ496" s="26">
        <f t="shared" si="87"/>
        <v>500</v>
      </c>
      <c r="AR496" s="18" t="str">
        <f ca="1">CONCATENATE(OFFSET(Sheet1!$A$2,RANDBETWEEN(2,500),0,1,1),OFFSET(Sheet1!$A$2,RANDBETWEEN(2,500),RANDBETWEEN(1,5),1,1))</f>
        <v>埃尔西</v>
      </c>
      <c r="AS496">
        <f>SUMPRODUCT(P496:AI496,Sheet2!$B$3:$U$3)</f>
        <v>153221</v>
      </c>
    </row>
    <row r="497" spans="1:45" x14ac:dyDescent="0.15">
      <c r="A497" s="18">
        <v>496</v>
      </c>
      <c r="B497" s="18" t="s">
        <v>1136</v>
      </c>
      <c r="C497" s="18">
        <f t="shared" si="77"/>
        <v>176</v>
      </c>
      <c r="D497" s="19">
        <f t="shared" si="78"/>
        <v>2</v>
      </c>
      <c r="E497" s="19">
        <f>VLOOKUP(MOD(A497,4),各职业基础配置!C$32:D$35,2,FALSE)</f>
        <v>1</v>
      </c>
      <c r="F497" s="19">
        <f>IF(A497&lt;900,INDEX(各职业基础配置!C$23:C$28,MOD(ROW(A497),4)+1),0)</f>
        <v>13</v>
      </c>
      <c r="G497" s="19">
        <f t="shared" si="79"/>
        <v>30</v>
      </c>
      <c r="H497" s="27">
        <f t="shared" si="80"/>
        <v>2</v>
      </c>
      <c r="I497" s="6" t="s">
        <v>164</v>
      </c>
      <c r="J497" s="23" t="str">
        <f>VLOOKUP(E497,各职业基础配置!$B$9:$C$12,2,FALSE)</f>
        <v>101|102|103|4201|105</v>
      </c>
      <c r="K497" s="18" t="str">
        <f>VLOOKUP(E497,各职业基础配置!$B$15:$C$18,2,FALSE)</f>
        <v>24|25|26|27</v>
      </c>
      <c r="L497" s="18" t="str">
        <f>VLOOKUP(E497,各职业基础配置!B:C,2,FALSE)</f>
        <v>[{24,1,1},{25,1,1},{26,1,1},{27,1,1},{1,1,1},{2,1,1},{3,1,1}]</v>
      </c>
      <c r="M497" s="18">
        <v>0</v>
      </c>
      <c r="N497" s="18">
        <f t="shared" si="81"/>
        <v>3</v>
      </c>
      <c r="O497" s="18">
        <f>SUMPRODUCT(P497:AI497,Sheet2!$B$3:$U$3)</f>
        <v>153196</v>
      </c>
      <c r="P497" s="18">
        <f>CEILING(INDEX([1]系统模型!$VD:$VD,MATCH(C497,[1]系统模型!$A:$A,0))*POWER(C497/220,3.8)-50+(1000-A497),1)</f>
        <v>2978</v>
      </c>
      <c r="Q497" s="18">
        <f>CEILING(INDEX([1]系统模型!$VE:$VE,MATCH(C497,[1]系统模型!$A:$A,0))*POWER(C497/220,4),1)</f>
        <v>361</v>
      </c>
      <c r="R497" s="18">
        <f>INT(INDEX([1]系统模型!$VF:$VF,MATCH(C497,[1]系统模型!$A:$A,0))*MAX(POWER(C497/180,4),0.5))</f>
        <v>22646</v>
      </c>
      <c r="S497" s="5">
        <v>1000</v>
      </c>
      <c r="T497" s="25">
        <v>0</v>
      </c>
      <c r="U497" s="25">
        <v>0</v>
      </c>
      <c r="V497" s="25">
        <v>0</v>
      </c>
      <c r="W497" s="25">
        <v>0</v>
      </c>
      <c r="X497" s="25">
        <f t="shared" si="82"/>
        <v>1132</v>
      </c>
      <c r="Y497" s="12">
        <v>0</v>
      </c>
      <c r="Z497" s="25">
        <v>100</v>
      </c>
      <c r="AA497" s="25">
        <v>150</v>
      </c>
      <c r="AB497" s="25">
        <v>0</v>
      </c>
      <c r="AC497" s="25">
        <v>0</v>
      </c>
      <c r="AD497" s="25">
        <v>0</v>
      </c>
      <c r="AE497" s="25">
        <f t="shared" si="83"/>
        <v>352</v>
      </c>
      <c r="AF497" s="25">
        <f t="shared" si="84"/>
        <v>352</v>
      </c>
      <c r="AG497" s="25">
        <v>0</v>
      </c>
      <c r="AH497" s="25">
        <f t="shared" si="85"/>
        <v>4450</v>
      </c>
      <c r="AI497" s="25">
        <f t="shared" si="86"/>
        <v>39</v>
      </c>
      <c r="AJ497" s="25">
        <v>1</v>
      </c>
      <c r="AK497" s="25">
        <v>1000</v>
      </c>
      <c r="AL497" s="25">
        <v>100</v>
      </c>
      <c r="AM497" s="26">
        <v>10</v>
      </c>
      <c r="AN497" s="26">
        <v>10</v>
      </c>
      <c r="AO497" s="22" t="s">
        <v>2211</v>
      </c>
      <c r="AP497" s="26">
        <v>0</v>
      </c>
      <c r="AQ497" s="26">
        <f t="shared" si="87"/>
        <v>500</v>
      </c>
      <c r="AR497" s="18" t="str">
        <f ca="1">CONCATENATE(OFFSET(Sheet1!$A$2,RANDBETWEEN(2,500),0,1,1),OFFSET(Sheet1!$A$2,RANDBETWEEN(2,500),RANDBETWEEN(1,5),1,1))</f>
        <v>艾略特</v>
      </c>
      <c r="AS497">
        <f>SUMPRODUCT(P497:AI497,Sheet2!$B$3:$U$3)</f>
        <v>153196</v>
      </c>
    </row>
    <row r="498" spans="1:45" x14ac:dyDescent="0.15">
      <c r="A498" s="18">
        <v>497</v>
      </c>
      <c r="B498" s="18" t="s">
        <v>1280</v>
      </c>
      <c r="C498" s="18">
        <f t="shared" si="77"/>
        <v>176</v>
      </c>
      <c r="D498" s="19">
        <f t="shared" si="78"/>
        <v>3</v>
      </c>
      <c r="E498" s="19">
        <f>VLOOKUP(MOD(A498,4),各职业基础配置!C$32:D$35,2,FALSE)</f>
        <v>3</v>
      </c>
      <c r="F498" s="19">
        <f>IF(A498&lt;900,INDEX(各职业基础配置!C$23:C$28,MOD(ROW(A498),4)+1),0)</f>
        <v>14</v>
      </c>
      <c r="G498" s="19">
        <f t="shared" si="79"/>
        <v>30</v>
      </c>
      <c r="H498" s="27">
        <f t="shared" si="80"/>
        <v>2</v>
      </c>
      <c r="I498" s="6" t="s">
        <v>164</v>
      </c>
      <c r="J498" s="23" t="str">
        <f>VLOOKUP(E498,各职业基础配置!$B$9:$C$12,2,FALSE)</f>
        <v>106|107|108|4201|110</v>
      </c>
      <c r="K498" s="18" t="str">
        <f>VLOOKUP(E498,各职业基础配置!$B$15:$C$18,2,FALSE)</f>
        <v>20|21|22|23</v>
      </c>
      <c r="L498" s="18" t="str">
        <f>VLOOKUP(E498,各职业基础配置!B:C,2,FALSE)</f>
        <v>[{20,1,1},{21,1,1},{22,1,1},{23,1,1},{4,1,1},{5,1,1},{6,1,1}]</v>
      </c>
      <c r="M498" s="18">
        <v>0</v>
      </c>
      <c r="N498" s="18">
        <f t="shared" si="81"/>
        <v>7</v>
      </c>
      <c r="O498" s="18">
        <f>SUMPRODUCT(P498:AI498,Sheet2!$B$3:$U$3)</f>
        <v>153171</v>
      </c>
      <c r="P498" s="18">
        <f>CEILING(INDEX([1]系统模型!$VD:$VD,MATCH(C498,[1]系统模型!$A:$A,0))*POWER(C498/220,3.8)-50+(1000-A498),1)</f>
        <v>2977</v>
      </c>
      <c r="Q498" s="18">
        <f>CEILING(INDEX([1]系统模型!$VE:$VE,MATCH(C498,[1]系统模型!$A:$A,0))*POWER(C498/220,4),1)</f>
        <v>361</v>
      </c>
      <c r="R498" s="18">
        <f>INT(INDEX([1]系统模型!$VF:$VF,MATCH(C498,[1]系统模型!$A:$A,0))*MAX(POWER(C498/180,4),0.5))</f>
        <v>22646</v>
      </c>
      <c r="S498" s="5">
        <v>1000</v>
      </c>
      <c r="T498" s="25">
        <v>0</v>
      </c>
      <c r="U498" s="25">
        <v>0</v>
      </c>
      <c r="V498" s="25">
        <v>0</v>
      </c>
      <c r="W498" s="25">
        <v>0</v>
      </c>
      <c r="X498" s="25">
        <f t="shared" si="82"/>
        <v>1132</v>
      </c>
      <c r="Y498" s="12">
        <v>0</v>
      </c>
      <c r="Z498" s="25">
        <v>100</v>
      </c>
      <c r="AA498" s="25">
        <v>150</v>
      </c>
      <c r="AB498" s="25">
        <v>0</v>
      </c>
      <c r="AC498" s="25">
        <v>0</v>
      </c>
      <c r="AD498" s="25">
        <v>0</v>
      </c>
      <c r="AE498" s="25">
        <f t="shared" si="83"/>
        <v>352</v>
      </c>
      <c r="AF498" s="25">
        <f t="shared" si="84"/>
        <v>352</v>
      </c>
      <c r="AG498" s="25">
        <v>0</v>
      </c>
      <c r="AH498" s="25">
        <f t="shared" si="85"/>
        <v>4450</v>
      </c>
      <c r="AI498" s="25">
        <f t="shared" si="86"/>
        <v>39</v>
      </c>
      <c r="AJ498" s="25">
        <v>1</v>
      </c>
      <c r="AK498" s="25">
        <v>1000</v>
      </c>
      <c r="AL498" s="25">
        <v>100</v>
      </c>
      <c r="AM498" s="26">
        <v>10</v>
      </c>
      <c r="AN498" s="26">
        <v>10</v>
      </c>
      <c r="AO498" s="22" t="s">
        <v>2211</v>
      </c>
      <c r="AP498" s="26">
        <v>0</v>
      </c>
      <c r="AQ498" s="26">
        <f t="shared" si="87"/>
        <v>500</v>
      </c>
      <c r="AR498" s="18" t="str">
        <f ca="1">CONCATENATE(OFFSET(Sheet1!$A$2,RANDBETWEEN(2,500),0,1,1),OFFSET(Sheet1!$A$2,RANDBETWEEN(2,500),RANDBETWEEN(1,5),1,1))</f>
        <v>加西亚丝柏凌</v>
      </c>
      <c r="AS498">
        <f>SUMPRODUCT(P498:AI498,Sheet2!$B$3:$U$3)</f>
        <v>153171</v>
      </c>
    </row>
    <row r="499" spans="1:45" x14ac:dyDescent="0.15">
      <c r="A499" s="23">
        <v>498</v>
      </c>
      <c r="B499" s="18" t="s">
        <v>192</v>
      </c>
      <c r="C499" s="18">
        <f t="shared" si="77"/>
        <v>176</v>
      </c>
      <c r="D499" s="19">
        <f t="shared" si="78"/>
        <v>2</v>
      </c>
      <c r="E499" s="19">
        <f>VLOOKUP(MOD(A499,4),各职业基础配置!C$32:D$35,2,FALSE)</f>
        <v>6</v>
      </c>
      <c r="F499" s="19">
        <f>IF(A499&lt;900,INDEX(各职业基础配置!C$23:C$28,MOD(ROW(A499),4)+1),0)</f>
        <v>16</v>
      </c>
      <c r="G499" s="19">
        <f t="shared" si="79"/>
        <v>30</v>
      </c>
      <c r="H499" s="27">
        <f t="shared" si="80"/>
        <v>2</v>
      </c>
      <c r="I499" s="6" t="s">
        <v>164</v>
      </c>
      <c r="J499" s="23" t="str">
        <f>VLOOKUP(E499,各职业基础配置!$B$9:$C$12,2,FALSE)</f>
        <v>111|112|113|4201|115</v>
      </c>
      <c r="K499" s="18" t="str">
        <f>VLOOKUP(E499,各职业基础配置!$B$15:$C$18,2,FALSE)</f>
        <v>32|33|34</v>
      </c>
      <c r="L499" s="18" t="str">
        <f>VLOOKUP(E499,各职业基础配置!B:C,2,FALSE)</f>
        <v>[{32,1,1},{33,1,1},{34,1,1},{35,1,1},{7,1,1},{8,1,1},{9,1,1}]</v>
      </c>
      <c r="M499" s="18">
        <v>0</v>
      </c>
      <c r="N499" s="18">
        <f t="shared" si="81"/>
        <v>7</v>
      </c>
      <c r="O499" s="18">
        <f>SUMPRODUCT(P499:AI499,Sheet2!$B$3:$U$3)</f>
        <v>153146</v>
      </c>
      <c r="P499" s="18">
        <f>CEILING(INDEX([1]系统模型!$VD:$VD,MATCH(C499,[1]系统模型!$A:$A,0))*POWER(C499/220,3.8)-50+(1000-A499),1)</f>
        <v>2976</v>
      </c>
      <c r="Q499" s="18">
        <f>CEILING(INDEX([1]系统模型!$VE:$VE,MATCH(C499,[1]系统模型!$A:$A,0))*POWER(C499/220,4),1)</f>
        <v>361</v>
      </c>
      <c r="R499" s="18">
        <f>INT(INDEX([1]系统模型!$VF:$VF,MATCH(C499,[1]系统模型!$A:$A,0))*MAX(POWER(C499/180,4),0.5))</f>
        <v>22646</v>
      </c>
      <c r="S499" s="5">
        <v>1000</v>
      </c>
      <c r="T499" s="25">
        <v>0</v>
      </c>
      <c r="U499" s="25">
        <v>0</v>
      </c>
      <c r="V499" s="25">
        <v>0</v>
      </c>
      <c r="W499" s="25">
        <v>0</v>
      </c>
      <c r="X499" s="25">
        <f t="shared" si="82"/>
        <v>1132</v>
      </c>
      <c r="Y499" s="12">
        <v>0</v>
      </c>
      <c r="Z499" s="25">
        <v>100</v>
      </c>
      <c r="AA499" s="25">
        <v>150</v>
      </c>
      <c r="AB499" s="25">
        <v>0</v>
      </c>
      <c r="AC499" s="25">
        <v>0</v>
      </c>
      <c r="AD499" s="25">
        <v>0</v>
      </c>
      <c r="AE499" s="25">
        <f t="shared" si="83"/>
        <v>352</v>
      </c>
      <c r="AF499" s="25">
        <f t="shared" si="84"/>
        <v>352</v>
      </c>
      <c r="AG499" s="25">
        <v>0</v>
      </c>
      <c r="AH499" s="25">
        <f t="shared" si="85"/>
        <v>4450</v>
      </c>
      <c r="AI499" s="25">
        <f t="shared" si="86"/>
        <v>39</v>
      </c>
      <c r="AJ499" s="25">
        <v>1</v>
      </c>
      <c r="AK499" s="25">
        <v>1000</v>
      </c>
      <c r="AL499" s="25">
        <v>100</v>
      </c>
      <c r="AM499" s="26">
        <v>10</v>
      </c>
      <c r="AN499" s="26">
        <v>10</v>
      </c>
      <c r="AO499" s="22" t="s">
        <v>2211</v>
      </c>
      <c r="AP499" s="26">
        <v>0</v>
      </c>
      <c r="AQ499" s="26">
        <f t="shared" si="87"/>
        <v>500</v>
      </c>
      <c r="AR499" s="18" t="str">
        <f ca="1">CONCATENATE(OFFSET(Sheet1!$A$2,RANDBETWEEN(2,500),0,1,1),OFFSET(Sheet1!$A$2,RANDBETWEEN(2,500),RANDBETWEEN(1,5),1,1))</f>
        <v>海登小雯</v>
      </c>
      <c r="AS499">
        <f>SUMPRODUCT(P499:AI499,Sheet2!$B$3:$U$3)</f>
        <v>153146</v>
      </c>
    </row>
    <row r="500" spans="1:45" x14ac:dyDescent="0.15">
      <c r="A500" s="18">
        <v>499</v>
      </c>
      <c r="B500" s="18" t="s">
        <v>413</v>
      </c>
      <c r="C500" s="18">
        <f t="shared" si="77"/>
        <v>176</v>
      </c>
      <c r="D500" s="19">
        <f t="shared" si="78"/>
        <v>3</v>
      </c>
      <c r="E500" s="19">
        <f>VLOOKUP(MOD(A500,4),各职业基础配置!C$32:D$35,2,FALSE)</f>
        <v>9</v>
      </c>
      <c r="F500" s="19">
        <f>IF(A500&lt;900,INDEX(各职业基础配置!C$23:C$28,MOD(ROW(A500),4)+1),0)</f>
        <v>8</v>
      </c>
      <c r="G500" s="19">
        <f t="shared" si="79"/>
        <v>30</v>
      </c>
      <c r="H500" s="27">
        <f t="shared" si="80"/>
        <v>2</v>
      </c>
      <c r="I500" s="6" t="s">
        <v>164</v>
      </c>
      <c r="J500" s="23" t="str">
        <f>VLOOKUP(E500,各职业基础配置!$B$9:$C$12,2,FALSE)</f>
        <v>116|117|118|4201|120</v>
      </c>
      <c r="K500" s="18" t="str">
        <f>VLOOKUP(E500,各职业基础配置!$B$15:$C$18,2,FALSE)</f>
        <v>28|29|30|31</v>
      </c>
      <c r="L500" s="18" t="str">
        <f>VLOOKUP(E500,各职业基础配置!B:C,2,FALSE)</f>
        <v>[{28,1,1},{29,1,1},{30,1,1},{31,1,1},{10,1,1},{11,1,1},{12,1,1}]</v>
      </c>
      <c r="M500" s="18">
        <v>0</v>
      </c>
      <c r="N500" s="18">
        <f t="shared" si="81"/>
        <v>3</v>
      </c>
      <c r="O500" s="18">
        <f>SUMPRODUCT(P500:AI500,Sheet2!$B$3:$U$3)</f>
        <v>153121</v>
      </c>
      <c r="P500" s="18">
        <f>CEILING(INDEX([1]系统模型!$VD:$VD,MATCH(C500,[1]系统模型!$A:$A,0))*POWER(C500/220,3.8)-50+(1000-A500),1)</f>
        <v>2975</v>
      </c>
      <c r="Q500" s="18">
        <f>CEILING(INDEX([1]系统模型!$VE:$VE,MATCH(C500,[1]系统模型!$A:$A,0))*POWER(C500/220,4),1)</f>
        <v>361</v>
      </c>
      <c r="R500" s="18">
        <f>INT(INDEX([1]系统模型!$VF:$VF,MATCH(C500,[1]系统模型!$A:$A,0))*MAX(POWER(C500/180,4),0.5))</f>
        <v>22646</v>
      </c>
      <c r="S500" s="5">
        <v>1000</v>
      </c>
      <c r="T500" s="25">
        <v>0</v>
      </c>
      <c r="U500" s="25">
        <v>0</v>
      </c>
      <c r="V500" s="25">
        <v>0</v>
      </c>
      <c r="W500" s="25">
        <v>0</v>
      </c>
      <c r="X500" s="25">
        <f t="shared" si="82"/>
        <v>1132</v>
      </c>
      <c r="Y500" s="12">
        <v>0</v>
      </c>
      <c r="Z500" s="25">
        <v>100</v>
      </c>
      <c r="AA500" s="25">
        <v>150</v>
      </c>
      <c r="AB500" s="25">
        <v>0</v>
      </c>
      <c r="AC500" s="25">
        <v>0</v>
      </c>
      <c r="AD500" s="25">
        <v>0</v>
      </c>
      <c r="AE500" s="25">
        <f t="shared" si="83"/>
        <v>352</v>
      </c>
      <c r="AF500" s="25">
        <f t="shared" si="84"/>
        <v>352</v>
      </c>
      <c r="AG500" s="25">
        <v>0</v>
      </c>
      <c r="AH500" s="25">
        <f t="shared" si="85"/>
        <v>4450</v>
      </c>
      <c r="AI500" s="25">
        <f t="shared" si="86"/>
        <v>39</v>
      </c>
      <c r="AJ500" s="25">
        <v>1</v>
      </c>
      <c r="AK500" s="25">
        <v>1000</v>
      </c>
      <c r="AL500" s="25">
        <v>100</v>
      </c>
      <c r="AM500" s="26">
        <v>10</v>
      </c>
      <c r="AN500" s="26">
        <v>10</v>
      </c>
      <c r="AO500" s="22" t="s">
        <v>2211</v>
      </c>
      <c r="AP500" s="26">
        <v>0</v>
      </c>
      <c r="AQ500" s="26">
        <f t="shared" si="87"/>
        <v>500</v>
      </c>
      <c r="AR500" s="18" t="str">
        <f ca="1">CONCATENATE(OFFSET(Sheet1!$A$2,RANDBETWEEN(2,500),0,1,1),OFFSET(Sheet1!$A$2,RANDBETWEEN(2,500),RANDBETWEEN(1,5),1,1))</f>
        <v>比顿</v>
      </c>
      <c r="AS500">
        <f>SUMPRODUCT(P500:AI500,Sheet2!$B$3:$U$3)</f>
        <v>153121</v>
      </c>
    </row>
    <row r="501" spans="1:45" x14ac:dyDescent="0.15">
      <c r="A501" s="18">
        <v>500</v>
      </c>
      <c r="B501" s="18" t="s">
        <v>953</v>
      </c>
      <c r="C501" s="18">
        <f t="shared" si="77"/>
        <v>176</v>
      </c>
      <c r="D501" s="19">
        <f t="shared" si="78"/>
        <v>2</v>
      </c>
      <c r="E501" s="19">
        <f>VLOOKUP(MOD(A501,4),各职业基础配置!C$32:D$35,2,FALSE)</f>
        <v>1</v>
      </c>
      <c r="F501" s="19">
        <f>IF(A501&lt;900,INDEX(各职业基础配置!C$23:C$28,MOD(ROW(A501),4)+1),0)</f>
        <v>13</v>
      </c>
      <c r="G501" s="19">
        <f t="shared" si="79"/>
        <v>30</v>
      </c>
      <c r="H501" s="27">
        <f t="shared" si="80"/>
        <v>2</v>
      </c>
      <c r="I501" s="6" t="s">
        <v>164</v>
      </c>
      <c r="J501" s="23" t="str">
        <f>VLOOKUP(E501,各职业基础配置!$B$9:$C$12,2,FALSE)</f>
        <v>101|102|103|4201|105</v>
      </c>
      <c r="K501" s="18" t="str">
        <f>VLOOKUP(E501,各职业基础配置!$B$15:$C$18,2,FALSE)</f>
        <v>24|25|26|27</v>
      </c>
      <c r="L501" s="18" t="str">
        <f>VLOOKUP(E501,各职业基础配置!B:C,2,FALSE)</f>
        <v>[{24,1,1},{25,1,1},{26,1,1},{27,1,1},{1,1,1},{2,1,1},{3,1,1}]</v>
      </c>
      <c r="M501" s="18">
        <v>0</v>
      </c>
      <c r="N501" s="18">
        <f t="shared" si="81"/>
        <v>3</v>
      </c>
      <c r="O501" s="18">
        <f>SUMPRODUCT(P501:AI501,Sheet2!$B$3:$U$3)</f>
        <v>153096</v>
      </c>
      <c r="P501" s="18">
        <f>CEILING(INDEX([1]系统模型!$VD:$VD,MATCH(C501,[1]系统模型!$A:$A,0))*POWER(C501/220,3.8)-50+(1000-A501),1)</f>
        <v>2974</v>
      </c>
      <c r="Q501" s="18">
        <f>CEILING(INDEX([1]系统模型!$VE:$VE,MATCH(C501,[1]系统模型!$A:$A,0))*POWER(C501/220,4),1)</f>
        <v>361</v>
      </c>
      <c r="R501" s="18">
        <f>INT(INDEX([1]系统模型!$VF:$VF,MATCH(C501,[1]系统模型!$A:$A,0))*MAX(POWER(C501/180,4),0.5))</f>
        <v>22646</v>
      </c>
      <c r="S501" s="5">
        <v>1000</v>
      </c>
      <c r="T501" s="25">
        <v>0</v>
      </c>
      <c r="U501" s="25">
        <v>0</v>
      </c>
      <c r="V501" s="25">
        <v>0</v>
      </c>
      <c r="W501" s="25">
        <v>0</v>
      </c>
      <c r="X501" s="25">
        <f t="shared" si="82"/>
        <v>1132</v>
      </c>
      <c r="Y501" s="12">
        <v>0</v>
      </c>
      <c r="Z501" s="25">
        <v>100</v>
      </c>
      <c r="AA501" s="25">
        <v>150</v>
      </c>
      <c r="AB501" s="25">
        <v>0</v>
      </c>
      <c r="AC501" s="25">
        <v>0</v>
      </c>
      <c r="AD501" s="25">
        <v>0</v>
      </c>
      <c r="AE501" s="25">
        <f t="shared" si="83"/>
        <v>352</v>
      </c>
      <c r="AF501" s="25">
        <f t="shared" si="84"/>
        <v>352</v>
      </c>
      <c r="AG501" s="25">
        <v>0</v>
      </c>
      <c r="AH501" s="25">
        <f t="shared" si="85"/>
        <v>4450</v>
      </c>
      <c r="AI501" s="25">
        <f t="shared" si="86"/>
        <v>39</v>
      </c>
      <c r="AJ501" s="25">
        <v>1</v>
      </c>
      <c r="AK501" s="25">
        <v>1000</v>
      </c>
      <c r="AL501" s="25">
        <v>100</v>
      </c>
      <c r="AM501" s="26">
        <v>10</v>
      </c>
      <c r="AN501" s="26">
        <v>10</v>
      </c>
      <c r="AO501" s="22" t="s">
        <v>2211</v>
      </c>
      <c r="AP501" s="26">
        <v>0</v>
      </c>
      <c r="AQ501" s="26">
        <f t="shared" si="87"/>
        <v>490</v>
      </c>
      <c r="AR501" s="18" t="str">
        <f ca="1">CONCATENATE(OFFSET(Sheet1!$A$2,RANDBETWEEN(2,500),0,1,1),OFFSET(Sheet1!$A$2,RANDBETWEEN(2,500),RANDBETWEEN(1,5),1,1))</f>
        <v>贝拉米坎蒂丝</v>
      </c>
      <c r="AS501">
        <f>SUMPRODUCT(P501:AI501,Sheet2!$B$3:$U$3)</f>
        <v>153096</v>
      </c>
    </row>
    <row r="502" spans="1:45" x14ac:dyDescent="0.15">
      <c r="A502" s="23">
        <v>501</v>
      </c>
      <c r="B502" s="18" t="s">
        <v>2021</v>
      </c>
      <c r="C502" s="18">
        <f t="shared" si="77"/>
        <v>175</v>
      </c>
      <c r="D502" s="19">
        <f t="shared" si="78"/>
        <v>3</v>
      </c>
      <c r="E502" s="19">
        <f>VLOOKUP(MOD(A502,4),各职业基础配置!C$32:D$35,2,FALSE)</f>
        <v>3</v>
      </c>
      <c r="F502" s="19">
        <f>IF(A502&lt;900,INDEX(各职业基础配置!C$23:C$28,MOD(ROW(A502),4)+1),0)</f>
        <v>14</v>
      </c>
      <c r="G502" s="19">
        <f t="shared" si="79"/>
        <v>29</v>
      </c>
      <c r="H502" s="27">
        <f t="shared" si="80"/>
        <v>2</v>
      </c>
      <c r="I502" s="6" t="s">
        <v>164</v>
      </c>
      <c r="J502" s="23" t="str">
        <f>VLOOKUP(E502,各职业基础配置!$B$9:$C$12,2,FALSE)</f>
        <v>106|107|108|4201|110</v>
      </c>
      <c r="K502" s="18" t="str">
        <f>VLOOKUP(E502,各职业基础配置!$B$15:$C$18,2,FALSE)</f>
        <v>20|21|22|23</v>
      </c>
      <c r="L502" s="18" t="str">
        <f>VLOOKUP(E502,各职业基础配置!B:C,2,FALSE)</f>
        <v>[{20,1,1},{21,1,1},{22,1,1},{23,1,1},{4,1,1},{5,1,1},{6,1,1}]</v>
      </c>
      <c r="M502" s="18">
        <v>0</v>
      </c>
      <c r="N502" s="18">
        <f t="shared" si="81"/>
        <v>7</v>
      </c>
      <c r="O502" s="18">
        <f>SUMPRODUCT(P502:AI502,Sheet2!$B$3:$U$3)</f>
        <v>148276</v>
      </c>
      <c r="P502" s="18">
        <f>CEILING(INDEX([1]系统模型!$VD:$VD,MATCH(C502,[1]系统模型!$A:$A,0))*POWER(C502/220,3.8)-50+(1000-A502),1)</f>
        <v>2844</v>
      </c>
      <c r="Q502" s="18">
        <f>CEILING(INDEX([1]系统模型!$VE:$VE,MATCH(C502,[1]系统模型!$A:$A,0))*POWER(C502/220,4),1)</f>
        <v>348</v>
      </c>
      <c r="R502" s="18">
        <f>INT(INDEX([1]系统模型!$VF:$VF,MATCH(C502,[1]系统模型!$A:$A,0))*MAX(POWER(C502/180,4),0.5))</f>
        <v>21926</v>
      </c>
      <c r="S502" s="5">
        <v>1000</v>
      </c>
      <c r="T502" s="25">
        <v>0</v>
      </c>
      <c r="U502" s="25">
        <v>0</v>
      </c>
      <c r="V502" s="25">
        <v>0</v>
      </c>
      <c r="W502" s="25">
        <v>0</v>
      </c>
      <c r="X502" s="25">
        <f t="shared" si="82"/>
        <v>1096</v>
      </c>
      <c r="Y502" s="12">
        <v>0</v>
      </c>
      <c r="Z502" s="25">
        <v>100</v>
      </c>
      <c r="AA502" s="25">
        <v>150</v>
      </c>
      <c r="AB502" s="25">
        <v>0</v>
      </c>
      <c r="AC502" s="25">
        <v>0</v>
      </c>
      <c r="AD502" s="25">
        <v>0</v>
      </c>
      <c r="AE502" s="25">
        <f t="shared" si="83"/>
        <v>350</v>
      </c>
      <c r="AF502" s="25">
        <f t="shared" si="84"/>
        <v>350</v>
      </c>
      <c r="AG502" s="25">
        <v>0</v>
      </c>
      <c r="AH502" s="25">
        <f t="shared" si="85"/>
        <v>4375</v>
      </c>
      <c r="AI502" s="25">
        <f t="shared" si="86"/>
        <v>37</v>
      </c>
      <c r="AJ502" s="25">
        <v>1</v>
      </c>
      <c r="AK502" s="25">
        <v>1000</v>
      </c>
      <c r="AL502" s="25">
        <v>100</v>
      </c>
      <c r="AM502" s="26">
        <v>10</v>
      </c>
      <c r="AN502" s="26">
        <v>10</v>
      </c>
      <c r="AO502" s="22" t="s">
        <v>2211</v>
      </c>
      <c r="AP502" s="26">
        <v>0</v>
      </c>
      <c r="AQ502" s="26">
        <f t="shared" si="87"/>
        <v>490</v>
      </c>
      <c r="AR502" s="18" t="str">
        <f ca="1">CONCATENATE(OFFSET(Sheet1!$A$2,RANDBETWEEN(2,500),0,1,1),OFFSET(Sheet1!$A$2,RANDBETWEEN(2,500),RANDBETWEEN(1,5),1,1))</f>
        <v>艾尔索普蕾妮</v>
      </c>
      <c r="AS502">
        <f>SUMPRODUCT(P502:AI502,Sheet2!$B$3:$U$3)</f>
        <v>148276</v>
      </c>
    </row>
    <row r="503" spans="1:45" x14ac:dyDescent="0.15">
      <c r="A503" s="18">
        <v>502</v>
      </c>
      <c r="B503" s="18" t="s">
        <v>443</v>
      </c>
      <c r="C503" s="18">
        <f t="shared" si="77"/>
        <v>175</v>
      </c>
      <c r="D503" s="19">
        <f t="shared" si="78"/>
        <v>2</v>
      </c>
      <c r="E503" s="19">
        <f>VLOOKUP(MOD(A503,4),各职业基础配置!C$32:D$35,2,FALSE)</f>
        <v>6</v>
      </c>
      <c r="F503" s="19">
        <f>IF(A503&lt;900,INDEX(各职业基础配置!C$23:C$28,MOD(ROW(A503),4)+1),0)</f>
        <v>16</v>
      </c>
      <c r="G503" s="19">
        <f t="shared" si="79"/>
        <v>29</v>
      </c>
      <c r="H503" s="27">
        <f t="shared" si="80"/>
        <v>2</v>
      </c>
      <c r="I503" s="6" t="s">
        <v>164</v>
      </c>
      <c r="J503" s="23" t="str">
        <f>VLOOKUP(E503,各职业基础配置!$B$9:$C$12,2,FALSE)</f>
        <v>111|112|113|4201|115</v>
      </c>
      <c r="K503" s="18" t="str">
        <f>VLOOKUP(E503,各职业基础配置!$B$15:$C$18,2,FALSE)</f>
        <v>32|33|34</v>
      </c>
      <c r="L503" s="18" t="str">
        <f>VLOOKUP(E503,各职业基础配置!B:C,2,FALSE)</f>
        <v>[{32,1,1},{33,1,1},{34,1,1},{35,1,1},{7,1,1},{8,1,1},{9,1,1}]</v>
      </c>
      <c r="M503" s="18">
        <v>0</v>
      </c>
      <c r="N503" s="18">
        <f t="shared" si="81"/>
        <v>7</v>
      </c>
      <c r="O503" s="18">
        <f>SUMPRODUCT(P503:AI503,Sheet2!$B$3:$U$3)</f>
        <v>148251</v>
      </c>
      <c r="P503" s="18">
        <f>CEILING(INDEX([1]系统模型!$VD:$VD,MATCH(C503,[1]系统模型!$A:$A,0))*POWER(C503/220,3.8)-50+(1000-A503),1)</f>
        <v>2843</v>
      </c>
      <c r="Q503" s="18">
        <f>CEILING(INDEX([1]系统模型!$VE:$VE,MATCH(C503,[1]系统模型!$A:$A,0))*POWER(C503/220,4),1)</f>
        <v>348</v>
      </c>
      <c r="R503" s="18">
        <f>INT(INDEX([1]系统模型!$VF:$VF,MATCH(C503,[1]系统模型!$A:$A,0))*MAX(POWER(C503/180,4),0.5))</f>
        <v>21926</v>
      </c>
      <c r="S503" s="5">
        <v>1000</v>
      </c>
      <c r="T503" s="25">
        <v>0</v>
      </c>
      <c r="U503" s="25">
        <v>0</v>
      </c>
      <c r="V503" s="25">
        <v>0</v>
      </c>
      <c r="W503" s="25">
        <v>0</v>
      </c>
      <c r="X503" s="25">
        <f t="shared" si="82"/>
        <v>1096</v>
      </c>
      <c r="Y503" s="12">
        <v>0</v>
      </c>
      <c r="Z503" s="25">
        <v>100</v>
      </c>
      <c r="AA503" s="25">
        <v>150</v>
      </c>
      <c r="AB503" s="25">
        <v>0</v>
      </c>
      <c r="AC503" s="25">
        <v>0</v>
      </c>
      <c r="AD503" s="25">
        <v>0</v>
      </c>
      <c r="AE503" s="25">
        <f t="shared" si="83"/>
        <v>350</v>
      </c>
      <c r="AF503" s="25">
        <f t="shared" si="84"/>
        <v>350</v>
      </c>
      <c r="AG503" s="25">
        <v>0</v>
      </c>
      <c r="AH503" s="25">
        <f t="shared" si="85"/>
        <v>4375</v>
      </c>
      <c r="AI503" s="25">
        <f t="shared" si="86"/>
        <v>37</v>
      </c>
      <c r="AJ503" s="25">
        <v>1</v>
      </c>
      <c r="AK503" s="25">
        <v>1000</v>
      </c>
      <c r="AL503" s="25">
        <v>100</v>
      </c>
      <c r="AM503" s="26">
        <v>10</v>
      </c>
      <c r="AN503" s="26">
        <v>10</v>
      </c>
      <c r="AO503" s="22" t="s">
        <v>2211</v>
      </c>
      <c r="AP503" s="26">
        <v>0</v>
      </c>
      <c r="AQ503" s="26">
        <f t="shared" si="87"/>
        <v>490</v>
      </c>
      <c r="AR503" s="18" t="str">
        <f ca="1">CONCATENATE(OFFSET(Sheet1!$A$2,RANDBETWEEN(2,500),0,1,1),OFFSET(Sheet1!$A$2,RANDBETWEEN(2,500),RANDBETWEEN(1,5),1,1))</f>
        <v>艾米丽</v>
      </c>
      <c r="AS503">
        <f>SUMPRODUCT(P503:AI503,Sheet2!$B$3:$U$3)</f>
        <v>148251</v>
      </c>
    </row>
    <row r="504" spans="1:45" x14ac:dyDescent="0.15">
      <c r="A504" s="18">
        <v>503</v>
      </c>
      <c r="B504" s="18" t="s">
        <v>1358</v>
      </c>
      <c r="C504" s="18">
        <f t="shared" si="77"/>
        <v>175</v>
      </c>
      <c r="D504" s="19">
        <f t="shared" si="78"/>
        <v>3</v>
      </c>
      <c r="E504" s="19">
        <f>VLOOKUP(MOD(A504,4),各职业基础配置!C$32:D$35,2,FALSE)</f>
        <v>9</v>
      </c>
      <c r="F504" s="19">
        <f>IF(A504&lt;900,INDEX(各职业基础配置!C$23:C$28,MOD(ROW(A504),4)+1),0)</f>
        <v>8</v>
      </c>
      <c r="G504" s="19">
        <f t="shared" si="79"/>
        <v>29</v>
      </c>
      <c r="H504" s="27">
        <f t="shared" si="80"/>
        <v>2</v>
      </c>
      <c r="I504" s="6" t="s">
        <v>164</v>
      </c>
      <c r="J504" s="23" t="str">
        <f>VLOOKUP(E504,各职业基础配置!$B$9:$C$12,2,FALSE)</f>
        <v>116|117|118|4201|120</v>
      </c>
      <c r="K504" s="18" t="str">
        <f>VLOOKUP(E504,各职业基础配置!$B$15:$C$18,2,FALSE)</f>
        <v>28|29|30|31</v>
      </c>
      <c r="L504" s="18" t="str">
        <f>VLOOKUP(E504,各职业基础配置!B:C,2,FALSE)</f>
        <v>[{28,1,1},{29,1,1},{30,1,1},{31,1,1},{10,1,1},{11,1,1},{12,1,1}]</v>
      </c>
      <c r="M504" s="18">
        <v>0</v>
      </c>
      <c r="N504" s="18">
        <f t="shared" si="81"/>
        <v>3</v>
      </c>
      <c r="O504" s="18">
        <f>SUMPRODUCT(P504:AI504,Sheet2!$B$3:$U$3)</f>
        <v>148226</v>
      </c>
      <c r="P504" s="18">
        <f>CEILING(INDEX([1]系统模型!$VD:$VD,MATCH(C504,[1]系统模型!$A:$A,0))*POWER(C504/220,3.8)-50+(1000-A504),1)</f>
        <v>2842</v>
      </c>
      <c r="Q504" s="18">
        <f>CEILING(INDEX([1]系统模型!$VE:$VE,MATCH(C504,[1]系统模型!$A:$A,0))*POWER(C504/220,4),1)</f>
        <v>348</v>
      </c>
      <c r="R504" s="18">
        <f>INT(INDEX([1]系统模型!$VF:$VF,MATCH(C504,[1]系统模型!$A:$A,0))*MAX(POWER(C504/180,4),0.5))</f>
        <v>21926</v>
      </c>
      <c r="S504" s="5">
        <v>1000</v>
      </c>
      <c r="T504" s="25">
        <v>0</v>
      </c>
      <c r="U504" s="25">
        <v>0</v>
      </c>
      <c r="V504" s="25">
        <v>0</v>
      </c>
      <c r="W504" s="25">
        <v>0</v>
      </c>
      <c r="X504" s="25">
        <f t="shared" si="82"/>
        <v>1096</v>
      </c>
      <c r="Y504" s="12">
        <v>0</v>
      </c>
      <c r="Z504" s="25">
        <v>100</v>
      </c>
      <c r="AA504" s="25">
        <v>150</v>
      </c>
      <c r="AB504" s="25">
        <v>0</v>
      </c>
      <c r="AC504" s="25">
        <v>0</v>
      </c>
      <c r="AD504" s="25">
        <v>0</v>
      </c>
      <c r="AE504" s="25">
        <f t="shared" si="83"/>
        <v>350</v>
      </c>
      <c r="AF504" s="25">
        <f t="shared" si="84"/>
        <v>350</v>
      </c>
      <c r="AG504" s="25">
        <v>0</v>
      </c>
      <c r="AH504" s="25">
        <f t="shared" si="85"/>
        <v>4375</v>
      </c>
      <c r="AI504" s="25">
        <f t="shared" si="86"/>
        <v>37</v>
      </c>
      <c r="AJ504" s="25">
        <v>1</v>
      </c>
      <c r="AK504" s="25">
        <v>1000</v>
      </c>
      <c r="AL504" s="25">
        <v>100</v>
      </c>
      <c r="AM504" s="26">
        <v>10</v>
      </c>
      <c r="AN504" s="26">
        <v>10</v>
      </c>
      <c r="AO504" s="22" t="s">
        <v>2211</v>
      </c>
      <c r="AP504" s="26">
        <v>0</v>
      </c>
      <c r="AQ504" s="26">
        <f t="shared" si="87"/>
        <v>490</v>
      </c>
      <c r="AR504" s="18" t="str">
        <f ca="1">CONCATENATE(OFFSET(Sheet1!$A$2,RANDBETWEEN(2,500),0,1,1),OFFSET(Sheet1!$A$2,RANDBETWEEN(2,500),RANDBETWEEN(1,5),1,1))</f>
        <v>克罗宁</v>
      </c>
      <c r="AS504">
        <f>SUMPRODUCT(P504:AI504,Sheet2!$B$3:$U$3)</f>
        <v>148226</v>
      </c>
    </row>
    <row r="505" spans="1:45" x14ac:dyDescent="0.15">
      <c r="A505" s="23">
        <v>504</v>
      </c>
      <c r="B505" s="18" t="s">
        <v>1083</v>
      </c>
      <c r="C505" s="18">
        <f t="shared" si="77"/>
        <v>175</v>
      </c>
      <c r="D505" s="19">
        <f t="shared" si="78"/>
        <v>2</v>
      </c>
      <c r="E505" s="19">
        <f>VLOOKUP(MOD(A505,4),各职业基础配置!C$32:D$35,2,FALSE)</f>
        <v>1</v>
      </c>
      <c r="F505" s="19">
        <f>IF(A505&lt;900,INDEX(各职业基础配置!C$23:C$28,MOD(ROW(A505),4)+1),0)</f>
        <v>13</v>
      </c>
      <c r="G505" s="19">
        <f t="shared" si="79"/>
        <v>29</v>
      </c>
      <c r="H505" s="27">
        <f t="shared" si="80"/>
        <v>2</v>
      </c>
      <c r="I505" s="6" t="s">
        <v>164</v>
      </c>
      <c r="J505" s="23" t="str">
        <f>VLOOKUP(E505,各职业基础配置!$B$9:$C$12,2,FALSE)</f>
        <v>101|102|103|4201|105</v>
      </c>
      <c r="K505" s="18" t="str">
        <f>VLOOKUP(E505,各职业基础配置!$B$15:$C$18,2,FALSE)</f>
        <v>24|25|26|27</v>
      </c>
      <c r="L505" s="18" t="str">
        <f>VLOOKUP(E505,各职业基础配置!B:C,2,FALSE)</f>
        <v>[{24,1,1},{25,1,1},{26,1,1},{27,1,1},{1,1,1},{2,1,1},{3,1,1}]</v>
      </c>
      <c r="M505" s="18">
        <v>0</v>
      </c>
      <c r="N505" s="18">
        <f t="shared" si="81"/>
        <v>3</v>
      </c>
      <c r="O505" s="18">
        <f>SUMPRODUCT(P505:AI505,Sheet2!$B$3:$U$3)</f>
        <v>148201</v>
      </c>
      <c r="P505" s="18">
        <f>CEILING(INDEX([1]系统模型!$VD:$VD,MATCH(C505,[1]系统模型!$A:$A,0))*POWER(C505/220,3.8)-50+(1000-A505),1)</f>
        <v>2841</v>
      </c>
      <c r="Q505" s="18">
        <f>CEILING(INDEX([1]系统模型!$VE:$VE,MATCH(C505,[1]系统模型!$A:$A,0))*POWER(C505/220,4),1)</f>
        <v>348</v>
      </c>
      <c r="R505" s="18">
        <f>INT(INDEX([1]系统模型!$VF:$VF,MATCH(C505,[1]系统模型!$A:$A,0))*MAX(POWER(C505/180,4),0.5))</f>
        <v>21926</v>
      </c>
      <c r="S505" s="5">
        <v>1000</v>
      </c>
      <c r="T505" s="25">
        <v>0</v>
      </c>
      <c r="U505" s="25">
        <v>0</v>
      </c>
      <c r="V505" s="25">
        <v>0</v>
      </c>
      <c r="W505" s="25">
        <v>0</v>
      </c>
      <c r="X505" s="25">
        <f t="shared" si="82"/>
        <v>1096</v>
      </c>
      <c r="Y505" s="12">
        <v>0</v>
      </c>
      <c r="Z505" s="25">
        <v>100</v>
      </c>
      <c r="AA505" s="25">
        <v>150</v>
      </c>
      <c r="AB505" s="25">
        <v>0</v>
      </c>
      <c r="AC505" s="25">
        <v>0</v>
      </c>
      <c r="AD505" s="25">
        <v>0</v>
      </c>
      <c r="AE505" s="25">
        <f t="shared" si="83"/>
        <v>350</v>
      </c>
      <c r="AF505" s="25">
        <f t="shared" si="84"/>
        <v>350</v>
      </c>
      <c r="AG505" s="25">
        <v>0</v>
      </c>
      <c r="AH505" s="25">
        <f t="shared" si="85"/>
        <v>4375</v>
      </c>
      <c r="AI505" s="25">
        <f t="shared" si="86"/>
        <v>37</v>
      </c>
      <c r="AJ505" s="25">
        <v>1</v>
      </c>
      <c r="AK505" s="25">
        <v>1000</v>
      </c>
      <c r="AL505" s="25">
        <v>100</v>
      </c>
      <c r="AM505" s="26">
        <v>10</v>
      </c>
      <c r="AN505" s="26">
        <v>10</v>
      </c>
      <c r="AO505" s="22" t="s">
        <v>2211</v>
      </c>
      <c r="AP505" s="26">
        <v>0</v>
      </c>
      <c r="AQ505" s="26">
        <f t="shared" si="87"/>
        <v>490</v>
      </c>
      <c r="AR505" s="18" t="str">
        <f ca="1">CONCATENATE(OFFSET(Sheet1!$A$2,RANDBETWEEN(2,500),0,1,1),OFFSET(Sheet1!$A$2,RANDBETWEEN(2,500),RANDBETWEEN(1,5),1,1))</f>
        <v>克里琴斯小白</v>
      </c>
      <c r="AS505">
        <f>SUMPRODUCT(P505:AI505,Sheet2!$B$3:$U$3)</f>
        <v>148201</v>
      </c>
    </row>
    <row r="506" spans="1:45" x14ac:dyDescent="0.15">
      <c r="A506" s="18">
        <v>505</v>
      </c>
      <c r="B506" s="18" t="s">
        <v>2022</v>
      </c>
      <c r="C506" s="18">
        <f t="shared" si="77"/>
        <v>175</v>
      </c>
      <c r="D506" s="19">
        <f t="shared" si="78"/>
        <v>3</v>
      </c>
      <c r="E506" s="19">
        <f>VLOOKUP(MOD(A506,4),各职业基础配置!C$32:D$35,2,FALSE)</f>
        <v>3</v>
      </c>
      <c r="F506" s="19">
        <f>IF(A506&lt;900,INDEX(各职业基础配置!C$23:C$28,MOD(ROW(A506),4)+1),0)</f>
        <v>14</v>
      </c>
      <c r="G506" s="19">
        <f t="shared" si="79"/>
        <v>29</v>
      </c>
      <c r="H506" s="27">
        <f t="shared" si="80"/>
        <v>2</v>
      </c>
      <c r="I506" s="6" t="s">
        <v>164</v>
      </c>
      <c r="J506" s="23" t="str">
        <f>VLOOKUP(E506,各职业基础配置!$B$9:$C$12,2,FALSE)</f>
        <v>106|107|108|4201|110</v>
      </c>
      <c r="K506" s="18" t="str">
        <f>VLOOKUP(E506,各职业基础配置!$B$15:$C$18,2,FALSE)</f>
        <v>20|21|22|23</v>
      </c>
      <c r="L506" s="18" t="str">
        <f>VLOOKUP(E506,各职业基础配置!B:C,2,FALSE)</f>
        <v>[{20,1,1},{21,1,1},{22,1,1},{23,1,1},{4,1,1},{5,1,1},{6,1,1}]</v>
      </c>
      <c r="M506" s="18">
        <v>0</v>
      </c>
      <c r="N506" s="18">
        <f t="shared" si="81"/>
        <v>7</v>
      </c>
      <c r="O506" s="18">
        <f>SUMPRODUCT(P506:AI506,Sheet2!$B$3:$U$3)</f>
        <v>148176</v>
      </c>
      <c r="P506" s="18">
        <f>CEILING(INDEX([1]系统模型!$VD:$VD,MATCH(C506,[1]系统模型!$A:$A,0))*POWER(C506/220,3.8)-50+(1000-A506),1)</f>
        <v>2840</v>
      </c>
      <c r="Q506" s="18">
        <f>CEILING(INDEX([1]系统模型!$VE:$VE,MATCH(C506,[1]系统模型!$A:$A,0))*POWER(C506/220,4),1)</f>
        <v>348</v>
      </c>
      <c r="R506" s="18">
        <f>INT(INDEX([1]系统模型!$VF:$VF,MATCH(C506,[1]系统模型!$A:$A,0))*MAX(POWER(C506/180,4),0.5))</f>
        <v>21926</v>
      </c>
      <c r="S506" s="5">
        <v>1000</v>
      </c>
      <c r="T506" s="25">
        <v>0</v>
      </c>
      <c r="U506" s="25">
        <v>0</v>
      </c>
      <c r="V506" s="25">
        <v>0</v>
      </c>
      <c r="W506" s="25">
        <v>0</v>
      </c>
      <c r="X506" s="25">
        <f t="shared" si="82"/>
        <v>1096</v>
      </c>
      <c r="Y506" s="12">
        <v>0</v>
      </c>
      <c r="Z506" s="25">
        <v>100</v>
      </c>
      <c r="AA506" s="25">
        <v>150</v>
      </c>
      <c r="AB506" s="25">
        <v>0</v>
      </c>
      <c r="AC506" s="25">
        <v>0</v>
      </c>
      <c r="AD506" s="25">
        <v>0</v>
      </c>
      <c r="AE506" s="25">
        <f t="shared" si="83"/>
        <v>350</v>
      </c>
      <c r="AF506" s="25">
        <f t="shared" si="84"/>
        <v>350</v>
      </c>
      <c r="AG506" s="25">
        <v>0</v>
      </c>
      <c r="AH506" s="25">
        <f t="shared" si="85"/>
        <v>4375</v>
      </c>
      <c r="AI506" s="25">
        <f t="shared" si="86"/>
        <v>37</v>
      </c>
      <c r="AJ506" s="25">
        <v>1</v>
      </c>
      <c r="AK506" s="25">
        <v>1000</v>
      </c>
      <c r="AL506" s="25">
        <v>100</v>
      </c>
      <c r="AM506" s="26">
        <v>10</v>
      </c>
      <c r="AN506" s="26">
        <v>10</v>
      </c>
      <c r="AO506" s="22" t="s">
        <v>2211</v>
      </c>
      <c r="AP506" s="26">
        <v>0</v>
      </c>
      <c r="AQ506" s="26">
        <f t="shared" si="87"/>
        <v>490</v>
      </c>
      <c r="AR506" s="18" t="str">
        <f ca="1">CONCATENATE(OFFSET(Sheet1!$A$2,RANDBETWEEN(2,500),0,1,1),OFFSET(Sheet1!$A$2,RANDBETWEEN(2,500),RANDBETWEEN(1,5),1,1))</f>
        <v>哈巴卡克朱丽叶</v>
      </c>
      <c r="AS506">
        <f>SUMPRODUCT(P506:AI506,Sheet2!$B$3:$U$3)</f>
        <v>148176</v>
      </c>
    </row>
    <row r="507" spans="1:45" x14ac:dyDescent="0.15">
      <c r="A507" s="18">
        <v>506</v>
      </c>
      <c r="B507" s="18" t="s">
        <v>2023</v>
      </c>
      <c r="C507" s="18">
        <f t="shared" si="77"/>
        <v>175</v>
      </c>
      <c r="D507" s="19">
        <f t="shared" si="78"/>
        <v>2</v>
      </c>
      <c r="E507" s="19">
        <f>VLOOKUP(MOD(A507,4),各职业基础配置!C$32:D$35,2,FALSE)</f>
        <v>6</v>
      </c>
      <c r="F507" s="19">
        <f>IF(A507&lt;900,INDEX(各职业基础配置!C$23:C$28,MOD(ROW(A507),4)+1),0)</f>
        <v>16</v>
      </c>
      <c r="G507" s="19">
        <f t="shared" si="79"/>
        <v>29</v>
      </c>
      <c r="H507" s="27">
        <f t="shared" si="80"/>
        <v>2</v>
      </c>
      <c r="I507" s="6" t="s">
        <v>164</v>
      </c>
      <c r="J507" s="23" t="str">
        <f>VLOOKUP(E507,各职业基础配置!$B$9:$C$12,2,FALSE)</f>
        <v>111|112|113|4201|115</v>
      </c>
      <c r="K507" s="18" t="str">
        <f>VLOOKUP(E507,各职业基础配置!$B$15:$C$18,2,FALSE)</f>
        <v>32|33|34</v>
      </c>
      <c r="L507" s="18" t="str">
        <f>VLOOKUP(E507,各职业基础配置!B:C,2,FALSE)</f>
        <v>[{32,1,1},{33,1,1},{34,1,1},{35,1,1},{7,1,1},{8,1,1},{9,1,1}]</v>
      </c>
      <c r="M507" s="18">
        <v>0</v>
      </c>
      <c r="N507" s="18">
        <f t="shared" si="81"/>
        <v>7</v>
      </c>
      <c r="O507" s="18">
        <f>SUMPRODUCT(P507:AI507,Sheet2!$B$3:$U$3)</f>
        <v>148151</v>
      </c>
      <c r="P507" s="18">
        <f>CEILING(INDEX([1]系统模型!$VD:$VD,MATCH(C507,[1]系统模型!$A:$A,0))*POWER(C507/220,3.8)-50+(1000-A507),1)</f>
        <v>2839</v>
      </c>
      <c r="Q507" s="18">
        <f>CEILING(INDEX([1]系统模型!$VE:$VE,MATCH(C507,[1]系统模型!$A:$A,0))*POWER(C507/220,4),1)</f>
        <v>348</v>
      </c>
      <c r="R507" s="18">
        <f>INT(INDEX([1]系统模型!$VF:$VF,MATCH(C507,[1]系统模型!$A:$A,0))*MAX(POWER(C507/180,4),0.5))</f>
        <v>21926</v>
      </c>
      <c r="S507" s="5">
        <v>1000</v>
      </c>
      <c r="T507" s="25">
        <v>0</v>
      </c>
      <c r="U507" s="25">
        <v>0</v>
      </c>
      <c r="V507" s="25">
        <v>0</v>
      </c>
      <c r="W507" s="25">
        <v>0</v>
      </c>
      <c r="X507" s="25">
        <f t="shared" si="82"/>
        <v>1096</v>
      </c>
      <c r="Y507" s="12">
        <v>0</v>
      </c>
      <c r="Z507" s="25">
        <v>100</v>
      </c>
      <c r="AA507" s="25">
        <v>150</v>
      </c>
      <c r="AB507" s="25">
        <v>0</v>
      </c>
      <c r="AC507" s="25">
        <v>0</v>
      </c>
      <c r="AD507" s="25">
        <v>0</v>
      </c>
      <c r="AE507" s="25">
        <f t="shared" si="83"/>
        <v>350</v>
      </c>
      <c r="AF507" s="25">
        <f t="shared" si="84"/>
        <v>350</v>
      </c>
      <c r="AG507" s="25">
        <v>0</v>
      </c>
      <c r="AH507" s="25">
        <f t="shared" si="85"/>
        <v>4375</v>
      </c>
      <c r="AI507" s="25">
        <f t="shared" si="86"/>
        <v>37</v>
      </c>
      <c r="AJ507" s="25">
        <v>1</v>
      </c>
      <c r="AK507" s="25">
        <v>1000</v>
      </c>
      <c r="AL507" s="25">
        <v>100</v>
      </c>
      <c r="AM507" s="26">
        <v>10</v>
      </c>
      <c r="AN507" s="26">
        <v>10</v>
      </c>
      <c r="AO507" s="22" t="s">
        <v>2211</v>
      </c>
      <c r="AP507" s="26">
        <v>0</v>
      </c>
      <c r="AQ507" s="26">
        <f t="shared" si="87"/>
        <v>490</v>
      </c>
      <c r="AR507" s="18" t="str">
        <f ca="1">CONCATENATE(OFFSET(Sheet1!$A$2,RANDBETWEEN(2,500),0,1,1),OFFSET(Sheet1!$A$2,RANDBETWEEN(2,500),RANDBETWEEN(1,5),1,1))</f>
        <v>哈特罗瑞尔</v>
      </c>
      <c r="AS507">
        <f>SUMPRODUCT(P507:AI507,Sheet2!$B$3:$U$3)</f>
        <v>148151</v>
      </c>
    </row>
    <row r="508" spans="1:45" x14ac:dyDescent="0.15">
      <c r="A508" s="23">
        <v>507</v>
      </c>
      <c r="B508" s="18" t="s">
        <v>211</v>
      </c>
      <c r="C508" s="18">
        <f t="shared" si="77"/>
        <v>174</v>
      </c>
      <c r="D508" s="19">
        <f t="shared" si="78"/>
        <v>3</v>
      </c>
      <c r="E508" s="19">
        <f>VLOOKUP(MOD(A508,4),各职业基础配置!C$32:D$35,2,FALSE)</f>
        <v>9</v>
      </c>
      <c r="F508" s="19">
        <f>IF(A508&lt;900,INDEX(各职业基础配置!C$23:C$28,MOD(ROW(A508),4)+1),0)</f>
        <v>8</v>
      </c>
      <c r="G508" s="19">
        <f t="shared" si="79"/>
        <v>28</v>
      </c>
      <c r="H508" s="27">
        <f t="shared" si="80"/>
        <v>2</v>
      </c>
      <c r="I508" s="6" t="s">
        <v>164</v>
      </c>
      <c r="J508" s="23" t="str">
        <f>VLOOKUP(E508,各职业基础配置!$B$9:$C$12,2,FALSE)</f>
        <v>116|117|118|4201|120</v>
      </c>
      <c r="K508" s="18" t="str">
        <f>VLOOKUP(E508,各职业基础配置!$B$15:$C$18,2,FALSE)</f>
        <v>28|29|30|31</v>
      </c>
      <c r="L508" s="18" t="str">
        <f>VLOOKUP(E508,各职业基础配置!B:C,2,FALSE)</f>
        <v>[{28,1,1},{29,1,1},{30,1,1},{31,1,1},{10,1,1},{11,1,1},{12,1,1}]</v>
      </c>
      <c r="M508" s="18">
        <v>0</v>
      </c>
      <c r="N508" s="18">
        <f t="shared" si="81"/>
        <v>3</v>
      </c>
      <c r="O508" s="18">
        <f>SUMPRODUCT(P508:AI508,Sheet2!$B$3:$U$3)</f>
        <v>144648</v>
      </c>
      <c r="P508" s="18">
        <f>CEILING(INDEX([1]系统模型!$VD:$VD,MATCH(C508,[1]系统模型!$A:$A,0))*POWER(C508/220,3.8)-50+(1000-A508),1)</f>
        <v>2759</v>
      </c>
      <c r="Q508" s="18">
        <f>CEILING(INDEX([1]系统模型!$VE:$VE,MATCH(C508,[1]系统模型!$A:$A,0))*POWER(C508/220,4),1)</f>
        <v>335</v>
      </c>
      <c r="R508" s="18">
        <f>INT(INDEX([1]系统模型!$VF:$VF,MATCH(C508,[1]系统模型!$A:$A,0))*MAX(POWER(C508/180,4),0.5))</f>
        <v>21248</v>
      </c>
      <c r="S508" s="5">
        <v>1000</v>
      </c>
      <c r="T508" s="25">
        <v>0</v>
      </c>
      <c r="U508" s="25">
        <v>0</v>
      </c>
      <c r="V508" s="25">
        <v>0</v>
      </c>
      <c r="W508" s="25">
        <v>0</v>
      </c>
      <c r="X508" s="25">
        <f t="shared" si="82"/>
        <v>1062</v>
      </c>
      <c r="Y508" s="12">
        <v>0</v>
      </c>
      <c r="Z508" s="25">
        <v>100</v>
      </c>
      <c r="AA508" s="25">
        <v>150</v>
      </c>
      <c r="AB508" s="25">
        <v>0</v>
      </c>
      <c r="AC508" s="25">
        <v>0</v>
      </c>
      <c r="AD508" s="25">
        <v>0</v>
      </c>
      <c r="AE508" s="25">
        <f t="shared" si="83"/>
        <v>348</v>
      </c>
      <c r="AF508" s="25">
        <f t="shared" si="84"/>
        <v>348</v>
      </c>
      <c r="AG508" s="25">
        <v>0</v>
      </c>
      <c r="AH508" s="25">
        <f t="shared" si="85"/>
        <v>4300</v>
      </c>
      <c r="AI508" s="25">
        <f t="shared" si="86"/>
        <v>36</v>
      </c>
      <c r="AJ508" s="25">
        <v>1</v>
      </c>
      <c r="AK508" s="25">
        <v>1000</v>
      </c>
      <c r="AL508" s="25">
        <v>100</v>
      </c>
      <c r="AM508" s="26">
        <v>10</v>
      </c>
      <c r="AN508" s="26">
        <v>10</v>
      </c>
      <c r="AO508" s="22" t="s">
        <v>2211</v>
      </c>
      <c r="AP508" s="26">
        <v>0</v>
      </c>
      <c r="AQ508" s="26">
        <f t="shared" si="87"/>
        <v>490</v>
      </c>
      <c r="AR508" s="18" t="str">
        <f ca="1">CONCATENATE(OFFSET(Sheet1!$A$2,RANDBETWEEN(2,500),0,1,1),OFFSET(Sheet1!$A$2,RANDBETWEEN(2,500),RANDBETWEEN(1,5),1,1))</f>
        <v>布尔沃supper</v>
      </c>
      <c r="AS508">
        <f>SUMPRODUCT(P508:AI508,Sheet2!$B$3:$U$3)</f>
        <v>144648</v>
      </c>
    </row>
    <row r="509" spans="1:45" x14ac:dyDescent="0.15">
      <c r="A509" s="18">
        <v>508</v>
      </c>
      <c r="B509" s="18" t="s">
        <v>929</v>
      </c>
      <c r="C509" s="18">
        <f t="shared" si="77"/>
        <v>174</v>
      </c>
      <c r="D509" s="19">
        <f t="shared" si="78"/>
        <v>2</v>
      </c>
      <c r="E509" s="19">
        <f>VLOOKUP(MOD(A509,4),各职业基础配置!C$32:D$35,2,FALSE)</f>
        <v>1</v>
      </c>
      <c r="F509" s="19">
        <f>IF(A509&lt;900,INDEX(各职业基础配置!C$23:C$28,MOD(ROW(A509),4)+1),0)</f>
        <v>13</v>
      </c>
      <c r="G509" s="19">
        <f t="shared" si="79"/>
        <v>28</v>
      </c>
      <c r="H509" s="27">
        <f t="shared" si="80"/>
        <v>2</v>
      </c>
      <c r="I509" s="6" t="s">
        <v>164</v>
      </c>
      <c r="J509" s="23" t="str">
        <f>VLOOKUP(E509,各职业基础配置!$B$9:$C$12,2,FALSE)</f>
        <v>101|102|103|4201|105</v>
      </c>
      <c r="K509" s="18" t="str">
        <f>VLOOKUP(E509,各职业基础配置!$B$15:$C$18,2,FALSE)</f>
        <v>24|25|26|27</v>
      </c>
      <c r="L509" s="18" t="str">
        <f>VLOOKUP(E509,各职业基础配置!B:C,2,FALSE)</f>
        <v>[{24,1,1},{25,1,1},{26,1,1},{27,1,1},{1,1,1},{2,1,1},{3,1,1}]</v>
      </c>
      <c r="M509" s="18">
        <v>0</v>
      </c>
      <c r="N509" s="18">
        <f t="shared" si="81"/>
        <v>3</v>
      </c>
      <c r="O509" s="18">
        <f>SUMPRODUCT(P509:AI509,Sheet2!$B$3:$U$3)</f>
        <v>144623</v>
      </c>
      <c r="P509" s="18">
        <f>CEILING(INDEX([1]系统模型!$VD:$VD,MATCH(C509,[1]系统模型!$A:$A,0))*POWER(C509/220,3.8)-50+(1000-A509),1)</f>
        <v>2758</v>
      </c>
      <c r="Q509" s="18">
        <f>CEILING(INDEX([1]系统模型!$VE:$VE,MATCH(C509,[1]系统模型!$A:$A,0))*POWER(C509/220,4),1)</f>
        <v>335</v>
      </c>
      <c r="R509" s="18">
        <f>INT(INDEX([1]系统模型!$VF:$VF,MATCH(C509,[1]系统模型!$A:$A,0))*MAX(POWER(C509/180,4),0.5))</f>
        <v>21248</v>
      </c>
      <c r="S509" s="5">
        <v>1000</v>
      </c>
      <c r="T509" s="25">
        <v>0</v>
      </c>
      <c r="U509" s="25">
        <v>0</v>
      </c>
      <c r="V509" s="25">
        <v>0</v>
      </c>
      <c r="W509" s="25">
        <v>0</v>
      </c>
      <c r="X509" s="25">
        <f t="shared" si="82"/>
        <v>1062</v>
      </c>
      <c r="Y509" s="12">
        <v>0</v>
      </c>
      <c r="Z509" s="25">
        <v>100</v>
      </c>
      <c r="AA509" s="25">
        <v>150</v>
      </c>
      <c r="AB509" s="25">
        <v>0</v>
      </c>
      <c r="AC509" s="25">
        <v>0</v>
      </c>
      <c r="AD509" s="25">
        <v>0</v>
      </c>
      <c r="AE509" s="25">
        <f t="shared" si="83"/>
        <v>348</v>
      </c>
      <c r="AF509" s="25">
        <f t="shared" si="84"/>
        <v>348</v>
      </c>
      <c r="AG509" s="25">
        <v>0</v>
      </c>
      <c r="AH509" s="25">
        <f t="shared" si="85"/>
        <v>4300</v>
      </c>
      <c r="AI509" s="25">
        <f t="shared" si="86"/>
        <v>36</v>
      </c>
      <c r="AJ509" s="25">
        <v>1</v>
      </c>
      <c r="AK509" s="25">
        <v>1000</v>
      </c>
      <c r="AL509" s="25">
        <v>100</v>
      </c>
      <c r="AM509" s="26">
        <v>10</v>
      </c>
      <c r="AN509" s="26">
        <v>10</v>
      </c>
      <c r="AO509" s="22" t="s">
        <v>2211</v>
      </c>
      <c r="AP509" s="26">
        <v>0</v>
      </c>
      <c r="AQ509" s="26">
        <f t="shared" si="87"/>
        <v>490</v>
      </c>
      <c r="AR509" s="18" t="str">
        <f ca="1">CONCATENATE(OFFSET(Sheet1!$A$2,RANDBETWEEN(2,500),0,1,1),OFFSET(Sheet1!$A$2,RANDBETWEEN(2,500),RANDBETWEEN(1,5),1,1))</f>
        <v>戈斯</v>
      </c>
      <c r="AS509">
        <f>SUMPRODUCT(P509:AI509,Sheet2!$B$3:$U$3)</f>
        <v>144623</v>
      </c>
    </row>
    <row r="510" spans="1:45" x14ac:dyDescent="0.15">
      <c r="A510" s="18">
        <v>509</v>
      </c>
      <c r="B510" s="18" t="s">
        <v>2024</v>
      </c>
      <c r="C510" s="18">
        <f t="shared" si="77"/>
        <v>174</v>
      </c>
      <c r="D510" s="19">
        <f t="shared" si="78"/>
        <v>3</v>
      </c>
      <c r="E510" s="19">
        <f>VLOOKUP(MOD(A510,4),各职业基础配置!C$32:D$35,2,FALSE)</f>
        <v>3</v>
      </c>
      <c r="F510" s="19">
        <f>IF(A510&lt;900,INDEX(各职业基础配置!C$23:C$28,MOD(ROW(A510),4)+1),0)</f>
        <v>14</v>
      </c>
      <c r="G510" s="19">
        <f t="shared" si="79"/>
        <v>28</v>
      </c>
      <c r="H510" s="27">
        <f t="shared" si="80"/>
        <v>2</v>
      </c>
      <c r="I510" s="6" t="s">
        <v>164</v>
      </c>
      <c r="J510" s="23" t="str">
        <f>VLOOKUP(E510,各职业基础配置!$B$9:$C$12,2,FALSE)</f>
        <v>106|107|108|4201|110</v>
      </c>
      <c r="K510" s="18" t="str">
        <f>VLOOKUP(E510,各职业基础配置!$B$15:$C$18,2,FALSE)</f>
        <v>20|21|22|23</v>
      </c>
      <c r="L510" s="18" t="str">
        <f>VLOOKUP(E510,各职业基础配置!B:C,2,FALSE)</f>
        <v>[{20,1,1},{21,1,1},{22,1,1},{23,1,1},{4,1,1},{5,1,1},{6,1,1}]</v>
      </c>
      <c r="M510" s="18">
        <v>0</v>
      </c>
      <c r="N510" s="18">
        <f t="shared" si="81"/>
        <v>7</v>
      </c>
      <c r="O510" s="18">
        <f>SUMPRODUCT(P510:AI510,Sheet2!$B$3:$U$3)</f>
        <v>144598</v>
      </c>
      <c r="P510" s="18">
        <f>CEILING(INDEX([1]系统模型!$VD:$VD,MATCH(C510,[1]系统模型!$A:$A,0))*POWER(C510/220,3.8)-50+(1000-A510),1)</f>
        <v>2757</v>
      </c>
      <c r="Q510" s="18">
        <f>CEILING(INDEX([1]系统模型!$VE:$VE,MATCH(C510,[1]系统模型!$A:$A,0))*POWER(C510/220,4),1)</f>
        <v>335</v>
      </c>
      <c r="R510" s="18">
        <f>INT(INDEX([1]系统模型!$VF:$VF,MATCH(C510,[1]系统模型!$A:$A,0))*MAX(POWER(C510/180,4),0.5))</f>
        <v>21248</v>
      </c>
      <c r="S510" s="5">
        <v>1000</v>
      </c>
      <c r="T510" s="25">
        <v>0</v>
      </c>
      <c r="U510" s="25">
        <v>0</v>
      </c>
      <c r="V510" s="25">
        <v>0</v>
      </c>
      <c r="W510" s="25">
        <v>0</v>
      </c>
      <c r="X510" s="25">
        <f t="shared" si="82"/>
        <v>1062</v>
      </c>
      <c r="Y510" s="12">
        <v>0</v>
      </c>
      <c r="Z510" s="25">
        <v>100</v>
      </c>
      <c r="AA510" s="25">
        <v>150</v>
      </c>
      <c r="AB510" s="25">
        <v>0</v>
      </c>
      <c r="AC510" s="25">
        <v>0</v>
      </c>
      <c r="AD510" s="25">
        <v>0</v>
      </c>
      <c r="AE510" s="25">
        <f t="shared" si="83"/>
        <v>348</v>
      </c>
      <c r="AF510" s="25">
        <f t="shared" si="84"/>
        <v>348</v>
      </c>
      <c r="AG510" s="25">
        <v>0</v>
      </c>
      <c r="AH510" s="25">
        <f t="shared" si="85"/>
        <v>4300</v>
      </c>
      <c r="AI510" s="25">
        <f t="shared" si="86"/>
        <v>36</v>
      </c>
      <c r="AJ510" s="25">
        <v>1</v>
      </c>
      <c r="AK510" s="25">
        <v>1000</v>
      </c>
      <c r="AL510" s="25">
        <v>100</v>
      </c>
      <c r="AM510" s="26">
        <v>10</v>
      </c>
      <c r="AN510" s="26">
        <v>10</v>
      </c>
      <c r="AO510" s="22" t="s">
        <v>2211</v>
      </c>
      <c r="AP510" s="26">
        <v>0</v>
      </c>
      <c r="AQ510" s="26">
        <f t="shared" si="87"/>
        <v>490</v>
      </c>
      <c r="AR510" s="18" t="str">
        <f ca="1">CONCATENATE(OFFSET(Sheet1!$A$2,RANDBETWEEN(2,500),0,1,1),OFFSET(Sheet1!$A$2,RANDBETWEEN(2,500),RANDBETWEEN(1,5),1,1))</f>
        <v>法斯特凯瑟琳</v>
      </c>
      <c r="AS510">
        <f>SUMPRODUCT(P510:AI510,Sheet2!$B$3:$U$3)</f>
        <v>144598</v>
      </c>
    </row>
    <row r="511" spans="1:45" x14ac:dyDescent="0.15">
      <c r="A511" s="23">
        <v>510</v>
      </c>
      <c r="B511" s="18" t="s">
        <v>1038</v>
      </c>
      <c r="C511" s="18">
        <f t="shared" si="77"/>
        <v>174</v>
      </c>
      <c r="D511" s="19">
        <f t="shared" si="78"/>
        <v>2</v>
      </c>
      <c r="E511" s="19">
        <f>VLOOKUP(MOD(A511,4),各职业基础配置!C$32:D$35,2,FALSE)</f>
        <v>6</v>
      </c>
      <c r="F511" s="19">
        <f>IF(A511&lt;900,INDEX(各职业基础配置!C$23:C$28,MOD(ROW(A511),4)+1),0)</f>
        <v>16</v>
      </c>
      <c r="G511" s="19">
        <f t="shared" si="79"/>
        <v>28</v>
      </c>
      <c r="H511" s="27">
        <f t="shared" si="80"/>
        <v>2</v>
      </c>
      <c r="I511" s="6" t="s">
        <v>164</v>
      </c>
      <c r="J511" s="23" t="str">
        <f>VLOOKUP(E511,各职业基础配置!$B$9:$C$12,2,FALSE)</f>
        <v>111|112|113|4201|115</v>
      </c>
      <c r="K511" s="18" t="str">
        <f>VLOOKUP(E511,各职业基础配置!$B$15:$C$18,2,FALSE)</f>
        <v>32|33|34</v>
      </c>
      <c r="L511" s="18" t="str">
        <f>VLOOKUP(E511,各职业基础配置!B:C,2,FALSE)</f>
        <v>[{32,1,1},{33,1,1},{34,1,1},{35,1,1},{7,1,1},{8,1,1},{9,1,1}]</v>
      </c>
      <c r="M511" s="18">
        <v>0</v>
      </c>
      <c r="N511" s="18">
        <f t="shared" si="81"/>
        <v>7</v>
      </c>
      <c r="O511" s="18">
        <f>SUMPRODUCT(P511:AI511,Sheet2!$B$3:$U$3)</f>
        <v>144573</v>
      </c>
      <c r="P511" s="18">
        <f>CEILING(INDEX([1]系统模型!$VD:$VD,MATCH(C511,[1]系统模型!$A:$A,0))*POWER(C511/220,3.8)-50+(1000-A511),1)</f>
        <v>2756</v>
      </c>
      <c r="Q511" s="18">
        <f>CEILING(INDEX([1]系统模型!$VE:$VE,MATCH(C511,[1]系统模型!$A:$A,0))*POWER(C511/220,4),1)</f>
        <v>335</v>
      </c>
      <c r="R511" s="18">
        <f>INT(INDEX([1]系统模型!$VF:$VF,MATCH(C511,[1]系统模型!$A:$A,0))*MAX(POWER(C511/180,4),0.5))</f>
        <v>21248</v>
      </c>
      <c r="S511" s="5">
        <v>1000</v>
      </c>
      <c r="T511" s="25">
        <v>0</v>
      </c>
      <c r="U511" s="25">
        <v>0</v>
      </c>
      <c r="V511" s="25">
        <v>0</v>
      </c>
      <c r="W511" s="25">
        <v>0</v>
      </c>
      <c r="X511" s="25">
        <f t="shared" si="82"/>
        <v>1062</v>
      </c>
      <c r="Y511" s="12">
        <v>0</v>
      </c>
      <c r="Z511" s="25">
        <v>100</v>
      </c>
      <c r="AA511" s="25">
        <v>150</v>
      </c>
      <c r="AB511" s="25">
        <v>0</v>
      </c>
      <c r="AC511" s="25">
        <v>0</v>
      </c>
      <c r="AD511" s="25">
        <v>0</v>
      </c>
      <c r="AE511" s="25">
        <f t="shared" si="83"/>
        <v>348</v>
      </c>
      <c r="AF511" s="25">
        <f t="shared" si="84"/>
        <v>348</v>
      </c>
      <c r="AG511" s="25">
        <v>0</v>
      </c>
      <c r="AH511" s="25">
        <f t="shared" si="85"/>
        <v>4300</v>
      </c>
      <c r="AI511" s="25">
        <f t="shared" si="86"/>
        <v>36</v>
      </c>
      <c r="AJ511" s="25">
        <v>1</v>
      </c>
      <c r="AK511" s="25">
        <v>1000</v>
      </c>
      <c r="AL511" s="25">
        <v>100</v>
      </c>
      <c r="AM511" s="26">
        <v>10</v>
      </c>
      <c r="AN511" s="26">
        <v>10</v>
      </c>
      <c r="AO511" s="22" t="s">
        <v>2211</v>
      </c>
      <c r="AP511" s="26">
        <v>0</v>
      </c>
      <c r="AQ511" s="26">
        <f t="shared" si="87"/>
        <v>480</v>
      </c>
      <c r="AR511" s="18" t="str">
        <f ca="1">CONCATENATE(OFFSET(Sheet1!$A$2,RANDBETWEEN(2,500),0,1,1),OFFSET(Sheet1!$A$2,RANDBETWEEN(2,500),RANDBETWEEN(1,5),1,1))</f>
        <v>艾奇逊</v>
      </c>
      <c r="AS511">
        <f>SUMPRODUCT(P511:AI511,Sheet2!$B$3:$U$3)</f>
        <v>144573</v>
      </c>
    </row>
    <row r="512" spans="1:45" x14ac:dyDescent="0.15">
      <c r="A512" s="18">
        <v>511</v>
      </c>
      <c r="B512" s="18" t="s">
        <v>1284</v>
      </c>
      <c r="C512" s="18">
        <f t="shared" si="77"/>
        <v>174</v>
      </c>
      <c r="D512" s="19">
        <f t="shared" si="78"/>
        <v>3</v>
      </c>
      <c r="E512" s="19">
        <f>VLOOKUP(MOD(A512,4),各职业基础配置!C$32:D$35,2,FALSE)</f>
        <v>9</v>
      </c>
      <c r="F512" s="19">
        <f>IF(A512&lt;900,INDEX(各职业基础配置!C$23:C$28,MOD(ROW(A512),4)+1),0)</f>
        <v>8</v>
      </c>
      <c r="G512" s="19">
        <f t="shared" si="79"/>
        <v>28</v>
      </c>
      <c r="H512" s="27">
        <f t="shared" si="80"/>
        <v>2</v>
      </c>
      <c r="I512" s="6" t="s">
        <v>164</v>
      </c>
      <c r="J512" s="23" t="str">
        <f>VLOOKUP(E512,各职业基础配置!$B$9:$C$12,2,FALSE)</f>
        <v>116|117|118|4201|120</v>
      </c>
      <c r="K512" s="18" t="str">
        <f>VLOOKUP(E512,各职业基础配置!$B$15:$C$18,2,FALSE)</f>
        <v>28|29|30|31</v>
      </c>
      <c r="L512" s="18" t="str">
        <f>VLOOKUP(E512,各职业基础配置!B:C,2,FALSE)</f>
        <v>[{28,1,1},{29,1,1},{30,1,1},{31,1,1},{10,1,1},{11,1,1},{12,1,1}]</v>
      </c>
      <c r="M512" s="18">
        <v>0</v>
      </c>
      <c r="N512" s="18">
        <f t="shared" si="81"/>
        <v>3</v>
      </c>
      <c r="O512" s="18">
        <f>SUMPRODUCT(P512:AI512,Sheet2!$B$3:$U$3)</f>
        <v>144548</v>
      </c>
      <c r="P512" s="18">
        <f>CEILING(INDEX([1]系统模型!$VD:$VD,MATCH(C512,[1]系统模型!$A:$A,0))*POWER(C512/220,3.8)-50+(1000-A512),1)</f>
        <v>2755</v>
      </c>
      <c r="Q512" s="18">
        <f>CEILING(INDEX([1]系统模型!$VE:$VE,MATCH(C512,[1]系统模型!$A:$A,0))*POWER(C512/220,4),1)</f>
        <v>335</v>
      </c>
      <c r="R512" s="18">
        <f>INT(INDEX([1]系统模型!$VF:$VF,MATCH(C512,[1]系统模型!$A:$A,0))*MAX(POWER(C512/180,4),0.5))</f>
        <v>21248</v>
      </c>
      <c r="S512" s="5">
        <v>1000</v>
      </c>
      <c r="T512" s="25">
        <v>0</v>
      </c>
      <c r="U512" s="25">
        <v>0</v>
      </c>
      <c r="V512" s="25">
        <v>0</v>
      </c>
      <c r="W512" s="25">
        <v>0</v>
      </c>
      <c r="X512" s="25">
        <f t="shared" si="82"/>
        <v>1062</v>
      </c>
      <c r="Y512" s="12">
        <v>0</v>
      </c>
      <c r="Z512" s="25">
        <v>100</v>
      </c>
      <c r="AA512" s="25">
        <v>150</v>
      </c>
      <c r="AB512" s="25">
        <v>0</v>
      </c>
      <c r="AC512" s="25">
        <v>0</v>
      </c>
      <c r="AD512" s="25">
        <v>0</v>
      </c>
      <c r="AE512" s="25">
        <f t="shared" si="83"/>
        <v>348</v>
      </c>
      <c r="AF512" s="25">
        <f t="shared" si="84"/>
        <v>348</v>
      </c>
      <c r="AG512" s="25">
        <v>0</v>
      </c>
      <c r="AH512" s="25">
        <f t="shared" si="85"/>
        <v>4300</v>
      </c>
      <c r="AI512" s="25">
        <f t="shared" si="86"/>
        <v>36</v>
      </c>
      <c r="AJ512" s="25">
        <v>1</v>
      </c>
      <c r="AK512" s="25">
        <v>1000</v>
      </c>
      <c r="AL512" s="25">
        <v>100</v>
      </c>
      <c r="AM512" s="26">
        <v>10</v>
      </c>
      <c r="AN512" s="26">
        <v>10</v>
      </c>
      <c r="AO512" s="22" t="s">
        <v>2211</v>
      </c>
      <c r="AP512" s="26">
        <v>0</v>
      </c>
      <c r="AQ512" s="26">
        <f t="shared" si="87"/>
        <v>480</v>
      </c>
      <c r="AR512" s="18" t="str">
        <f ca="1">CONCATENATE(OFFSET(Sheet1!$A$2,RANDBETWEEN(2,500),0,1,1),OFFSET(Sheet1!$A$2,RANDBETWEEN(2,500),RANDBETWEEN(1,5),1,1))</f>
        <v>勃朗宁</v>
      </c>
      <c r="AS512">
        <f>SUMPRODUCT(P512:AI512,Sheet2!$B$3:$U$3)</f>
        <v>144548</v>
      </c>
    </row>
    <row r="513" spans="1:45" x14ac:dyDescent="0.15">
      <c r="A513" s="18">
        <v>512</v>
      </c>
      <c r="B513" s="18" t="s">
        <v>2025</v>
      </c>
      <c r="C513" s="18">
        <f t="shared" si="77"/>
        <v>174</v>
      </c>
      <c r="D513" s="19">
        <f t="shared" si="78"/>
        <v>2</v>
      </c>
      <c r="E513" s="19">
        <f>VLOOKUP(MOD(A513,4),各职业基础配置!C$32:D$35,2,FALSE)</f>
        <v>1</v>
      </c>
      <c r="F513" s="19">
        <f>IF(A513&lt;900,INDEX(各职业基础配置!C$23:C$28,MOD(ROW(A513),4)+1),0)</f>
        <v>13</v>
      </c>
      <c r="G513" s="19">
        <f t="shared" si="79"/>
        <v>28</v>
      </c>
      <c r="H513" s="27">
        <f t="shared" si="80"/>
        <v>2</v>
      </c>
      <c r="I513" s="6" t="s">
        <v>164</v>
      </c>
      <c r="J513" s="23" t="str">
        <f>VLOOKUP(E513,各职业基础配置!$B$9:$C$12,2,FALSE)</f>
        <v>101|102|103|4201|105</v>
      </c>
      <c r="K513" s="18" t="str">
        <f>VLOOKUP(E513,各职业基础配置!$B$15:$C$18,2,FALSE)</f>
        <v>24|25|26|27</v>
      </c>
      <c r="L513" s="18" t="str">
        <f>VLOOKUP(E513,各职业基础配置!B:C,2,FALSE)</f>
        <v>[{24,1,1},{25,1,1},{26,1,1},{27,1,1},{1,1,1},{2,1,1},{3,1,1}]</v>
      </c>
      <c r="M513" s="18">
        <v>0</v>
      </c>
      <c r="N513" s="18">
        <f t="shared" si="81"/>
        <v>3</v>
      </c>
      <c r="O513" s="18">
        <f>SUMPRODUCT(P513:AI513,Sheet2!$B$3:$U$3)</f>
        <v>144523</v>
      </c>
      <c r="P513" s="18">
        <f>CEILING(INDEX([1]系统模型!$VD:$VD,MATCH(C513,[1]系统模型!$A:$A,0))*POWER(C513/220,3.8)-50+(1000-A513),1)</f>
        <v>2754</v>
      </c>
      <c r="Q513" s="18">
        <f>CEILING(INDEX([1]系统模型!$VE:$VE,MATCH(C513,[1]系统模型!$A:$A,0))*POWER(C513/220,4),1)</f>
        <v>335</v>
      </c>
      <c r="R513" s="18">
        <f>INT(INDEX([1]系统模型!$VF:$VF,MATCH(C513,[1]系统模型!$A:$A,0))*MAX(POWER(C513/180,4),0.5))</f>
        <v>21248</v>
      </c>
      <c r="S513" s="5">
        <v>1000</v>
      </c>
      <c r="T513" s="25">
        <v>0</v>
      </c>
      <c r="U513" s="25">
        <v>0</v>
      </c>
      <c r="V513" s="25">
        <v>0</v>
      </c>
      <c r="W513" s="25">
        <v>0</v>
      </c>
      <c r="X513" s="25">
        <f t="shared" si="82"/>
        <v>1062</v>
      </c>
      <c r="Y513" s="12">
        <v>0</v>
      </c>
      <c r="Z513" s="25">
        <v>100</v>
      </c>
      <c r="AA513" s="25">
        <v>150</v>
      </c>
      <c r="AB513" s="25">
        <v>0</v>
      </c>
      <c r="AC513" s="25">
        <v>0</v>
      </c>
      <c r="AD513" s="25">
        <v>0</v>
      </c>
      <c r="AE513" s="25">
        <f t="shared" si="83"/>
        <v>348</v>
      </c>
      <c r="AF513" s="25">
        <f t="shared" si="84"/>
        <v>348</v>
      </c>
      <c r="AG513" s="25">
        <v>0</v>
      </c>
      <c r="AH513" s="25">
        <f t="shared" si="85"/>
        <v>4300</v>
      </c>
      <c r="AI513" s="25">
        <f t="shared" si="86"/>
        <v>36</v>
      </c>
      <c r="AJ513" s="25">
        <v>1</v>
      </c>
      <c r="AK513" s="25">
        <v>1000</v>
      </c>
      <c r="AL513" s="25">
        <v>100</v>
      </c>
      <c r="AM513" s="26">
        <v>10</v>
      </c>
      <c r="AN513" s="26">
        <v>10</v>
      </c>
      <c r="AO513" s="22" t="s">
        <v>2211</v>
      </c>
      <c r="AP513" s="26">
        <v>0</v>
      </c>
      <c r="AQ513" s="26">
        <f t="shared" si="87"/>
        <v>480</v>
      </c>
      <c r="AR513" s="18" t="str">
        <f ca="1">CONCATENATE(OFFSET(Sheet1!$A$2,RANDBETWEEN(2,500),0,1,1),OFFSET(Sheet1!$A$2,RANDBETWEEN(2,500),RANDBETWEEN(1,5),1,1))</f>
        <v>贺拉斯</v>
      </c>
      <c r="AS513">
        <f>SUMPRODUCT(P513:AI513,Sheet2!$B$3:$U$3)</f>
        <v>144523</v>
      </c>
    </row>
    <row r="514" spans="1:45" x14ac:dyDescent="0.15">
      <c r="A514" s="23">
        <v>513</v>
      </c>
      <c r="B514" s="18" t="s">
        <v>2026</v>
      </c>
      <c r="C514" s="18">
        <f t="shared" si="77"/>
        <v>174</v>
      </c>
      <c r="D514" s="19">
        <f t="shared" si="78"/>
        <v>3</v>
      </c>
      <c r="E514" s="19">
        <f>VLOOKUP(MOD(A514,4),各职业基础配置!C$32:D$35,2,FALSE)</f>
        <v>3</v>
      </c>
      <c r="F514" s="19">
        <f>IF(A514&lt;900,INDEX(各职业基础配置!C$23:C$28,MOD(ROW(A514),4)+1),0)</f>
        <v>14</v>
      </c>
      <c r="G514" s="19">
        <f t="shared" si="79"/>
        <v>28</v>
      </c>
      <c r="H514" s="27">
        <f t="shared" si="80"/>
        <v>2</v>
      </c>
      <c r="I514" s="6" t="s">
        <v>164</v>
      </c>
      <c r="J514" s="23" t="str">
        <f>VLOOKUP(E514,各职业基础配置!$B$9:$C$12,2,FALSE)</f>
        <v>106|107|108|4201|110</v>
      </c>
      <c r="K514" s="18" t="str">
        <f>VLOOKUP(E514,各职业基础配置!$B$15:$C$18,2,FALSE)</f>
        <v>20|21|22|23</v>
      </c>
      <c r="L514" s="18" t="str">
        <f>VLOOKUP(E514,各职业基础配置!B:C,2,FALSE)</f>
        <v>[{20,1,1},{21,1,1},{22,1,1},{23,1,1},{4,1,1},{5,1,1},{6,1,1}]</v>
      </c>
      <c r="M514" s="18">
        <v>0</v>
      </c>
      <c r="N514" s="18">
        <f t="shared" si="81"/>
        <v>7</v>
      </c>
      <c r="O514" s="18">
        <f>SUMPRODUCT(P514:AI514,Sheet2!$B$3:$U$3)</f>
        <v>144498</v>
      </c>
      <c r="P514" s="18">
        <f>CEILING(INDEX([1]系统模型!$VD:$VD,MATCH(C514,[1]系统模型!$A:$A,0))*POWER(C514/220,3.8)-50+(1000-A514),1)</f>
        <v>2753</v>
      </c>
      <c r="Q514" s="18">
        <f>CEILING(INDEX([1]系统模型!$VE:$VE,MATCH(C514,[1]系统模型!$A:$A,0))*POWER(C514/220,4),1)</f>
        <v>335</v>
      </c>
      <c r="R514" s="18">
        <f>INT(INDEX([1]系统模型!$VF:$VF,MATCH(C514,[1]系统模型!$A:$A,0))*MAX(POWER(C514/180,4),0.5))</f>
        <v>21248</v>
      </c>
      <c r="S514" s="5">
        <v>1000</v>
      </c>
      <c r="T514" s="25">
        <v>0</v>
      </c>
      <c r="U514" s="25">
        <v>0</v>
      </c>
      <c r="V514" s="25">
        <v>0</v>
      </c>
      <c r="W514" s="25">
        <v>0</v>
      </c>
      <c r="X514" s="25">
        <f t="shared" si="82"/>
        <v>1062</v>
      </c>
      <c r="Y514" s="12">
        <v>0</v>
      </c>
      <c r="Z514" s="25">
        <v>100</v>
      </c>
      <c r="AA514" s="25">
        <v>150</v>
      </c>
      <c r="AB514" s="25">
        <v>0</v>
      </c>
      <c r="AC514" s="25">
        <v>0</v>
      </c>
      <c r="AD514" s="25">
        <v>0</v>
      </c>
      <c r="AE514" s="25">
        <f t="shared" si="83"/>
        <v>348</v>
      </c>
      <c r="AF514" s="25">
        <f t="shared" si="84"/>
        <v>348</v>
      </c>
      <c r="AG514" s="25">
        <v>0</v>
      </c>
      <c r="AH514" s="25">
        <f t="shared" si="85"/>
        <v>4300</v>
      </c>
      <c r="AI514" s="25">
        <f t="shared" si="86"/>
        <v>36</v>
      </c>
      <c r="AJ514" s="25">
        <v>1</v>
      </c>
      <c r="AK514" s="25">
        <v>1000</v>
      </c>
      <c r="AL514" s="25">
        <v>100</v>
      </c>
      <c r="AM514" s="26">
        <v>10</v>
      </c>
      <c r="AN514" s="26">
        <v>10</v>
      </c>
      <c r="AO514" s="22" t="s">
        <v>2211</v>
      </c>
      <c r="AP514" s="26">
        <v>0</v>
      </c>
      <c r="AQ514" s="26">
        <f t="shared" si="87"/>
        <v>480</v>
      </c>
      <c r="AR514" s="18" t="str">
        <f ca="1">CONCATENATE(OFFSET(Sheet1!$A$2,RANDBETWEEN(2,500),0,1,1),OFFSET(Sheet1!$A$2,RANDBETWEEN(2,500),RANDBETWEEN(1,5),1,1))</f>
        <v>艾塞亚</v>
      </c>
      <c r="AS514">
        <f>SUMPRODUCT(P514:AI514,Sheet2!$B$3:$U$3)</f>
        <v>144498</v>
      </c>
    </row>
    <row r="515" spans="1:45" x14ac:dyDescent="0.15">
      <c r="A515" s="18">
        <v>514</v>
      </c>
      <c r="B515" s="18" t="s">
        <v>2027</v>
      </c>
      <c r="C515" s="18">
        <f t="shared" ref="C515:C578" si="88">INT(250-(150-2)/1000*A515)</f>
        <v>173</v>
      </c>
      <c r="D515" s="19">
        <f t="shared" ref="D515:D578" si="89">MOD(A515,2)+2</f>
        <v>2</v>
      </c>
      <c r="E515" s="19">
        <f>VLOOKUP(MOD(A515,4),各职业基础配置!C$32:D$35,2,FALSE)</f>
        <v>6</v>
      </c>
      <c r="F515" s="19">
        <f>IF(A515&lt;900,INDEX(各职业基础配置!C$23:C$28,MOD(ROW(A515),4)+1),0)</f>
        <v>16</v>
      </c>
      <c r="G515" s="19">
        <f t="shared" ref="G515:G578" si="90">INT(C515*POWER(C515/250,5))</f>
        <v>27</v>
      </c>
      <c r="H515" s="27">
        <f t="shared" ref="H515:H578" si="91">CEILING(C515/75,1)-1</f>
        <v>2</v>
      </c>
      <c r="I515" s="6" t="s">
        <v>164</v>
      </c>
      <c r="J515" s="23" t="str">
        <f>VLOOKUP(E515,各职业基础配置!$B$9:$C$12,2,FALSE)</f>
        <v>111|112|113|4201|115</v>
      </c>
      <c r="K515" s="18" t="str">
        <f>VLOOKUP(E515,各职业基础配置!$B$15:$C$18,2,FALSE)</f>
        <v>32|33|34</v>
      </c>
      <c r="L515" s="18" t="str">
        <f>VLOOKUP(E515,各职业基础配置!B:C,2,FALSE)</f>
        <v>[{32,1,1},{33,1,1},{34,1,1},{35,1,1},{7,1,1},{8,1,1},{9,1,1}]</v>
      </c>
      <c r="M515" s="18">
        <v>0</v>
      </c>
      <c r="N515" s="18">
        <f t="shared" ref="N515:N578" si="92">IF(OR(E515=3,E515=6),7,3)</f>
        <v>7</v>
      </c>
      <c r="O515" s="18">
        <f>SUMPRODUCT(P515:AI515,Sheet2!$B$3:$U$3)</f>
        <v>141717</v>
      </c>
      <c r="P515" s="18">
        <f>CEILING(INDEX([1]系统模型!$VD:$VD,MATCH(C515,[1]系统模型!$A:$A,0))*POWER(C515/220,3.8)-50+(1000-A515),1)</f>
        <v>2697</v>
      </c>
      <c r="Q515" s="18">
        <f>CEILING(INDEX([1]系统模型!$VE:$VE,MATCH(C515,[1]系统模型!$A:$A,0))*POWER(C515/220,4),1)</f>
        <v>325</v>
      </c>
      <c r="R515" s="18">
        <f>INT(INDEX([1]系统模型!$VF:$VF,MATCH(C515,[1]系统模型!$A:$A,0))*MAX(POWER(C515/180,4),0.5))</f>
        <v>20617</v>
      </c>
      <c r="S515" s="5">
        <v>1000</v>
      </c>
      <c r="T515" s="25">
        <v>0</v>
      </c>
      <c r="U515" s="25">
        <v>0</v>
      </c>
      <c r="V515" s="25">
        <v>0</v>
      </c>
      <c r="W515" s="25">
        <v>0</v>
      </c>
      <c r="X515" s="25">
        <f t="shared" ref="X515:X578" si="93">INT(R515/20)</f>
        <v>1030</v>
      </c>
      <c r="Y515" s="12">
        <v>0</v>
      </c>
      <c r="Z515" s="25">
        <v>100</v>
      </c>
      <c r="AA515" s="25">
        <v>150</v>
      </c>
      <c r="AB515" s="25">
        <v>0</v>
      </c>
      <c r="AC515" s="25">
        <v>0</v>
      </c>
      <c r="AD515" s="25">
        <v>0</v>
      </c>
      <c r="AE515" s="25">
        <f t="shared" ref="AE515:AE578" si="94">C515*2</f>
        <v>346</v>
      </c>
      <c r="AF515" s="25">
        <f t="shared" ref="AF515:AF578" si="95">C515*2</f>
        <v>346</v>
      </c>
      <c r="AG515" s="25">
        <v>0</v>
      </c>
      <c r="AH515" s="25">
        <f t="shared" ref="AH515:AH578" si="96">MAX(10000-(250-C515)*75,0)</f>
        <v>4225</v>
      </c>
      <c r="AI515" s="25">
        <f t="shared" ref="AI515:AI578" si="97">INT(P515/75)</f>
        <v>35</v>
      </c>
      <c r="AJ515" s="25">
        <v>1</v>
      </c>
      <c r="AK515" s="25">
        <v>1000</v>
      </c>
      <c r="AL515" s="25">
        <v>100</v>
      </c>
      <c r="AM515" s="26">
        <v>10</v>
      </c>
      <c r="AN515" s="26">
        <v>10</v>
      </c>
      <c r="AO515" s="22" t="s">
        <v>2211</v>
      </c>
      <c r="AP515" s="26">
        <v>0</v>
      </c>
      <c r="AQ515" s="26">
        <f t="shared" ref="AQ515:AQ578" si="98">MAX(CEILING(1000-A515*1.02,10),0)</f>
        <v>480</v>
      </c>
      <c r="AR515" s="18" t="str">
        <f ca="1">CONCATENATE(OFFSET(Sheet1!$A$2,RANDBETWEEN(2,500),0,1,1),OFFSET(Sheet1!$A$2,RANDBETWEEN(2,500),RANDBETWEEN(1,5),1,1))</f>
        <v>多拉</v>
      </c>
      <c r="AS515">
        <f>SUMPRODUCT(P515:AI515,Sheet2!$B$3:$U$3)</f>
        <v>141717</v>
      </c>
    </row>
    <row r="516" spans="1:45" x14ac:dyDescent="0.15">
      <c r="A516" s="18">
        <v>515</v>
      </c>
      <c r="B516" s="18" t="s">
        <v>1131</v>
      </c>
      <c r="C516" s="18">
        <f t="shared" si="88"/>
        <v>173</v>
      </c>
      <c r="D516" s="19">
        <f t="shared" si="89"/>
        <v>3</v>
      </c>
      <c r="E516" s="19">
        <f>VLOOKUP(MOD(A516,4),各职业基础配置!C$32:D$35,2,FALSE)</f>
        <v>9</v>
      </c>
      <c r="F516" s="19">
        <f>IF(A516&lt;900,INDEX(各职业基础配置!C$23:C$28,MOD(ROW(A516),4)+1),0)</f>
        <v>8</v>
      </c>
      <c r="G516" s="19">
        <f t="shared" si="90"/>
        <v>27</v>
      </c>
      <c r="H516" s="27">
        <f t="shared" si="91"/>
        <v>2</v>
      </c>
      <c r="I516" s="6" t="s">
        <v>164</v>
      </c>
      <c r="J516" s="23" t="str">
        <f>VLOOKUP(E516,各职业基础配置!$B$9:$C$12,2,FALSE)</f>
        <v>116|117|118|4201|120</v>
      </c>
      <c r="K516" s="18" t="str">
        <f>VLOOKUP(E516,各职业基础配置!$B$15:$C$18,2,FALSE)</f>
        <v>28|29|30|31</v>
      </c>
      <c r="L516" s="18" t="str">
        <f>VLOOKUP(E516,各职业基础配置!B:C,2,FALSE)</f>
        <v>[{28,1,1},{29,1,1},{30,1,1},{31,1,1},{10,1,1},{11,1,1},{12,1,1}]</v>
      </c>
      <c r="M516" s="18">
        <v>0</v>
      </c>
      <c r="N516" s="18">
        <f t="shared" si="92"/>
        <v>3</v>
      </c>
      <c r="O516" s="18">
        <f>SUMPRODUCT(P516:AI516,Sheet2!$B$3:$U$3)</f>
        <v>141692</v>
      </c>
      <c r="P516" s="18">
        <f>CEILING(INDEX([1]系统模型!$VD:$VD,MATCH(C516,[1]系统模型!$A:$A,0))*POWER(C516/220,3.8)-50+(1000-A516),1)</f>
        <v>2696</v>
      </c>
      <c r="Q516" s="18">
        <f>CEILING(INDEX([1]系统模型!$VE:$VE,MATCH(C516,[1]系统模型!$A:$A,0))*POWER(C516/220,4),1)</f>
        <v>325</v>
      </c>
      <c r="R516" s="18">
        <f>INT(INDEX([1]系统模型!$VF:$VF,MATCH(C516,[1]系统模型!$A:$A,0))*MAX(POWER(C516/180,4),0.5))</f>
        <v>20617</v>
      </c>
      <c r="S516" s="5">
        <v>1000</v>
      </c>
      <c r="T516" s="25">
        <v>0</v>
      </c>
      <c r="U516" s="25">
        <v>0</v>
      </c>
      <c r="V516" s="25">
        <v>0</v>
      </c>
      <c r="W516" s="25">
        <v>0</v>
      </c>
      <c r="X516" s="25">
        <f t="shared" si="93"/>
        <v>1030</v>
      </c>
      <c r="Y516" s="12">
        <v>0</v>
      </c>
      <c r="Z516" s="25">
        <v>100</v>
      </c>
      <c r="AA516" s="25">
        <v>150</v>
      </c>
      <c r="AB516" s="25">
        <v>0</v>
      </c>
      <c r="AC516" s="25">
        <v>0</v>
      </c>
      <c r="AD516" s="25">
        <v>0</v>
      </c>
      <c r="AE516" s="25">
        <f t="shared" si="94"/>
        <v>346</v>
      </c>
      <c r="AF516" s="25">
        <f t="shared" si="95"/>
        <v>346</v>
      </c>
      <c r="AG516" s="25">
        <v>0</v>
      </c>
      <c r="AH516" s="25">
        <f t="shared" si="96"/>
        <v>4225</v>
      </c>
      <c r="AI516" s="25">
        <f t="shared" si="97"/>
        <v>35</v>
      </c>
      <c r="AJ516" s="25">
        <v>1</v>
      </c>
      <c r="AK516" s="25">
        <v>1000</v>
      </c>
      <c r="AL516" s="25">
        <v>100</v>
      </c>
      <c r="AM516" s="26">
        <v>10</v>
      </c>
      <c r="AN516" s="26">
        <v>10</v>
      </c>
      <c r="AO516" s="22" t="s">
        <v>2211</v>
      </c>
      <c r="AP516" s="26">
        <v>0</v>
      </c>
      <c r="AQ516" s="26">
        <f t="shared" si="98"/>
        <v>480</v>
      </c>
      <c r="AR516" s="18" t="str">
        <f ca="1">CONCATENATE(OFFSET(Sheet1!$A$2,RANDBETWEEN(2,500),0,1,1),OFFSET(Sheet1!$A$2,RANDBETWEEN(2,500),RANDBETWEEN(1,5),1,1))</f>
        <v>阿尔弗列德艾琳娜</v>
      </c>
      <c r="AS516">
        <f>SUMPRODUCT(P516:AI516,Sheet2!$B$3:$U$3)</f>
        <v>141692</v>
      </c>
    </row>
    <row r="517" spans="1:45" x14ac:dyDescent="0.15">
      <c r="A517" s="23">
        <v>516</v>
      </c>
      <c r="B517" s="18" t="s">
        <v>1364</v>
      </c>
      <c r="C517" s="18">
        <f t="shared" si="88"/>
        <v>173</v>
      </c>
      <c r="D517" s="19">
        <f t="shared" si="89"/>
        <v>2</v>
      </c>
      <c r="E517" s="19">
        <f>VLOOKUP(MOD(A517,4),各职业基础配置!C$32:D$35,2,FALSE)</f>
        <v>1</v>
      </c>
      <c r="F517" s="19">
        <f>IF(A517&lt;900,INDEX(各职业基础配置!C$23:C$28,MOD(ROW(A517),4)+1),0)</f>
        <v>13</v>
      </c>
      <c r="G517" s="19">
        <f t="shared" si="90"/>
        <v>27</v>
      </c>
      <c r="H517" s="27">
        <f t="shared" si="91"/>
        <v>2</v>
      </c>
      <c r="I517" s="6" t="s">
        <v>164</v>
      </c>
      <c r="J517" s="23" t="str">
        <f>VLOOKUP(E517,各职业基础配置!$B$9:$C$12,2,FALSE)</f>
        <v>101|102|103|4201|105</v>
      </c>
      <c r="K517" s="18" t="str">
        <f>VLOOKUP(E517,各职业基础配置!$B$15:$C$18,2,FALSE)</f>
        <v>24|25|26|27</v>
      </c>
      <c r="L517" s="18" t="str">
        <f>VLOOKUP(E517,各职业基础配置!B:C,2,FALSE)</f>
        <v>[{24,1,1},{25,1,1},{26,1,1},{27,1,1},{1,1,1},{2,1,1},{3,1,1}]</v>
      </c>
      <c r="M517" s="18">
        <v>0</v>
      </c>
      <c r="N517" s="18">
        <f t="shared" si="92"/>
        <v>3</v>
      </c>
      <c r="O517" s="18">
        <f>SUMPRODUCT(P517:AI517,Sheet2!$B$3:$U$3)</f>
        <v>141667</v>
      </c>
      <c r="P517" s="18">
        <f>CEILING(INDEX([1]系统模型!$VD:$VD,MATCH(C517,[1]系统模型!$A:$A,0))*POWER(C517/220,3.8)-50+(1000-A517),1)</f>
        <v>2695</v>
      </c>
      <c r="Q517" s="18">
        <f>CEILING(INDEX([1]系统模型!$VE:$VE,MATCH(C517,[1]系统模型!$A:$A,0))*POWER(C517/220,4),1)</f>
        <v>325</v>
      </c>
      <c r="R517" s="18">
        <f>INT(INDEX([1]系统模型!$VF:$VF,MATCH(C517,[1]系统模型!$A:$A,0))*MAX(POWER(C517/180,4),0.5))</f>
        <v>20617</v>
      </c>
      <c r="S517" s="5">
        <v>1000</v>
      </c>
      <c r="T517" s="25">
        <v>0</v>
      </c>
      <c r="U517" s="25">
        <v>0</v>
      </c>
      <c r="V517" s="25">
        <v>0</v>
      </c>
      <c r="W517" s="25">
        <v>0</v>
      </c>
      <c r="X517" s="25">
        <f t="shared" si="93"/>
        <v>1030</v>
      </c>
      <c r="Y517" s="12">
        <v>0</v>
      </c>
      <c r="Z517" s="25">
        <v>100</v>
      </c>
      <c r="AA517" s="25">
        <v>150</v>
      </c>
      <c r="AB517" s="25">
        <v>0</v>
      </c>
      <c r="AC517" s="25">
        <v>0</v>
      </c>
      <c r="AD517" s="25">
        <v>0</v>
      </c>
      <c r="AE517" s="25">
        <f t="shared" si="94"/>
        <v>346</v>
      </c>
      <c r="AF517" s="25">
        <f t="shared" si="95"/>
        <v>346</v>
      </c>
      <c r="AG517" s="25">
        <v>0</v>
      </c>
      <c r="AH517" s="25">
        <f t="shared" si="96"/>
        <v>4225</v>
      </c>
      <c r="AI517" s="25">
        <f t="shared" si="97"/>
        <v>35</v>
      </c>
      <c r="AJ517" s="25">
        <v>1</v>
      </c>
      <c r="AK517" s="25">
        <v>1000</v>
      </c>
      <c r="AL517" s="25">
        <v>100</v>
      </c>
      <c r="AM517" s="26">
        <v>10</v>
      </c>
      <c r="AN517" s="26">
        <v>10</v>
      </c>
      <c r="AO517" s="22" t="s">
        <v>2211</v>
      </c>
      <c r="AP517" s="26">
        <v>0</v>
      </c>
      <c r="AQ517" s="26">
        <f t="shared" si="98"/>
        <v>480</v>
      </c>
      <c r="AR517" s="18" t="str">
        <f ca="1">CONCATENATE(OFFSET(Sheet1!$A$2,RANDBETWEEN(2,500),0,1,1),OFFSET(Sheet1!$A$2,RANDBETWEEN(2,500),RANDBETWEEN(1,5),1,1))</f>
        <v>丹尼尔玛佩尔</v>
      </c>
      <c r="AS517">
        <f>SUMPRODUCT(P517:AI517,Sheet2!$B$3:$U$3)</f>
        <v>141667</v>
      </c>
    </row>
    <row r="518" spans="1:45" x14ac:dyDescent="0.15">
      <c r="A518" s="18">
        <v>517</v>
      </c>
      <c r="B518" s="18" t="s">
        <v>1237</v>
      </c>
      <c r="C518" s="18">
        <f t="shared" si="88"/>
        <v>173</v>
      </c>
      <c r="D518" s="19">
        <f t="shared" si="89"/>
        <v>3</v>
      </c>
      <c r="E518" s="19">
        <f>VLOOKUP(MOD(A518,4),各职业基础配置!C$32:D$35,2,FALSE)</f>
        <v>3</v>
      </c>
      <c r="F518" s="19">
        <f>IF(A518&lt;900,INDEX(各职业基础配置!C$23:C$28,MOD(ROW(A518),4)+1),0)</f>
        <v>14</v>
      </c>
      <c r="G518" s="19">
        <f t="shared" si="90"/>
        <v>27</v>
      </c>
      <c r="H518" s="27">
        <f t="shared" si="91"/>
        <v>2</v>
      </c>
      <c r="I518" s="6" t="s">
        <v>164</v>
      </c>
      <c r="J518" s="23" t="str">
        <f>VLOOKUP(E518,各职业基础配置!$B$9:$C$12,2,FALSE)</f>
        <v>106|107|108|4201|110</v>
      </c>
      <c r="K518" s="18" t="str">
        <f>VLOOKUP(E518,各职业基础配置!$B$15:$C$18,2,FALSE)</f>
        <v>20|21|22|23</v>
      </c>
      <c r="L518" s="18" t="str">
        <f>VLOOKUP(E518,各职业基础配置!B:C,2,FALSE)</f>
        <v>[{20,1,1},{21,1,1},{22,1,1},{23,1,1},{4,1,1},{5,1,1},{6,1,1}]</v>
      </c>
      <c r="M518" s="18">
        <v>0</v>
      </c>
      <c r="N518" s="18">
        <f t="shared" si="92"/>
        <v>7</v>
      </c>
      <c r="O518" s="18">
        <f>SUMPRODUCT(P518:AI518,Sheet2!$B$3:$U$3)</f>
        <v>141642</v>
      </c>
      <c r="P518" s="18">
        <f>CEILING(INDEX([1]系统模型!$VD:$VD,MATCH(C518,[1]系统模型!$A:$A,0))*POWER(C518/220,3.8)-50+(1000-A518),1)</f>
        <v>2694</v>
      </c>
      <c r="Q518" s="18">
        <f>CEILING(INDEX([1]系统模型!$VE:$VE,MATCH(C518,[1]系统模型!$A:$A,0))*POWER(C518/220,4),1)</f>
        <v>325</v>
      </c>
      <c r="R518" s="18">
        <f>INT(INDEX([1]系统模型!$VF:$VF,MATCH(C518,[1]系统模型!$A:$A,0))*MAX(POWER(C518/180,4),0.5))</f>
        <v>20617</v>
      </c>
      <c r="S518" s="5">
        <v>1000</v>
      </c>
      <c r="T518" s="25">
        <v>0</v>
      </c>
      <c r="U518" s="25">
        <v>0</v>
      </c>
      <c r="V518" s="25">
        <v>0</v>
      </c>
      <c r="W518" s="25">
        <v>0</v>
      </c>
      <c r="X518" s="25">
        <f t="shared" si="93"/>
        <v>1030</v>
      </c>
      <c r="Y518" s="12">
        <v>0</v>
      </c>
      <c r="Z518" s="25">
        <v>100</v>
      </c>
      <c r="AA518" s="25">
        <v>150</v>
      </c>
      <c r="AB518" s="25">
        <v>0</v>
      </c>
      <c r="AC518" s="25">
        <v>0</v>
      </c>
      <c r="AD518" s="25">
        <v>0</v>
      </c>
      <c r="AE518" s="25">
        <f t="shared" si="94"/>
        <v>346</v>
      </c>
      <c r="AF518" s="25">
        <f t="shared" si="95"/>
        <v>346</v>
      </c>
      <c r="AG518" s="25">
        <v>0</v>
      </c>
      <c r="AH518" s="25">
        <f t="shared" si="96"/>
        <v>4225</v>
      </c>
      <c r="AI518" s="25">
        <f t="shared" si="97"/>
        <v>35</v>
      </c>
      <c r="AJ518" s="25">
        <v>1</v>
      </c>
      <c r="AK518" s="25">
        <v>1000</v>
      </c>
      <c r="AL518" s="25">
        <v>100</v>
      </c>
      <c r="AM518" s="26">
        <v>10</v>
      </c>
      <c r="AN518" s="26">
        <v>10</v>
      </c>
      <c r="AO518" s="22" t="s">
        <v>2211</v>
      </c>
      <c r="AP518" s="26">
        <v>0</v>
      </c>
      <c r="AQ518" s="26">
        <f t="shared" si="98"/>
        <v>480</v>
      </c>
      <c r="AR518" s="18" t="str">
        <f ca="1">CONCATENATE(OFFSET(Sheet1!$A$2,RANDBETWEEN(2,500),0,1,1),OFFSET(Sheet1!$A$2,RANDBETWEEN(2,500),RANDBETWEEN(1,5),1,1))</f>
        <v>拜伦</v>
      </c>
      <c r="AS518">
        <f>SUMPRODUCT(P518:AI518,Sheet2!$B$3:$U$3)</f>
        <v>141642</v>
      </c>
    </row>
    <row r="519" spans="1:45" x14ac:dyDescent="0.15">
      <c r="A519" s="18">
        <v>518</v>
      </c>
      <c r="B519" s="18" t="s">
        <v>817</v>
      </c>
      <c r="C519" s="18">
        <f t="shared" si="88"/>
        <v>173</v>
      </c>
      <c r="D519" s="19">
        <f t="shared" si="89"/>
        <v>2</v>
      </c>
      <c r="E519" s="19">
        <f>VLOOKUP(MOD(A519,4),各职业基础配置!C$32:D$35,2,FALSE)</f>
        <v>6</v>
      </c>
      <c r="F519" s="19">
        <f>IF(A519&lt;900,INDEX(各职业基础配置!C$23:C$28,MOD(ROW(A519),4)+1),0)</f>
        <v>16</v>
      </c>
      <c r="G519" s="19">
        <f t="shared" si="90"/>
        <v>27</v>
      </c>
      <c r="H519" s="27">
        <f t="shared" si="91"/>
        <v>2</v>
      </c>
      <c r="I519" s="6" t="s">
        <v>164</v>
      </c>
      <c r="J519" s="23" t="str">
        <f>VLOOKUP(E519,各职业基础配置!$B$9:$C$12,2,FALSE)</f>
        <v>111|112|113|4201|115</v>
      </c>
      <c r="K519" s="18" t="str">
        <f>VLOOKUP(E519,各职业基础配置!$B$15:$C$18,2,FALSE)</f>
        <v>32|33|34</v>
      </c>
      <c r="L519" s="18" t="str">
        <f>VLOOKUP(E519,各职业基础配置!B:C,2,FALSE)</f>
        <v>[{32,1,1},{33,1,1},{34,1,1},{35,1,1},{7,1,1},{8,1,1},{9,1,1}]</v>
      </c>
      <c r="M519" s="18">
        <v>0</v>
      </c>
      <c r="N519" s="18">
        <f t="shared" si="92"/>
        <v>7</v>
      </c>
      <c r="O519" s="18">
        <f>SUMPRODUCT(P519:AI519,Sheet2!$B$3:$U$3)</f>
        <v>141617</v>
      </c>
      <c r="P519" s="18">
        <f>CEILING(INDEX([1]系统模型!$VD:$VD,MATCH(C519,[1]系统模型!$A:$A,0))*POWER(C519/220,3.8)-50+(1000-A519),1)</f>
        <v>2693</v>
      </c>
      <c r="Q519" s="18">
        <f>CEILING(INDEX([1]系统模型!$VE:$VE,MATCH(C519,[1]系统模型!$A:$A,0))*POWER(C519/220,4),1)</f>
        <v>325</v>
      </c>
      <c r="R519" s="18">
        <f>INT(INDEX([1]系统模型!$VF:$VF,MATCH(C519,[1]系统模型!$A:$A,0))*MAX(POWER(C519/180,4),0.5))</f>
        <v>20617</v>
      </c>
      <c r="S519" s="5">
        <v>1000</v>
      </c>
      <c r="T519" s="25">
        <v>0</v>
      </c>
      <c r="U519" s="25">
        <v>0</v>
      </c>
      <c r="V519" s="25">
        <v>0</v>
      </c>
      <c r="W519" s="25">
        <v>0</v>
      </c>
      <c r="X519" s="25">
        <f t="shared" si="93"/>
        <v>1030</v>
      </c>
      <c r="Y519" s="12">
        <v>0</v>
      </c>
      <c r="Z519" s="25">
        <v>100</v>
      </c>
      <c r="AA519" s="25">
        <v>150</v>
      </c>
      <c r="AB519" s="25">
        <v>0</v>
      </c>
      <c r="AC519" s="25">
        <v>0</v>
      </c>
      <c r="AD519" s="25">
        <v>0</v>
      </c>
      <c r="AE519" s="25">
        <f t="shared" si="94"/>
        <v>346</v>
      </c>
      <c r="AF519" s="25">
        <f t="shared" si="95"/>
        <v>346</v>
      </c>
      <c r="AG519" s="25">
        <v>0</v>
      </c>
      <c r="AH519" s="25">
        <f t="shared" si="96"/>
        <v>4225</v>
      </c>
      <c r="AI519" s="25">
        <f t="shared" si="97"/>
        <v>35</v>
      </c>
      <c r="AJ519" s="25">
        <v>1</v>
      </c>
      <c r="AK519" s="25">
        <v>1000</v>
      </c>
      <c r="AL519" s="25">
        <v>100</v>
      </c>
      <c r="AM519" s="26">
        <v>10</v>
      </c>
      <c r="AN519" s="26">
        <v>10</v>
      </c>
      <c r="AO519" s="22" t="s">
        <v>2211</v>
      </c>
      <c r="AP519" s="26">
        <v>0</v>
      </c>
      <c r="AQ519" s="26">
        <f t="shared" si="98"/>
        <v>480</v>
      </c>
      <c r="AR519" s="18" t="str">
        <f ca="1">CONCATENATE(OFFSET(Sheet1!$A$2,RANDBETWEEN(2,500),0,1,1),OFFSET(Sheet1!$A$2,RANDBETWEEN(2,500),RANDBETWEEN(1,5),1,1))</f>
        <v>狄更斯</v>
      </c>
      <c r="AS519">
        <f>SUMPRODUCT(P519:AI519,Sheet2!$B$3:$U$3)</f>
        <v>141617</v>
      </c>
    </row>
    <row r="520" spans="1:45" x14ac:dyDescent="0.15">
      <c r="A520" s="23">
        <v>519</v>
      </c>
      <c r="B520" s="18" t="s">
        <v>1290</v>
      </c>
      <c r="C520" s="18">
        <f t="shared" si="88"/>
        <v>173</v>
      </c>
      <c r="D520" s="19">
        <f t="shared" si="89"/>
        <v>3</v>
      </c>
      <c r="E520" s="19">
        <f>VLOOKUP(MOD(A520,4),各职业基础配置!C$32:D$35,2,FALSE)</f>
        <v>9</v>
      </c>
      <c r="F520" s="19">
        <f>IF(A520&lt;900,INDEX(各职业基础配置!C$23:C$28,MOD(ROW(A520),4)+1),0)</f>
        <v>8</v>
      </c>
      <c r="G520" s="19">
        <f t="shared" si="90"/>
        <v>27</v>
      </c>
      <c r="H520" s="27">
        <f t="shared" si="91"/>
        <v>2</v>
      </c>
      <c r="I520" s="6" t="s">
        <v>164</v>
      </c>
      <c r="J520" s="23" t="str">
        <f>VLOOKUP(E520,各职业基础配置!$B$9:$C$12,2,FALSE)</f>
        <v>116|117|118|4201|120</v>
      </c>
      <c r="K520" s="18" t="str">
        <f>VLOOKUP(E520,各职业基础配置!$B$15:$C$18,2,FALSE)</f>
        <v>28|29|30|31</v>
      </c>
      <c r="L520" s="18" t="str">
        <f>VLOOKUP(E520,各职业基础配置!B:C,2,FALSE)</f>
        <v>[{28,1,1},{29,1,1},{30,1,1},{31,1,1},{10,1,1},{11,1,1},{12,1,1}]</v>
      </c>
      <c r="M520" s="18">
        <v>0</v>
      </c>
      <c r="N520" s="18">
        <f t="shared" si="92"/>
        <v>3</v>
      </c>
      <c r="O520" s="18">
        <f>SUMPRODUCT(P520:AI520,Sheet2!$B$3:$U$3)</f>
        <v>141592</v>
      </c>
      <c r="P520" s="18">
        <f>CEILING(INDEX([1]系统模型!$VD:$VD,MATCH(C520,[1]系统模型!$A:$A,0))*POWER(C520/220,3.8)-50+(1000-A520),1)</f>
        <v>2692</v>
      </c>
      <c r="Q520" s="18">
        <f>CEILING(INDEX([1]系统模型!$VE:$VE,MATCH(C520,[1]系统模型!$A:$A,0))*POWER(C520/220,4),1)</f>
        <v>325</v>
      </c>
      <c r="R520" s="18">
        <f>INT(INDEX([1]系统模型!$VF:$VF,MATCH(C520,[1]系统模型!$A:$A,0))*MAX(POWER(C520/180,4),0.5))</f>
        <v>20617</v>
      </c>
      <c r="S520" s="5">
        <v>1000</v>
      </c>
      <c r="T520" s="25">
        <v>0</v>
      </c>
      <c r="U520" s="25">
        <v>0</v>
      </c>
      <c r="V520" s="25">
        <v>0</v>
      </c>
      <c r="W520" s="25">
        <v>0</v>
      </c>
      <c r="X520" s="25">
        <f t="shared" si="93"/>
        <v>1030</v>
      </c>
      <c r="Y520" s="12">
        <v>0</v>
      </c>
      <c r="Z520" s="25">
        <v>100</v>
      </c>
      <c r="AA520" s="25">
        <v>150</v>
      </c>
      <c r="AB520" s="25">
        <v>0</v>
      </c>
      <c r="AC520" s="25">
        <v>0</v>
      </c>
      <c r="AD520" s="25">
        <v>0</v>
      </c>
      <c r="AE520" s="25">
        <f t="shared" si="94"/>
        <v>346</v>
      </c>
      <c r="AF520" s="25">
        <f t="shared" si="95"/>
        <v>346</v>
      </c>
      <c r="AG520" s="25">
        <v>0</v>
      </c>
      <c r="AH520" s="25">
        <f t="shared" si="96"/>
        <v>4225</v>
      </c>
      <c r="AI520" s="25">
        <f t="shared" si="97"/>
        <v>35</v>
      </c>
      <c r="AJ520" s="25">
        <v>1</v>
      </c>
      <c r="AK520" s="25">
        <v>1000</v>
      </c>
      <c r="AL520" s="25">
        <v>100</v>
      </c>
      <c r="AM520" s="26">
        <v>10</v>
      </c>
      <c r="AN520" s="26">
        <v>10</v>
      </c>
      <c r="AO520" s="22" t="s">
        <v>2211</v>
      </c>
      <c r="AP520" s="26">
        <v>0</v>
      </c>
      <c r="AQ520" s="26">
        <f t="shared" si="98"/>
        <v>480</v>
      </c>
      <c r="AR520" s="18" t="str">
        <f ca="1">CONCATENATE(OFFSET(Sheet1!$A$2,RANDBETWEEN(2,500),0,1,1),OFFSET(Sheet1!$A$2,RANDBETWEEN(2,500),RANDBETWEEN(1,5),1,1))</f>
        <v>埃利诺</v>
      </c>
      <c r="AS520">
        <f>SUMPRODUCT(P520:AI520,Sheet2!$B$3:$U$3)</f>
        <v>141592</v>
      </c>
    </row>
    <row r="521" spans="1:45" x14ac:dyDescent="0.15">
      <c r="A521" s="18">
        <v>520</v>
      </c>
      <c r="B521" s="18" t="s">
        <v>365</v>
      </c>
      <c r="C521" s="18">
        <f t="shared" si="88"/>
        <v>173</v>
      </c>
      <c r="D521" s="19">
        <f t="shared" si="89"/>
        <v>2</v>
      </c>
      <c r="E521" s="19">
        <f>VLOOKUP(MOD(A521,4),各职业基础配置!C$32:D$35,2,FALSE)</f>
        <v>1</v>
      </c>
      <c r="F521" s="19">
        <f>IF(A521&lt;900,INDEX(各职业基础配置!C$23:C$28,MOD(ROW(A521),4)+1),0)</f>
        <v>13</v>
      </c>
      <c r="G521" s="19">
        <f t="shared" si="90"/>
        <v>27</v>
      </c>
      <c r="H521" s="27">
        <f t="shared" si="91"/>
        <v>2</v>
      </c>
      <c r="I521" s="6" t="s">
        <v>164</v>
      </c>
      <c r="J521" s="23" t="str">
        <f>VLOOKUP(E521,各职业基础配置!$B$9:$C$12,2,FALSE)</f>
        <v>101|102|103|4201|105</v>
      </c>
      <c r="K521" s="18" t="str">
        <f>VLOOKUP(E521,各职业基础配置!$B$15:$C$18,2,FALSE)</f>
        <v>24|25|26|27</v>
      </c>
      <c r="L521" s="18" t="str">
        <f>VLOOKUP(E521,各职业基础配置!B:C,2,FALSE)</f>
        <v>[{24,1,1},{25,1,1},{26,1,1},{27,1,1},{1,1,1},{2,1,1},{3,1,1}]</v>
      </c>
      <c r="M521" s="18">
        <v>0</v>
      </c>
      <c r="N521" s="18">
        <f t="shared" si="92"/>
        <v>3</v>
      </c>
      <c r="O521" s="18">
        <f>SUMPRODUCT(P521:AI521,Sheet2!$B$3:$U$3)</f>
        <v>141567</v>
      </c>
      <c r="P521" s="18">
        <f>CEILING(INDEX([1]系统模型!$VD:$VD,MATCH(C521,[1]系统模型!$A:$A,0))*POWER(C521/220,3.8)-50+(1000-A521),1)</f>
        <v>2691</v>
      </c>
      <c r="Q521" s="18">
        <f>CEILING(INDEX([1]系统模型!$VE:$VE,MATCH(C521,[1]系统模型!$A:$A,0))*POWER(C521/220,4),1)</f>
        <v>325</v>
      </c>
      <c r="R521" s="18">
        <f>INT(INDEX([1]系统模型!$VF:$VF,MATCH(C521,[1]系统模型!$A:$A,0))*MAX(POWER(C521/180,4),0.5))</f>
        <v>20617</v>
      </c>
      <c r="S521" s="5">
        <v>1000</v>
      </c>
      <c r="T521" s="25">
        <v>0</v>
      </c>
      <c r="U521" s="25">
        <v>0</v>
      </c>
      <c r="V521" s="25">
        <v>0</v>
      </c>
      <c r="W521" s="25">
        <v>0</v>
      </c>
      <c r="X521" s="25">
        <f t="shared" si="93"/>
        <v>1030</v>
      </c>
      <c r="Y521" s="12">
        <v>0</v>
      </c>
      <c r="Z521" s="25">
        <v>100</v>
      </c>
      <c r="AA521" s="25">
        <v>150</v>
      </c>
      <c r="AB521" s="25">
        <v>0</v>
      </c>
      <c r="AC521" s="25">
        <v>0</v>
      </c>
      <c r="AD521" s="25">
        <v>0</v>
      </c>
      <c r="AE521" s="25">
        <f t="shared" si="94"/>
        <v>346</v>
      </c>
      <c r="AF521" s="25">
        <f t="shared" si="95"/>
        <v>346</v>
      </c>
      <c r="AG521" s="25">
        <v>0</v>
      </c>
      <c r="AH521" s="25">
        <f t="shared" si="96"/>
        <v>4225</v>
      </c>
      <c r="AI521" s="25">
        <f t="shared" si="97"/>
        <v>35</v>
      </c>
      <c r="AJ521" s="25">
        <v>1</v>
      </c>
      <c r="AK521" s="25">
        <v>1000</v>
      </c>
      <c r="AL521" s="25">
        <v>100</v>
      </c>
      <c r="AM521" s="26">
        <v>10</v>
      </c>
      <c r="AN521" s="26">
        <v>10</v>
      </c>
      <c r="AO521" s="22" t="s">
        <v>2211</v>
      </c>
      <c r="AP521" s="26">
        <v>0</v>
      </c>
      <c r="AQ521" s="26">
        <f t="shared" si="98"/>
        <v>470</v>
      </c>
      <c r="AR521" s="18" t="str">
        <f ca="1">CONCATENATE(OFFSET(Sheet1!$A$2,RANDBETWEEN(2,500),0,1,1),OFFSET(Sheet1!$A$2,RANDBETWEEN(2,500),RANDBETWEEN(1,5),1,1))</f>
        <v>芬克</v>
      </c>
      <c r="AS521">
        <f>SUMPRODUCT(P521:AI521,Sheet2!$B$3:$U$3)</f>
        <v>141567</v>
      </c>
    </row>
    <row r="522" spans="1:45" x14ac:dyDescent="0.15">
      <c r="A522" s="18">
        <v>521</v>
      </c>
      <c r="B522" s="18" t="s">
        <v>285</v>
      </c>
      <c r="C522" s="18">
        <f t="shared" si="88"/>
        <v>172</v>
      </c>
      <c r="D522" s="19">
        <f t="shared" si="89"/>
        <v>3</v>
      </c>
      <c r="E522" s="19">
        <f>VLOOKUP(MOD(A522,4),各职业基础配置!C$32:D$35,2,FALSE)</f>
        <v>3</v>
      </c>
      <c r="F522" s="19">
        <f>IF(A522&lt;900,INDEX(各职业基础配置!C$23:C$28,MOD(ROW(A522),4)+1),0)</f>
        <v>14</v>
      </c>
      <c r="G522" s="19">
        <f t="shared" si="90"/>
        <v>26</v>
      </c>
      <c r="H522" s="27">
        <f t="shared" si="91"/>
        <v>2</v>
      </c>
      <c r="I522" s="6" t="s">
        <v>164</v>
      </c>
      <c r="J522" s="23" t="str">
        <f>VLOOKUP(E522,各职业基础配置!$B$9:$C$12,2,FALSE)</f>
        <v>106|107|108|4201|110</v>
      </c>
      <c r="K522" s="18" t="str">
        <f>VLOOKUP(E522,各职业基础配置!$B$15:$C$18,2,FALSE)</f>
        <v>20|21|22|23</v>
      </c>
      <c r="L522" s="18" t="str">
        <f>VLOOKUP(E522,各职业基础配置!B:C,2,FALSE)</f>
        <v>[{20,1,1},{21,1,1},{22,1,1},{23,1,1},{4,1,1},{5,1,1},{6,1,1}]</v>
      </c>
      <c r="M522" s="18">
        <v>0</v>
      </c>
      <c r="N522" s="18">
        <f t="shared" si="92"/>
        <v>7</v>
      </c>
      <c r="O522" s="18">
        <f>SUMPRODUCT(P522:AI522,Sheet2!$B$3:$U$3)</f>
        <v>138716</v>
      </c>
      <c r="P522" s="18">
        <f>CEILING(INDEX([1]系统模型!$VD:$VD,MATCH(C522,[1]系统模型!$A:$A,0))*POWER(C522/220,3.8)-50+(1000-A522),1)</f>
        <v>2632</v>
      </c>
      <c r="Q522" s="18">
        <f>CEILING(INDEX([1]系统模型!$VE:$VE,MATCH(C522,[1]系统模型!$A:$A,0))*POWER(C522/220,4),1)</f>
        <v>314</v>
      </c>
      <c r="R522" s="18">
        <f>INT(INDEX([1]系统模型!$VF:$VF,MATCH(C522,[1]系统模型!$A:$A,0))*MAX(POWER(C522/180,4),0.5))</f>
        <v>19991</v>
      </c>
      <c r="S522" s="5">
        <v>1000</v>
      </c>
      <c r="T522" s="25">
        <v>0</v>
      </c>
      <c r="U522" s="25">
        <v>0</v>
      </c>
      <c r="V522" s="25">
        <v>0</v>
      </c>
      <c r="W522" s="25">
        <v>0</v>
      </c>
      <c r="X522" s="25">
        <f t="shared" si="93"/>
        <v>999</v>
      </c>
      <c r="Y522" s="12">
        <v>0</v>
      </c>
      <c r="Z522" s="25">
        <v>100</v>
      </c>
      <c r="AA522" s="25">
        <v>150</v>
      </c>
      <c r="AB522" s="25">
        <v>0</v>
      </c>
      <c r="AC522" s="25">
        <v>0</v>
      </c>
      <c r="AD522" s="25">
        <v>0</v>
      </c>
      <c r="AE522" s="25">
        <f t="shared" si="94"/>
        <v>344</v>
      </c>
      <c r="AF522" s="25">
        <f t="shared" si="95"/>
        <v>344</v>
      </c>
      <c r="AG522" s="25">
        <v>0</v>
      </c>
      <c r="AH522" s="25">
        <f t="shared" si="96"/>
        <v>4150</v>
      </c>
      <c r="AI522" s="25">
        <f t="shared" si="97"/>
        <v>35</v>
      </c>
      <c r="AJ522" s="25">
        <v>1</v>
      </c>
      <c r="AK522" s="25">
        <v>1000</v>
      </c>
      <c r="AL522" s="25">
        <v>100</v>
      </c>
      <c r="AM522" s="26">
        <v>10</v>
      </c>
      <c r="AN522" s="26">
        <v>10</v>
      </c>
      <c r="AO522" s="22" t="s">
        <v>2211</v>
      </c>
      <c r="AP522" s="26">
        <v>0</v>
      </c>
      <c r="AQ522" s="26">
        <f t="shared" si="98"/>
        <v>470</v>
      </c>
      <c r="AR522" s="18" t="str">
        <f ca="1">CONCATENATE(OFFSET(Sheet1!$A$2,RANDBETWEEN(2,500),0,1,1),OFFSET(Sheet1!$A$2,RANDBETWEEN(2,500),RANDBETWEEN(1,5),1,1))</f>
        <v>鲍德温</v>
      </c>
      <c r="AS522">
        <f>SUMPRODUCT(P522:AI522,Sheet2!$B$3:$U$3)</f>
        <v>138716</v>
      </c>
    </row>
    <row r="523" spans="1:45" x14ac:dyDescent="0.15">
      <c r="A523" s="23">
        <v>522</v>
      </c>
      <c r="B523" s="18" t="s">
        <v>1370</v>
      </c>
      <c r="C523" s="18">
        <f t="shared" si="88"/>
        <v>172</v>
      </c>
      <c r="D523" s="19">
        <f t="shared" si="89"/>
        <v>2</v>
      </c>
      <c r="E523" s="19">
        <f>VLOOKUP(MOD(A523,4),各职业基础配置!C$32:D$35,2,FALSE)</f>
        <v>6</v>
      </c>
      <c r="F523" s="19">
        <f>IF(A523&lt;900,INDEX(各职业基础配置!C$23:C$28,MOD(ROW(A523),4)+1),0)</f>
        <v>16</v>
      </c>
      <c r="G523" s="19">
        <f t="shared" si="90"/>
        <v>26</v>
      </c>
      <c r="H523" s="27">
        <f t="shared" si="91"/>
        <v>2</v>
      </c>
      <c r="I523" s="6" t="s">
        <v>164</v>
      </c>
      <c r="J523" s="23" t="str">
        <f>VLOOKUP(E523,各职业基础配置!$B$9:$C$12,2,FALSE)</f>
        <v>111|112|113|4201|115</v>
      </c>
      <c r="K523" s="18" t="str">
        <f>VLOOKUP(E523,各职业基础配置!$B$15:$C$18,2,FALSE)</f>
        <v>32|33|34</v>
      </c>
      <c r="L523" s="18" t="str">
        <f>VLOOKUP(E523,各职业基础配置!B:C,2,FALSE)</f>
        <v>[{32,1,1},{33,1,1},{34,1,1},{35,1,1},{7,1,1},{8,1,1},{9,1,1}]</v>
      </c>
      <c r="M523" s="18">
        <v>0</v>
      </c>
      <c r="N523" s="18">
        <f t="shared" si="92"/>
        <v>7</v>
      </c>
      <c r="O523" s="18">
        <f>SUMPRODUCT(P523:AI523,Sheet2!$B$3:$U$3)</f>
        <v>138691</v>
      </c>
      <c r="P523" s="18">
        <f>CEILING(INDEX([1]系统模型!$VD:$VD,MATCH(C523,[1]系统模型!$A:$A,0))*POWER(C523/220,3.8)-50+(1000-A523),1)</f>
        <v>2631</v>
      </c>
      <c r="Q523" s="18">
        <f>CEILING(INDEX([1]系统模型!$VE:$VE,MATCH(C523,[1]系统模型!$A:$A,0))*POWER(C523/220,4),1)</f>
        <v>314</v>
      </c>
      <c r="R523" s="18">
        <f>INT(INDEX([1]系统模型!$VF:$VF,MATCH(C523,[1]系统模型!$A:$A,0))*MAX(POWER(C523/180,4),0.5))</f>
        <v>19991</v>
      </c>
      <c r="S523" s="5">
        <v>1000</v>
      </c>
      <c r="T523" s="25">
        <v>0</v>
      </c>
      <c r="U523" s="25">
        <v>0</v>
      </c>
      <c r="V523" s="25">
        <v>0</v>
      </c>
      <c r="W523" s="25">
        <v>0</v>
      </c>
      <c r="X523" s="25">
        <f t="shared" si="93"/>
        <v>999</v>
      </c>
      <c r="Y523" s="12">
        <v>0</v>
      </c>
      <c r="Z523" s="25">
        <v>100</v>
      </c>
      <c r="AA523" s="25">
        <v>150</v>
      </c>
      <c r="AB523" s="25">
        <v>0</v>
      </c>
      <c r="AC523" s="25">
        <v>0</v>
      </c>
      <c r="AD523" s="25">
        <v>0</v>
      </c>
      <c r="AE523" s="25">
        <f t="shared" si="94"/>
        <v>344</v>
      </c>
      <c r="AF523" s="25">
        <f t="shared" si="95"/>
        <v>344</v>
      </c>
      <c r="AG523" s="25">
        <v>0</v>
      </c>
      <c r="AH523" s="25">
        <f t="shared" si="96"/>
        <v>4150</v>
      </c>
      <c r="AI523" s="25">
        <f t="shared" si="97"/>
        <v>35</v>
      </c>
      <c r="AJ523" s="25">
        <v>1</v>
      </c>
      <c r="AK523" s="25">
        <v>1000</v>
      </c>
      <c r="AL523" s="25">
        <v>100</v>
      </c>
      <c r="AM523" s="26">
        <v>10</v>
      </c>
      <c r="AN523" s="26">
        <v>10</v>
      </c>
      <c r="AO523" s="22" t="s">
        <v>2211</v>
      </c>
      <c r="AP523" s="26">
        <v>0</v>
      </c>
      <c r="AQ523" s="26">
        <f t="shared" si="98"/>
        <v>470</v>
      </c>
      <c r="AR523" s="18" t="str">
        <f ca="1">CONCATENATE(OFFSET(Sheet1!$A$2,RANDBETWEEN(2,500),0,1,1),OFFSET(Sheet1!$A$2,RANDBETWEEN(2,500),RANDBETWEEN(1,5),1,1))</f>
        <v>布鲁斯特莎拉</v>
      </c>
      <c r="AS523">
        <f>SUMPRODUCT(P523:AI523,Sheet2!$B$3:$U$3)</f>
        <v>138691</v>
      </c>
    </row>
    <row r="524" spans="1:45" x14ac:dyDescent="0.15">
      <c r="A524" s="18">
        <v>523</v>
      </c>
      <c r="B524" s="18" t="s">
        <v>311</v>
      </c>
      <c r="C524" s="18">
        <f t="shared" si="88"/>
        <v>172</v>
      </c>
      <c r="D524" s="19">
        <f t="shared" si="89"/>
        <v>3</v>
      </c>
      <c r="E524" s="19">
        <f>VLOOKUP(MOD(A524,4),各职业基础配置!C$32:D$35,2,FALSE)</f>
        <v>9</v>
      </c>
      <c r="F524" s="19">
        <f>IF(A524&lt;900,INDEX(各职业基础配置!C$23:C$28,MOD(ROW(A524),4)+1),0)</f>
        <v>8</v>
      </c>
      <c r="G524" s="19">
        <f t="shared" si="90"/>
        <v>26</v>
      </c>
      <c r="H524" s="27">
        <f t="shared" si="91"/>
        <v>2</v>
      </c>
      <c r="I524" s="6" t="s">
        <v>164</v>
      </c>
      <c r="J524" s="23" t="str">
        <f>VLOOKUP(E524,各职业基础配置!$B$9:$C$12,2,FALSE)</f>
        <v>116|117|118|4201|120</v>
      </c>
      <c r="K524" s="18" t="str">
        <f>VLOOKUP(E524,各职业基础配置!$B$15:$C$18,2,FALSE)</f>
        <v>28|29|30|31</v>
      </c>
      <c r="L524" s="18" t="str">
        <f>VLOOKUP(E524,各职业基础配置!B:C,2,FALSE)</f>
        <v>[{28,1,1},{29,1,1},{30,1,1},{31,1,1},{10,1,1},{11,1,1},{12,1,1}]</v>
      </c>
      <c r="M524" s="18">
        <v>0</v>
      </c>
      <c r="N524" s="18">
        <f t="shared" si="92"/>
        <v>3</v>
      </c>
      <c r="O524" s="18">
        <f>SUMPRODUCT(P524:AI524,Sheet2!$B$3:$U$3)</f>
        <v>138666</v>
      </c>
      <c r="P524" s="18">
        <f>CEILING(INDEX([1]系统模型!$VD:$VD,MATCH(C524,[1]系统模型!$A:$A,0))*POWER(C524/220,3.8)-50+(1000-A524),1)</f>
        <v>2630</v>
      </c>
      <c r="Q524" s="18">
        <f>CEILING(INDEX([1]系统模型!$VE:$VE,MATCH(C524,[1]系统模型!$A:$A,0))*POWER(C524/220,4),1)</f>
        <v>314</v>
      </c>
      <c r="R524" s="18">
        <f>INT(INDEX([1]系统模型!$VF:$VF,MATCH(C524,[1]系统模型!$A:$A,0))*MAX(POWER(C524/180,4),0.5))</f>
        <v>19991</v>
      </c>
      <c r="S524" s="5">
        <v>1000</v>
      </c>
      <c r="T524" s="25">
        <v>0</v>
      </c>
      <c r="U524" s="25">
        <v>0</v>
      </c>
      <c r="V524" s="25">
        <v>0</v>
      </c>
      <c r="W524" s="25">
        <v>0</v>
      </c>
      <c r="X524" s="25">
        <f t="shared" si="93"/>
        <v>999</v>
      </c>
      <c r="Y524" s="12">
        <v>0</v>
      </c>
      <c r="Z524" s="25">
        <v>100</v>
      </c>
      <c r="AA524" s="25">
        <v>150</v>
      </c>
      <c r="AB524" s="25">
        <v>0</v>
      </c>
      <c r="AC524" s="25">
        <v>0</v>
      </c>
      <c r="AD524" s="25">
        <v>0</v>
      </c>
      <c r="AE524" s="25">
        <f t="shared" si="94"/>
        <v>344</v>
      </c>
      <c r="AF524" s="25">
        <f t="shared" si="95"/>
        <v>344</v>
      </c>
      <c r="AG524" s="25">
        <v>0</v>
      </c>
      <c r="AH524" s="25">
        <f t="shared" si="96"/>
        <v>4150</v>
      </c>
      <c r="AI524" s="25">
        <f t="shared" si="97"/>
        <v>35</v>
      </c>
      <c r="AJ524" s="25">
        <v>1</v>
      </c>
      <c r="AK524" s="25">
        <v>1000</v>
      </c>
      <c r="AL524" s="25">
        <v>100</v>
      </c>
      <c r="AM524" s="26">
        <v>10</v>
      </c>
      <c r="AN524" s="26">
        <v>10</v>
      </c>
      <c r="AO524" s="22" t="s">
        <v>2211</v>
      </c>
      <c r="AP524" s="26">
        <v>0</v>
      </c>
      <c r="AQ524" s="26">
        <f t="shared" si="98"/>
        <v>470</v>
      </c>
      <c r="AR524" s="18" t="str">
        <f ca="1">CONCATENATE(OFFSET(Sheet1!$A$2,RANDBETWEEN(2,500),0,1,1),OFFSET(Sheet1!$A$2,RANDBETWEEN(2,500),RANDBETWEEN(1,5),1,1))</f>
        <v>欧内斯特玛佩尔</v>
      </c>
      <c r="AS524">
        <f>SUMPRODUCT(P524:AI524,Sheet2!$B$3:$U$3)</f>
        <v>138666</v>
      </c>
    </row>
    <row r="525" spans="1:45" x14ac:dyDescent="0.15">
      <c r="A525" s="18">
        <v>524</v>
      </c>
      <c r="B525" s="18" t="s">
        <v>466</v>
      </c>
      <c r="C525" s="18">
        <f t="shared" si="88"/>
        <v>172</v>
      </c>
      <c r="D525" s="19">
        <f t="shared" si="89"/>
        <v>2</v>
      </c>
      <c r="E525" s="19">
        <f>VLOOKUP(MOD(A525,4),各职业基础配置!C$32:D$35,2,FALSE)</f>
        <v>1</v>
      </c>
      <c r="F525" s="19">
        <f>IF(A525&lt;900,INDEX(各职业基础配置!C$23:C$28,MOD(ROW(A525),4)+1),0)</f>
        <v>13</v>
      </c>
      <c r="G525" s="19">
        <f t="shared" si="90"/>
        <v>26</v>
      </c>
      <c r="H525" s="27">
        <f t="shared" si="91"/>
        <v>2</v>
      </c>
      <c r="I525" s="6" t="s">
        <v>164</v>
      </c>
      <c r="J525" s="23" t="str">
        <f>VLOOKUP(E525,各职业基础配置!$B$9:$C$12,2,FALSE)</f>
        <v>101|102|103|4201|105</v>
      </c>
      <c r="K525" s="18" t="str">
        <f>VLOOKUP(E525,各职业基础配置!$B$15:$C$18,2,FALSE)</f>
        <v>24|25|26|27</v>
      </c>
      <c r="L525" s="18" t="str">
        <f>VLOOKUP(E525,各职业基础配置!B:C,2,FALSE)</f>
        <v>[{24,1,1},{25,1,1},{26,1,1},{27,1,1},{1,1,1},{2,1,1},{3,1,1}]</v>
      </c>
      <c r="M525" s="18">
        <v>0</v>
      </c>
      <c r="N525" s="18">
        <f t="shared" si="92"/>
        <v>3</v>
      </c>
      <c r="O525" s="18">
        <f>SUMPRODUCT(P525:AI525,Sheet2!$B$3:$U$3)</f>
        <v>138641</v>
      </c>
      <c r="P525" s="18">
        <f>CEILING(INDEX([1]系统模型!$VD:$VD,MATCH(C525,[1]系统模型!$A:$A,0))*POWER(C525/220,3.8)-50+(1000-A525),1)</f>
        <v>2629</v>
      </c>
      <c r="Q525" s="18">
        <f>CEILING(INDEX([1]系统模型!$VE:$VE,MATCH(C525,[1]系统模型!$A:$A,0))*POWER(C525/220,4),1)</f>
        <v>314</v>
      </c>
      <c r="R525" s="18">
        <f>INT(INDEX([1]系统模型!$VF:$VF,MATCH(C525,[1]系统模型!$A:$A,0))*MAX(POWER(C525/180,4),0.5))</f>
        <v>19991</v>
      </c>
      <c r="S525" s="5">
        <v>1000</v>
      </c>
      <c r="T525" s="25">
        <v>0</v>
      </c>
      <c r="U525" s="25">
        <v>0</v>
      </c>
      <c r="V525" s="25">
        <v>0</v>
      </c>
      <c r="W525" s="25">
        <v>0</v>
      </c>
      <c r="X525" s="25">
        <f t="shared" si="93"/>
        <v>999</v>
      </c>
      <c r="Y525" s="12">
        <v>0</v>
      </c>
      <c r="Z525" s="25">
        <v>100</v>
      </c>
      <c r="AA525" s="25">
        <v>150</v>
      </c>
      <c r="AB525" s="25">
        <v>0</v>
      </c>
      <c r="AC525" s="25">
        <v>0</v>
      </c>
      <c r="AD525" s="25">
        <v>0</v>
      </c>
      <c r="AE525" s="25">
        <f t="shared" si="94"/>
        <v>344</v>
      </c>
      <c r="AF525" s="25">
        <f t="shared" si="95"/>
        <v>344</v>
      </c>
      <c r="AG525" s="25">
        <v>0</v>
      </c>
      <c r="AH525" s="25">
        <f t="shared" si="96"/>
        <v>4150</v>
      </c>
      <c r="AI525" s="25">
        <f t="shared" si="97"/>
        <v>35</v>
      </c>
      <c r="AJ525" s="25">
        <v>1</v>
      </c>
      <c r="AK525" s="25">
        <v>1000</v>
      </c>
      <c r="AL525" s="25">
        <v>100</v>
      </c>
      <c r="AM525" s="26">
        <v>10</v>
      </c>
      <c r="AN525" s="26">
        <v>10</v>
      </c>
      <c r="AO525" s="22" t="s">
        <v>2211</v>
      </c>
      <c r="AP525" s="26">
        <v>0</v>
      </c>
      <c r="AQ525" s="26">
        <f t="shared" si="98"/>
        <v>470</v>
      </c>
      <c r="AR525" s="18" t="str">
        <f ca="1">CONCATENATE(OFFSET(Sheet1!$A$2,RANDBETWEEN(2,500),0,1,1),OFFSET(Sheet1!$A$2,RANDBETWEEN(2,500),RANDBETWEEN(1,5),1,1))</f>
        <v>本尼迪克特</v>
      </c>
      <c r="AS525">
        <f>SUMPRODUCT(P525:AI525,Sheet2!$B$3:$U$3)</f>
        <v>138641</v>
      </c>
    </row>
    <row r="526" spans="1:45" x14ac:dyDescent="0.15">
      <c r="A526" s="23">
        <v>525</v>
      </c>
      <c r="B526" s="18" t="s">
        <v>421</v>
      </c>
      <c r="C526" s="18">
        <f t="shared" si="88"/>
        <v>172</v>
      </c>
      <c r="D526" s="19">
        <f t="shared" si="89"/>
        <v>3</v>
      </c>
      <c r="E526" s="19">
        <f>VLOOKUP(MOD(A526,4),各职业基础配置!C$32:D$35,2,FALSE)</f>
        <v>3</v>
      </c>
      <c r="F526" s="19">
        <f>IF(A526&lt;900,INDEX(各职业基础配置!C$23:C$28,MOD(ROW(A526),4)+1),0)</f>
        <v>14</v>
      </c>
      <c r="G526" s="19">
        <f t="shared" si="90"/>
        <v>26</v>
      </c>
      <c r="H526" s="27">
        <f t="shared" si="91"/>
        <v>2</v>
      </c>
      <c r="I526" s="6" t="s">
        <v>164</v>
      </c>
      <c r="J526" s="23" t="str">
        <f>VLOOKUP(E526,各职业基础配置!$B$9:$C$12,2,FALSE)</f>
        <v>106|107|108|4201|110</v>
      </c>
      <c r="K526" s="18" t="str">
        <f>VLOOKUP(E526,各职业基础配置!$B$15:$C$18,2,FALSE)</f>
        <v>20|21|22|23</v>
      </c>
      <c r="L526" s="18" t="str">
        <f>VLOOKUP(E526,各职业基础配置!B:C,2,FALSE)</f>
        <v>[{20,1,1},{21,1,1},{22,1,1},{23,1,1},{4,1,1},{5,1,1},{6,1,1}]</v>
      </c>
      <c r="M526" s="18">
        <v>0</v>
      </c>
      <c r="N526" s="18">
        <f t="shared" si="92"/>
        <v>7</v>
      </c>
      <c r="O526" s="18">
        <f>SUMPRODUCT(P526:AI526,Sheet2!$B$3:$U$3)</f>
        <v>138616</v>
      </c>
      <c r="P526" s="18">
        <f>CEILING(INDEX([1]系统模型!$VD:$VD,MATCH(C526,[1]系统模型!$A:$A,0))*POWER(C526/220,3.8)-50+(1000-A526),1)</f>
        <v>2628</v>
      </c>
      <c r="Q526" s="18">
        <f>CEILING(INDEX([1]系统模型!$VE:$VE,MATCH(C526,[1]系统模型!$A:$A,0))*POWER(C526/220,4),1)</f>
        <v>314</v>
      </c>
      <c r="R526" s="18">
        <f>INT(INDEX([1]系统模型!$VF:$VF,MATCH(C526,[1]系统模型!$A:$A,0))*MAX(POWER(C526/180,4),0.5))</f>
        <v>19991</v>
      </c>
      <c r="S526" s="5">
        <v>1000</v>
      </c>
      <c r="T526" s="25">
        <v>0</v>
      </c>
      <c r="U526" s="25">
        <v>0</v>
      </c>
      <c r="V526" s="25">
        <v>0</v>
      </c>
      <c r="W526" s="25">
        <v>0</v>
      </c>
      <c r="X526" s="25">
        <f t="shared" si="93"/>
        <v>999</v>
      </c>
      <c r="Y526" s="12">
        <v>0</v>
      </c>
      <c r="Z526" s="25">
        <v>100</v>
      </c>
      <c r="AA526" s="25">
        <v>150</v>
      </c>
      <c r="AB526" s="25">
        <v>0</v>
      </c>
      <c r="AC526" s="25">
        <v>0</v>
      </c>
      <c r="AD526" s="25">
        <v>0</v>
      </c>
      <c r="AE526" s="25">
        <f t="shared" si="94"/>
        <v>344</v>
      </c>
      <c r="AF526" s="25">
        <f t="shared" si="95"/>
        <v>344</v>
      </c>
      <c r="AG526" s="25">
        <v>0</v>
      </c>
      <c r="AH526" s="25">
        <f t="shared" si="96"/>
        <v>4150</v>
      </c>
      <c r="AI526" s="25">
        <f t="shared" si="97"/>
        <v>35</v>
      </c>
      <c r="AJ526" s="25">
        <v>1</v>
      </c>
      <c r="AK526" s="25">
        <v>1000</v>
      </c>
      <c r="AL526" s="25">
        <v>100</v>
      </c>
      <c r="AM526" s="26">
        <v>10</v>
      </c>
      <c r="AN526" s="26">
        <v>10</v>
      </c>
      <c r="AO526" s="22" t="s">
        <v>2211</v>
      </c>
      <c r="AP526" s="26">
        <v>0</v>
      </c>
      <c r="AQ526" s="26">
        <f t="shared" si="98"/>
        <v>470</v>
      </c>
      <c r="AR526" s="18" t="str">
        <f ca="1">CONCATENATE(OFFSET(Sheet1!$A$2,RANDBETWEEN(2,500),0,1,1),OFFSET(Sheet1!$A$2,RANDBETWEEN(2,500),RANDBETWEEN(1,5),1,1))</f>
        <v>霍伊尔</v>
      </c>
      <c r="AS526">
        <f>SUMPRODUCT(P526:AI526,Sheet2!$B$3:$U$3)</f>
        <v>138616</v>
      </c>
    </row>
    <row r="527" spans="1:45" x14ac:dyDescent="0.15">
      <c r="A527" s="18">
        <v>526</v>
      </c>
      <c r="B527" s="18" t="s">
        <v>2028</v>
      </c>
      <c r="C527" s="18">
        <f t="shared" si="88"/>
        <v>172</v>
      </c>
      <c r="D527" s="19">
        <f t="shared" si="89"/>
        <v>2</v>
      </c>
      <c r="E527" s="19">
        <f>VLOOKUP(MOD(A527,4),各职业基础配置!C$32:D$35,2,FALSE)</f>
        <v>6</v>
      </c>
      <c r="F527" s="19">
        <f>IF(A527&lt;900,INDEX(各职业基础配置!C$23:C$28,MOD(ROW(A527),4)+1),0)</f>
        <v>16</v>
      </c>
      <c r="G527" s="19">
        <f t="shared" si="90"/>
        <v>26</v>
      </c>
      <c r="H527" s="27">
        <f t="shared" si="91"/>
        <v>2</v>
      </c>
      <c r="I527" s="6" t="s">
        <v>164</v>
      </c>
      <c r="J527" s="23" t="str">
        <f>VLOOKUP(E527,各职业基础配置!$B$9:$C$12,2,FALSE)</f>
        <v>111|112|113|4201|115</v>
      </c>
      <c r="K527" s="18" t="str">
        <f>VLOOKUP(E527,各职业基础配置!$B$15:$C$18,2,FALSE)</f>
        <v>32|33|34</v>
      </c>
      <c r="L527" s="18" t="str">
        <f>VLOOKUP(E527,各职业基础配置!B:C,2,FALSE)</f>
        <v>[{32,1,1},{33,1,1},{34,1,1},{35,1,1},{7,1,1},{8,1,1},{9,1,1}]</v>
      </c>
      <c r="M527" s="18">
        <v>0</v>
      </c>
      <c r="N527" s="18">
        <f t="shared" si="92"/>
        <v>7</v>
      </c>
      <c r="O527" s="18">
        <f>SUMPRODUCT(P527:AI527,Sheet2!$B$3:$U$3)</f>
        <v>138591</v>
      </c>
      <c r="P527" s="18">
        <f>CEILING(INDEX([1]系统模型!$VD:$VD,MATCH(C527,[1]系统模型!$A:$A,0))*POWER(C527/220,3.8)-50+(1000-A527),1)</f>
        <v>2627</v>
      </c>
      <c r="Q527" s="18">
        <f>CEILING(INDEX([1]系统模型!$VE:$VE,MATCH(C527,[1]系统模型!$A:$A,0))*POWER(C527/220,4),1)</f>
        <v>314</v>
      </c>
      <c r="R527" s="18">
        <f>INT(INDEX([1]系统模型!$VF:$VF,MATCH(C527,[1]系统模型!$A:$A,0))*MAX(POWER(C527/180,4),0.5))</f>
        <v>19991</v>
      </c>
      <c r="S527" s="5">
        <v>1000</v>
      </c>
      <c r="T527" s="25">
        <v>0</v>
      </c>
      <c r="U527" s="25">
        <v>0</v>
      </c>
      <c r="V527" s="25">
        <v>0</v>
      </c>
      <c r="W527" s="25">
        <v>0</v>
      </c>
      <c r="X527" s="25">
        <f t="shared" si="93"/>
        <v>999</v>
      </c>
      <c r="Y527" s="12">
        <v>0</v>
      </c>
      <c r="Z527" s="25">
        <v>100</v>
      </c>
      <c r="AA527" s="25">
        <v>150</v>
      </c>
      <c r="AB527" s="25">
        <v>0</v>
      </c>
      <c r="AC527" s="25">
        <v>0</v>
      </c>
      <c r="AD527" s="25">
        <v>0</v>
      </c>
      <c r="AE527" s="25">
        <f t="shared" si="94"/>
        <v>344</v>
      </c>
      <c r="AF527" s="25">
        <f t="shared" si="95"/>
        <v>344</v>
      </c>
      <c r="AG527" s="25">
        <v>0</v>
      </c>
      <c r="AH527" s="25">
        <f t="shared" si="96"/>
        <v>4150</v>
      </c>
      <c r="AI527" s="25">
        <f t="shared" si="97"/>
        <v>35</v>
      </c>
      <c r="AJ527" s="25">
        <v>1</v>
      </c>
      <c r="AK527" s="25">
        <v>1000</v>
      </c>
      <c r="AL527" s="25">
        <v>100</v>
      </c>
      <c r="AM527" s="26">
        <v>10</v>
      </c>
      <c r="AN527" s="26">
        <v>10</v>
      </c>
      <c r="AO527" s="22" t="s">
        <v>2211</v>
      </c>
      <c r="AP527" s="26">
        <v>0</v>
      </c>
      <c r="AQ527" s="26">
        <f t="shared" si="98"/>
        <v>470</v>
      </c>
      <c r="AR527" s="18" t="str">
        <f ca="1">CONCATENATE(OFFSET(Sheet1!$A$2,RANDBETWEEN(2,500),0,1,1),OFFSET(Sheet1!$A$2,RANDBETWEEN(2,500),RANDBETWEEN(1,5),1,1))</f>
        <v>狄龙</v>
      </c>
      <c r="AS527">
        <f>SUMPRODUCT(P527:AI527,Sheet2!$B$3:$U$3)</f>
        <v>138591</v>
      </c>
    </row>
    <row r="528" spans="1:45" x14ac:dyDescent="0.15">
      <c r="A528" s="18">
        <v>527</v>
      </c>
      <c r="B528" s="18" t="s">
        <v>1009</v>
      </c>
      <c r="C528" s="18">
        <f t="shared" si="88"/>
        <v>172</v>
      </c>
      <c r="D528" s="19">
        <f t="shared" si="89"/>
        <v>3</v>
      </c>
      <c r="E528" s="19">
        <f>VLOOKUP(MOD(A528,4),各职业基础配置!C$32:D$35,2,FALSE)</f>
        <v>9</v>
      </c>
      <c r="F528" s="19">
        <f>IF(A528&lt;900,INDEX(各职业基础配置!C$23:C$28,MOD(ROW(A528),4)+1),0)</f>
        <v>8</v>
      </c>
      <c r="G528" s="19">
        <f t="shared" si="90"/>
        <v>26</v>
      </c>
      <c r="H528" s="27">
        <f t="shared" si="91"/>
        <v>2</v>
      </c>
      <c r="I528" s="6" t="s">
        <v>164</v>
      </c>
      <c r="J528" s="23" t="str">
        <f>VLOOKUP(E528,各职业基础配置!$B$9:$C$12,2,FALSE)</f>
        <v>116|117|118|4201|120</v>
      </c>
      <c r="K528" s="18" t="str">
        <f>VLOOKUP(E528,各职业基础配置!$B$15:$C$18,2,FALSE)</f>
        <v>28|29|30|31</v>
      </c>
      <c r="L528" s="18" t="str">
        <f>VLOOKUP(E528,各职业基础配置!B:C,2,FALSE)</f>
        <v>[{28,1,1},{29,1,1},{30,1,1},{31,1,1},{10,1,1},{11,1,1},{12,1,1}]</v>
      </c>
      <c r="M528" s="18">
        <v>0</v>
      </c>
      <c r="N528" s="18">
        <f t="shared" si="92"/>
        <v>3</v>
      </c>
      <c r="O528" s="18">
        <f>SUMPRODUCT(P528:AI528,Sheet2!$B$3:$U$3)</f>
        <v>138566</v>
      </c>
      <c r="P528" s="18">
        <f>CEILING(INDEX([1]系统模型!$VD:$VD,MATCH(C528,[1]系统模型!$A:$A,0))*POWER(C528/220,3.8)-50+(1000-A528),1)</f>
        <v>2626</v>
      </c>
      <c r="Q528" s="18">
        <f>CEILING(INDEX([1]系统模型!$VE:$VE,MATCH(C528,[1]系统模型!$A:$A,0))*POWER(C528/220,4),1)</f>
        <v>314</v>
      </c>
      <c r="R528" s="18">
        <f>INT(INDEX([1]系统模型!$VF:$VF,MATCH(C528,[1]系统模型!$A:$A,0))*MAX(POWER(C528/180,4),0.5))</f>
        <v>19991</v>
      </c>
      <c r="S528" s="5">
        <v>1000</v>
      </c>
      <c r="T528" s="25">
        <v>0</v>
      </c>
      <c r="U528" s="25">
        <v>0</v>
      </c>
      <c r="V528" s="25">
        <v>0</v>
      </c>
      <c r="W528" s="25">
        <v>0</v>
      </c>
      <c r="X528" s="25">
        <f t="shared" si="93"/>
        <v>999</v>
      </c>
      <c r="Y528" s="12">
        <v>0</v>
      </c>
      <c r="Z528" s="25">
        <v>100</v>
      </c>
      <c r="AA528" s="25">
        <v>150</v>
      </c>
      <c r="AB528" s="25">
        <v>0</v>
      </c>
      <c r="AC528" s="25">
        <v>0</v>
      </c>
      <c r="AD528" s="25">
        <v>0</v>
      </c>
      <c r="AE528" s="25">
        <f t="shared" si="94"/>
        <v>344</v>
      </c>
      <c r="AF528" s="25">
        <f t="shared" si="95"/>
        <v>344</v>
      </c>
      <c r="AG528" s="25">
        <v>0</v>
      </c>
      <c r="AH528" s="25">
        <f t="shared" si="96"/>
        <v>4150</v>
      </c>
      <c r="AI528" s="25">
        <f t="shared" si="97"/>
        <v>35</v>
      </c>
      <c r="AJ528" s="25">
        <v>1</v>
      </c>
      <c r="AK528" s="25">
        <v>1000</v>
      </c>
      <c r="AL528" s="25">
        <v>100</v>
      </c>
      <c r="AM528" s="26">
        <v>10</v>
      </c>
      <c r="AN528" s="26">
        <v>10</v>
      </c>
      <c r="AO528" s="22" t="s">
        <v>2211</v>
      </c>
      <c r="AP528" s="26">
        <v>0</v>
      </c>
      <c r="AQ528" s="26">
        <f t="shared" si="98"/>
        <v>470</v>
      </c>
      <c r="AR528" s="18" t="str">
        <f ca="1">CONCATENATE(OFFSET(Sheet1!$A$2,RANDBETWEEN(2,500),0,1,1),OFFSET(Sheet1!$A$2,RANDBETWEEN(2,500),RANDBETWEEN(1,5),1,1))</f>
        <v>柯林斯</v>
      </c>
      <c r="AS528">
        <f>SUMPRODUCT(P528:AI528,Sheet2!$B$3:$U$3)</f>
        <v>138566</v>
      </c>
    </row>
    <row r="529" spans="1:45" x14ac:dyDescent="0.15">
      <c r="A529" s="23">
        <v>528</v>
      </c>
      <c r="B529" s="18" t="s">
        <v>1284</v>
      </c>
      <c r="C529" s="18">
        <f t="shared" si="88"/>
        <v>171</v>
      </c>
      <c r="D529" s="19">
        <f t="shared" si="89"/>
        <v>2</v>
      </c>
      <c r="E529" s="19">
        <f>VLOOKUP(MOD(A529,4),各职业基础配置!C$32:D$35,2,FALSE)</f>
        <v>1</v>
      </c>
      <c r="F529" s="19">
        <f>IF(A529&lt;900,INDEX(各职业基础配置!C$23:C$28,MOD(ROW(A529),4)+1),0)</f>
        <v>13</v>
      </c>
      <c r="G529" s="19">
        <f t="shared" si="90"/>
        <v>25</v>
      </c>
      <c r="H529" s="27">
        <f t="shared" si="91"/>
        <v>2</v>
      </c>
      <c r="I529" s="6" t="s">
        <v>164</v>
      </c>
      <c r="J529" s="23" t="str">
        <f>VLOOKUP(E529,各职业基础配置!$B$9:$C$12,2,FALSE)</f>
        <v>101|102|103|4201|105</v>
      </c>
      <c r="K529" s="18" t="str">
        <f>VLOOKUP(E529,各职业基础配置!$B$15:$C$18,2,FALSE)</f>
        <v>24|25|26|27</v>
      </c>
      <c r="L529" s="18" t="str">
        <f>VLOOKUP(E529,各职业基础配置!B:C,2,FALSE)</f>
        <v>[{24,1,1},{25,1,1},{26,1,1},{27,1,1},{1,1,1},{2,1,1},{3,1,1}]</v>
      </c>
      <c r="M529" s="18">
        <v>0</v>
      </c>
      <c r="N529" s="18">
        <f t="shared" si="92"/>
        <v>3</v>
      </c>
      <c r="O529" s="18">
        <f>SUMPRODUCT(P529:AI529,Sheet2!$B$3:$U$3)</f>
        <v>135609</v>
      </c>
      <c r="P529" s="18">
        <f>CEILING(INDEX([1]系统模型!$VD:$VD,MATCH(C529,[1]系统模型!$A:$A,0))*POWER(C529/220,3.8)-50+(1000-A529),1)</f>
        <v>2564</v>
      </c>
      <c r="Q529" s="18">
        <f>CEILING(INDEX([1]系统模型!$VE:$VE,MATCH(C529,[1]系统模型!$A:$A,0))*POWER(C529/220,4),1)</f>
        <v>303</v>
      </c>
      <c r="R529" s="18">
        <f>INT(INDEX([1]系统模型!$VF:$VF,MATCH(C529,[1]系统模型!$A:$A,0))*MAX(POWER(C529/180,4),0.5))</f>
        <v>19359</v>
      </c>
      <c r="S529" s="5">
        <v>1000</v>
      </c>
      <c r="T529" s="25">
        <v>0</v>
      </c>
      <c r="U529" s="25">
        <v>0</v>
      </c>
      <c r="V529" s="25">
        <v>0</v>
      </c>
      <c r="W529" s="25">
        <v>0</v>
      </c>
      <c r="X529" s="25">
        <f t="shared" si="93"/>
        <v>967</v>
      </c>
      <c r="Y529" s="12">
        <v>0</v>
      </c>
      <c r="Z529" s="25">
        <v>100</v>
      </c>
      <c r="AA529" s="25">
        <v>150</v>
      </c>
      <c r="AB529" s="25">
        <v>0</v>
      </c>
      <c r="AC529" s="25">
        <v>0</v>
      </c>
      <c r="AD529" s="25">
        <v>0</v>
      </c>
      <c r="AE529" s="25">
        <f t="shared" si="94"/>
        <v>342</v>
      </c>
      <c r="AF529" s="25">
        <f t="shared" si="95"/>
        <v>342</v>
      </c>
      <c r="AG529" s="25">
        <v>0</v>
      </c>
      <c r="AH529" s="25">
        <f t="shared" si="96"/>
        <v>4075</v>
      </c>
      <c r="AI529" s="25">
        <f t="shared" si="97"/>
        <v>34</v>
      </c>
      <c r="AJ529" s="25">
        <v>1</v>
      </c>
      <c r="AK529" s="25">
        <v>1000</v>
      </c>
      <c r="AL529" s="25">
        <v>100</v>
      </c>
      <c r="AM529" s="26">
        <v>10</v>
      </c>
      <c r="AN529" s="26">
        <v>10</v>
      </c>
      <c r="AO529" s="22" t="s">
        <v>2211</v>
      </c>
      <c r="AP529" s="26">
        <v>0</v>
      </c>
      <c r="AQ529" s="26">
        <f t="shared" si="98"/>
        <v>470</v>
      </c>
      <c r="AR529" s="18" t="str">
        <f ca="1">CONCATENATE(OFFSET(Sheet1!$A$2,RANDBETWEEN(2,500),0,1,1),OFFSET(Sheet1!$A$2,RANDBETWEEN(2,500),RANDBETWEEN(1,5),1,1))</f>
        <v>迪莉娅</v>
      </c>
      <c r="AS529">
        <f>SUMPRODUCT(P529:AI529,Sheet2!$B$3:$U$3)</f>
        <v>135609</v>
      </c>
    </row>
    <row r="530" spans="1:45" x14ac:dyDescent="0.15">
      <c r="A530" s="18">
        <v>529</v>
      </c>
      <c r="B530" s="18" t="s">
        <v>498</v>
      </c>
      <c r="C530" s="18">
        <f t="shared" si="88"/>
        <v>171</v>
      </c>
      <c r="D530" s="19">
        <f t="shared" si="89"/>
        <v>3</v>
      </c>
      <c r="E530" s="19">
        <f>VLOOKUP(MOD(A530,4),各职业基础配置!C$32:D$35,2,FALSE)</f>
        <v>3</v>
      </c>
      <c r="F530" s="19">
        <f>IF(A530&lt;900,INDEX(各职业基础配置!C$23:C$28,MOD(ROW(A530),4)+1),0)</f>
        <v>14</v>
      </c>
      <c r="G530" s="19">
        <f t="shared" si="90"/>
        <v>25</v>
      </c>
      <c r="H530" s="27">
        <f t="shared" si="91"/>
        <v>2</v>
      </c>
      <c r="I530" s="6" t="s">
        <v>164</v>
      </c>
      <c r="J530" s="23" t="str">
        <f>VLOOKUP(E530,各职业基础配置!$B$9:$C$12,2,FALSE)</f>
        <v>106|107|108|4201|110</v>
      </c>
      <c r="K530" s="18" t="str">
        <f>VLOOKUP(E530,各职业基础配置!$B$15:$C$18,2,FALSE)</f>
        <v>20|21|22|23</v>
      </c>
      <c r="L530" s="18" t="str">
        <f>VLOOKUP(E530,各职业基础配置!B:C,2,FALSE)</f>
        <v>[{20,1,1},{21,1,1},{22,1,1},{23,1,1},{4,1,1},{5,1,1},{6,1,1}]</v>
      </c>
      <c r="M530" s="18">
        <v>0</v>
      </c>
      <c r="N530" s="18">
        <f t="shared" si="92"/>
        <v>7</v>
      </c>
      <c r="O530" s="18">
        <f>SUMPRODUCT(P530:AI530,Sheet2!$B$3:$U$3)</f>
        <v>135584</v>
      </c>
      <c r="P530" s="18">
        <f>CEILING(INDEX([1]系统模型!$VD:$VD,MATCH(C530,[1]系统模型!$A:$A,0))*POWER(C530/220,3.8)-50+(1000-A530),1)</f>
        <v>2563</v>
      </c>
      <c r="Q530" s="18">
        <f>CEILING(INDEX([1]系统模型!$VE:$VE,MATCH(C530,[1]系统模型!$A:$A,0))*POWER(C530/220,4),1)</f>
        <v>303</v>
      </c>
      <c r="R530" s="18">
        <f>INT(INDEX([1]系统模型!$VF:$VF,MATCH(C530,[1]系统模型!$A:$A,0))*MAX(POWER(C530/180,4),0.5))</f>
        <v>19359</v>
      </c>
      <c r="S530" s="5">
        <v>1000</v>
      </c>
      <c r="T530" s="25">
        <v>0</v>
      </c>
      <c r="U530" s="25">
        <v>0</v>
      </c>
      <c r="V530" s="25">
        <v>0</v>
      </c>
      <c r="W530" s="25">
        <v>0</v>
      </c>
      <c r="X530" s="25">
        <f t="shared" si="93"/>
        <v>967</v>
      </c>
      <c r="Y530" s="12">
        <v>0</v>
      </c>
      <c r="Z530" s="25">
        <v>100</v>
      </c>
      <c r="AA530" s="25">
        <v>150</v>
      </c>
      <c r="AB530" s="25">
        <v>0</v>
      </c>
      <c r="AC530" s="25">
        <v>0</v>
      </c>
      <c r="AD530" s="25">
        <v>0</v>
      </c>
      <c r="AE530" s="25">
        <f t="shared" si="94"/>
        <v>342</v>
      </c>
      <c r="AF530" s="25">
        <f t="shared" si="95"/>
        <v>342</v>
      </c>
      <c r="AG530" s="25">
        <v>0</v>
      </c>
      <c r="AH530" s="25">
        <f t="shared" si="96"/>
        <v>4075</v>
      </c>
      <c r="AI530" s="25">
        <f t="shared" si="97"/>
        <v>34</v>
      </c>
      <c r="AJ530" s="25">
        <v>1</v>
      </c>
      <c r="AK530" s="25">
        <v>1000</v>
      </c>
      <c r="AL530" s="25">
        <v>100</v>
      </c>
      <c r="AM530" s="26">
        <v>10</v>
      </c>
      <c r="AN530" s="26">
        <v>10</v>
      </c>
      <c r="AO530" s="22" t="s">
        <v>2211</v>
      </c>
      <c r="AP530" s="26">
        <v>0</v>
      </c>
      <c r="AQ530" s="26">
        <f t="shared" si="98"/>
        <v>470</v>
      </c>
      <c r="AR530" s="18" t="str">
        <f ca="1">CONCATENATE(OFFSET(Sheet1!$A$2,RANDBETWEEN(2,500),0,1,1),OFFSET(Sheet1!$A$2,RANDBETWEEN(2,500),RANDBETWEEN(1,5),1,1))</f>
        <v>伯特伦</v>
      </c>
      <c r="AS530">
        <f>SUMPRODUCT(P530:AI530,Sheet2!$B$3:$U$3)</f>
        <v>135584</v>
      </c>
    </row>
    <row r="531" spans="1:45" x14ac:dyDescent="0.15">
      <c r="A531" s="18">
        <v>530</v>
      </c>
      <c r="B531" s="18" t="s">
        <v>828</v>
      </c>
      <c r="C531" s="18">
        <f t="shared" si="88"/>
        <v>171</v>
      </c>
      <c r="D531" s="19">
        <f t="shared" si="89"/>
        <v>2</v>
      </c>
      <c r="E531" s="19">
        <f>VLOOKUP(MOD(A531,4),各职业基础配置!C$32:D$35,2,FALSE)</f>
        <v>6</v>
      </c>
      <c r="F531" s="19">
        <f>IF(A531&lt;900,INDEX(各职业基础配置!C$23:C$28,MOD(ROW(A531),4)+1),0)</f>
        <v>16</v>
      </c>
      <c r="G531" s="19">
        <f t="shared" si="90"/>
        <v>25</v>
      </c>
      <c r="H531" s="27">
        <f t="shared" si="91"/>
        <v>2</v>
      </c>
      <c r="I531" s="6" t="s">
        <v>164</v>
      </c>
      <c r="J531" s="23" t="str">
        <f>VLOOKUP(E531,各职业基础配置!$B$9:$C$12,2,FALSE)</f>
        <v>111|112|113|4201|115</v>
      </c>
      <c r="K531" s="18" t="str">
        <f>VLOOKUP(E531,各职业基础配置!$B$15:$C$18,2,FALSE)</f>
        <v>32|33|34</v>
      </c>
      <c r="L531" s="18" t="str">
        <f>VLOOKUP(E531,各职业基础配置!B:C,2,FALSE)</f>
        <v>[{32,1,1},{33,1,1},{34,1,1},{35,1,1},{7,1,1},{8,1,1},{9,1,1}]</v>
      </c>
      <c r="M531" s="18">
        <v>0</v>
      </c>
      <c r="N531" s="18">
        <f t="shared" si="92"/>
        <v>7</v>
      </c>
      <c r="O531" s="18">
        <f>SUMPRODUCT(P531:AI531,Sheet2!$B$3:$U$3)</f>
        <v>135559</v>
      </c>
      <c r="P531" s="18">
        <f>CEILING(INDEX([1]系统模型!$VD:$VD,MATCH(C531,[1]系统模型!$A:$A,0))*POWER(C531/220,3.8)-50+(1000-A531),1)</f>
        <v>2562</v>
      </c>
      <c r="Q531" s="18">
        <f>CEILING(INDEX([1]系统模型!$VE:$VE,MATCH(C531,[1]系统模型!$A:$A,0))*POWER(C531/220,4),1)</f>
        <v>303</v>
      </c>
      <c r="R531" s="18">
        <f>INT(INDEX([1]系统模型!$VF:$VF,MATCH(C531,[1]系统模型!$A:$A,0))*MAX(POWER(C531/180,4),0.5))</f>
        <v>19359</v>
      </c>
      <c r="S531" s="5">
        <v>1000</v>
      </c>
      <c r="T531" s="25">
        <v>0</v>
      </c>
      <c r="U531" s="25">
        <v>0</v>
      </c>
      <c r="V531" s="25">
        <v>0</v>
      </c>
      <c r="W531" s="25">
        <v>0</v>
      </c>
      <c r="X531" s="25">
        <f t="shared" si="93"/>
        <v>967</v>
      </c>
      <c r="Y531" s="12">
        <v>0</v>
      </c>
      <c r="Z531" s="25">
        <v>100</v>
      </c>
      <c r="AA531" s="25">
        <v>150</v>
      </c>
      <c r="AB531" s="25">
        <v>0</v>
      </c>
      <c r="AC531" s="25">
        <v>0</v>
      </c>
      <c r="AD531" s="25">
        <v>0</v>
      </c>
      <c r="AE531" s="25">
        <f t="shared" si="94"/>
        <v>342</v>
      </c>
      <c r="AF531" s="25">
        <f t="shared" si="95"/>
        <v>342</v>
      </c>
      <c r="AG531" s="25">
        <v>0</v>
      </c>
      <c r="AH531" s="25">
        <f t="shared" si="96"/>
        <v>4075</v>
      </c>
      <c r="AI531" s="25">
        <f t="shared" si="97"/>
        <v>34</v>
      </c>
      <c r="AJ531" s="25">
        <v>1</v>
      </c>
      <c r="AK531" s="25">
        <v>1000</v>
      </c>
      <c r="AL531" s="25">
        <v>100</v>
      </c>
      <c r="AM531" s="26">
        <v>10</v>
      </c>
      <c r="AN531" s="26">
        <v>10</v>
      </c>
      <c r="AO531" s="22" t="s">
        <v>2211</v>
      </c>
      <c r="AP531" s="26">
        <v>0</v>
      </c>
      <c r="AQ531" s="26">
        <f t="shared" si="98"/>
        <v>460</v>
      </c>
      <c r="AR531" s="18" t="str">
        <f ca="1">CONCATENATE(OFFSET(Sheet1!$A$2,RANDBETWEEN(2,500),0,1,1),OFFSET(Sheet1!$A$2,RANDBETWEEN(2,500),RANDBETWEEN(1,5),1,1))</f>
        <v>哈巴卡克</v>
      </c>
      <c r="AS531">
        <f>SUMPRODUCT(P531:AI531,Sheet2!$B$3:$U$3)</f>
        <v>135559</v>
      </c>
    </row>
    <row r="532" spans="1:45" x14ac:dyDescent="0.15">
      <c r="A532" s="23">
        <v>531</v>
      </c>
      <c r="B532" s="18" t="s">
        <v>2029</v>
      </c>
      <c r="C532" s="18">
        <f t="shared" si="88"/>
        <v>171</v>
      </c>
      <c r="D532" s="19">
        <f t="shared" si="89"/>
        <v>3</v>
      </c>
      <c r="E532" s="19">
        <f>VLOOKUP(MOD(A532,4),各职业基础配置!C$32:D$35,2,FALSE)</f>
        <v>9</v>
      </c>
      <c r="F532" s="19">
        <f>IF(A532&lt;900,INDEX(各职业基础配置!C$23:C$28,MOD(ROW(A532),4)+1),0)</f>
        <v>8</v>
      </c>
      <c r="G532" s="19">
        <f t="shared" si="90"/>
        <v>25</v>
      </c>
      <c r="H532" s="27">
        <f t="shared" si="91"/>
        <v>2</v>
      </c>
      <c r="I532" s="6" t="s">
        <v>164</v>
      </c>
      <c r="J532" s="23" t="str">
        <f>VLOOKUP(E532,各职业基础配置!$B$9:$C$12,2,FALSE)</f>
        <v>116|117|118|4201|120</v>
      </c>
      <c r="K532" s="18" t="str">
        <f>VLOOKUP(E532,各职业基础配置!$B$15:$C$18,2,FALSE)</f>
        <v>28|29|30|31</v>
      </c>
      <c r="L532" s="18" t="str">
        <f>VLOOKUP(E532,各职业基础配置!B:C,2,FALSE)</f>
        <v>[{28,1,1},{29,1,1},{30,1,1},{31,1,1},{10,1,1},{11,1,1},{12,1,1}]</v>
      </c>
      <c r="M532" s="18">
        <v>0</v>
      </c>
      <c r="N532" s="18">
        <f t="shared" si="92"/>
        <v>3</v>
      </c>
      <c r="O532" s="18">
        <f>SUMPRODUCT(P532:AI532,Sheet2!$B$3:$U$3)</f>
        <v>135534</v>
      </c>
      <c r="P532" s="18">
        <f>CEILING(INDEX([1]系统模型!$VD:$VD,MATCH(C532,[1]系统模型!$A:$A,0))*POWER(C532/220,3.8)-50+(1000-A532),1)</f>
        <v>2561</v>
      </c>
      <c r="Q532" s="18">
        <f>CEILING(INDEX([1]系统模型!$VE:$VE,MATCH(C532,[1]系统模型!$A:$A,0))*POWER(C532/220,4),1)</f>
        <v>303</v>
      </c>
      <c r="R532" s="18">
        <f>INT(INDEX([1]系统模型!$VF:$VF,MATCH(C532,[1]系统模型!$A:$A,0))*MAX(POWER(C532/180,4),0.5))</f>
        <v>19359</v>
      </c>
      <c r="S532" s="5">
        <v>1000</v>
      </c>
      <c r="T532" s="25">
        <v>0</v>
      </c>
      <c r="U532" s="25">
        <v>0</v>
      </c>
      <c r="V532" s="25">
        <v>0</v>
      </c>
      <c r="W532" s="25">
        <v>0</v>
      </c>
      <c r="X532" s="25">
        <f t="shared" si="93"/>
        <v>967</v>
      </c>
      <c r="Y532" s="12">
        <v>0</v>
      </c>
      <c r="Z532" s="25">
        <v>100</v>
      </c>
      <c r="AA532" s="25">
        <v>150</v>
      </c>
      <c r="AB532" s="25">
        <v>0</v>
      </c>
      <c r="AC532" s="25">
        <v>0</v>
      </c>
      <c r="AD532" s="25">
        <v>0</v>
      </c>
      <c r="AE532" s="25">
        <f t="shared" si="94"/>
        <v>342</v>
      </c>
      <c r="AF532" s="25">
        <f t="shared" si="95"/>
        <v>342</v>
      </c>
      <c r="AG532" s="25">
        <v>0</v>
      </c>
      <c r="AH532" s="25">
        <f t="shared" si="96"/>
        <v>4075</v>
      </c>
      <c r="AI532" s="25">
        <f t="shared" si="97"/>
        <v>34</v>
      </c>
      <c r="AJ532" s="25">
        <v>1</v>
      </c>
      <c r="AK532" s="25">
        <v>1000</v>
      </c>
      <c r="AL532" s="25">
        <v>100</v>
      </c>
      <c r="AM532" s="26">
        <v>10</v>
      </c>
      <c r="AN532" s="26">
        <v>10</v>
      </c>
      <c r="AO532" s="22" t="s">
        <v>2211</v>
      </c>
      <c r="AP532" s="26">
        <v>0</v>
      </c>
      <c r="AQ532" s="26">
        <f t="shared" si="98"/>
        <v>460</v>
      </c>
      <c r="AR532" s="18" t="str">
        <f ca="1">CONCATENATE(OFFSET(Sheet1!$A$2,RANDBETWEEN(2,500),0,1,1),OFFSET(Sheet1!$A$2,RANDBETWEEN(2,500),RANDBETWEEN(1,5),1,1))</f>
        <v>杜勒斯莉迪亚</v>
      </c>
      <c r="AS532">
        <f>SUMPRODUCT(P532:AI532,Sheet2!$B$3:$U$3)</f>
        <v>135534</v>
      </c>
    </row>
    <row r="533" spans="1:45" x14ac:dyDescent="0.15">
      <c r="A533" s="18">
        <v>532</v>
      </c>
      <c r="B533" s="18" t="s">
        <v>1352</v>
      </c>
      <c r="C533" s="18">
        <f t="shared" si="88"/>
        <v>171</v>
      </c>
      <c r="D533" s="19">
        <f t="shared" si="89"/>
        <v>2</v>
      </c>
      <c r="E533" s="19">
        <f>VLOOKUP(MOD(A533,4),各职业基础配置!C$32:D$35,2,FALSE)</f>
        <v>1</v>
      </c>
      <c r="F533" s="19">
        <f>IF(A533&lt;900,INDEX(各职业基础配置!C$23:C$28,MOD(ROW(A533),4)+1),0)</f>
        <v>13</v>
      </c>
      <c r="G533" s="19">
        <f t="shared" si="90"/>
        <v>25</v>
      </c>
      <c r="H533" s="27">
        <f t="shared" si="91"/>
        <v>2</v>
      </c>
      <c r="I533" s="6" t="s">
        <v>164</v>
      </c>
      <c r="J533" s="23" t="str">
        <f>VLOOKUP(E533,各职业基础配置!$B$9:$C$12,2,FALSE)</f>
        <v>101|102|103|4201|105</v>
      </c>
      <c r="K533" s="18" t="str">
        <f>VLOOKUP(E533,各职业基础配置!$B$15:$C$18,2,FALSE)</f>
        <v>24|25|26|27</v>
      </c>
      <c r="L533" s="18" t="str">
        <f>VLOOKUP(E533,各职业基础配置!B:C,2,FALSE)</f>
        <v>[{24,1,1},{25,1,1},{26,1,1},{27,1,1},{1,1,1},{2,1,1},{3,1,1}]</v>
      </c>
      <c r="M533" s="18">
        <v>0</v>
      </c>
      <c r="N533" s="18">
        <f t="shared" si="92"/>
        <v>3</v>
      </c>
      <c r="O533" s="18">
        <f>SUMPRODUCT(P533:AI533,Sheet2!$B$3:$U$3)</f>
        <v>135509</v>
      </c>
      <c r="P533" s="18">
        <f>CEILING(INDEX([1]系统模型!$VD:$VD,MATCH(C533,[1]系统模型!$A:$A,0))*POWER(C533/220,3.8)-50+(1000-A533),1)</f>
        <v>2560</v>
      </c>
      <c r="Q533" s="18">
        <f>CEILING(INDEX([1]系统模型!$VE:$VE,MATCH(C533,[1]系统模型!$A:$A,0))*POWER(C533/220,4),1)</f>
        <v>303</v>
      </c>
      <c r="R533" s="18">
        <f>INT(INDEX([1]系统模型!$VF:$VF,MATCH(C533,[1]系统模型!$A:$A,0))*MAX(POWER(C533/180,4),0.5))</f>
        <v>19359</v>
      </c>
      <c r="S533" s="5">
        <v>1000</v>
      </c>
      <c r="T533" s="25">
        <v>0</v>
      </c>
      <c r="U533" s="25">
        <v>0</v>
      </c>
      <c r="V533" s="25">
        <v>0</v>
      </c>
      <c r="W533" s="25">
        <v>0</v>
      </c>
      <c r="X533" s="25">
        <f t="shared" si="93"/>
        <v>967</v>
      </c>
      <c r="Y533" s="12">
        <v>0</v>
      </c>
      <c r="Z533" s="25">
        <v>100</v>
      </c>
      <c r="AA533" s="25">
        <v>150</v>
      </c>
      <c r="AB533" s="25">
        <v>0</v>
      </c>
      <c r="AC533" s="25">
        <v>0</v>
      </c>
      <c r="AD533" s="25">
        <v>0</v>
      </c>
      <c r="AE533" s="25">
        <f t="shared" si="94"/>
        <v>342</v>
      </c>
      <c r="AF533" s="25">
        <f t="shared" si="95"/>
        <v>342</v>
      </c>
      <c r="AG533" s="25">
        <v>0</v>
      </c>
      <c r="AH533" s="25">
        <f t="shared" si="96"/>
        <v>4075</v>
      </c>
      <c r="AI533" s="25">
        <f t="shared" si="97"/>
        <v>34</v>
      </c>
      <c r="AJ533" s="25">
        <v>1</v>
      </c>
      <c r="AK533" s="25">
        <v>1000</v>
      </c>
      <c r="AL533" s="25">
        <v>100</v>
      </c>
      <c r="AM533" s="26">
        <v>10</v>
      </c>
      <c r="AN533" s="26">
        <v>10</v>
      </c>
      <c r="AO533" s="22" t="s">
        <v>2211</v>
      </c>
      <c r="AP533" s="26">
        <v>0</v>
      </c>
      <c r="AQ533" s="26">
        <f t="shared" si="98"/>
        <v>460</v>
      </c>
      <c r="AR533" s="18" t="str">
        <f ca="1">CONCATENATE(OFFSET(Sheet1!$A$2,RANDBETWEEN(2,500),0,1,1),OFFSET(Sheet1!$A$2,RANDBETWEEN(2,500),RANDBETWEEN(1,5),1,1))</f>
        <v>休斯</v>
      </c>
      <c r="AS533">
        <f>SUMPRODUCT(P533:AI533,Sheet2!$B$3:$U$3)</f>
        <v>135509</v>
      </c>
    </row>
    <row r="534" spans="1:45" x14ac:dyDescent="0.15">
      <c r="A534" s="18">
        <v>533</v>
      </c>
      <c r="B534" s="18" t="s">
        <v>2030</v>
      </c>
      <c r="C534" s="18">
        <f t="shared" si="88"/>
        <v>171</v>
      </c>
      <c r="D534" s="19">
        <f t="shared" si="89"/>
        <v>3</v>
      </c>
      <c r="E534" s="19">
        <f>VLOOKUP(MOD(A534,4),各职业基础配置!C$32:D$35,2,FALSE)</f>
        <v>3</v>
      </c>
      <c r="F534" s="19">
        <f>IF(A534&lt;900,INDEX(各职业基础配置!C$23:C$28,MOD(ROW(A534),4)+1),0)</f>
        <v>14</v>
      </c>
      <c r="G534" s="19">
        <f t="shared" si="90"/>
        <v>25</v>
      </c>
      <c r="H534" s="27">
        <f t="shared" si="91"/>
        <v>2</v>
      </c>
      <c r="I534" s="6" t="s">
        <v>164</v>
      </c>
      <c r="J534" s="23" t="str">
        <f>VLOOKUP(E534,各职业基础配置!$B$9:$C$12,2,FALSE)</f>
        <v>106|107|108|4201|110</v>
      </c>
      <c r="K534" s="18" t="str">
        <f>VLOOKUP(E534,各职业基础配置!$B$15:$C$18,2,FALSE)</f>
        <v>20|21|22|23</v>
      </c>
      <c r="L534" s="18" t="str">
        <f>VLOOKUP(E534,各职业基础配置!B:C,2,FALSE)</f>
        <v>[{20,1,1},{21,1,1},{22,1,1},{23,1,1},{4,1,1},{5,1,1},{6,1,1}]</v>
      </c>
      <c r="M534" s="18">
        <v>0</v>
      </c>
      <c r="N534" s="18">
        <f t="shared" si="92"/>
        <v>7</v>
      </c>
      <c r="O534" s="18">
        <f>SUMPRODUCT(P534:AI534,Sheet2!$B$3:$U$3)</f>
        <v>135484</v>
      </c>
      <c r="P534" s="18">
        <f>CEILING(INDEX([1]系统模型!$VD:$VD,MATCH(C534,[1]系统模型!$A:$A,0))*POWER(C534/220,3.8)-50+(1000-A534),1)</f>
        <v>2559</v>
      </c>
      <c r="Q534" s="18">
        <f>CEILING(INDEX([1]系统模型!$VE:$VE,MATCH(C534,[1]系统模型!$A:$A,0))*POWER(C534/220,4),1)</f>
        <v>303</v>
      </c>
      <c r="R534" s="18">
        <f>INT(INDEX([1]系统模型!$VF:$VF,MATCH(C534,[1]系统模型!$A:$A,0))*MAX(POWER(C534/180,4),0.5))</f>
        <v>19359</v>
      </c>
      <c r="S534" s="5">
        <v>1000</v>
      </c>
      <c r="T534" s="25">
        <v>0</v>
      </c>
      <c r="U534" s="25">
        <v>0</v>
      </c>
      <c r="V534" s="25">
        <v>0</v>
      </c>
      <c r="W534" s="25">
        <v>0</v>
      </c>
      <c r="X534" s="25">
        <f t="shared" si="93"/>
        <v>967</v>
      </c>
      <c r="Y534" s="12">
        <v>0</v>
      </c>
      <c r="Z534" s="25">
        <v>100</v>
      </c>
      <c r="AA534" s="25">
        <v>150</v>
      </c>
      <c r="AB534" s="25">
        <v>0</v>
      </c>
      <c r="AC534" s="25">
        <v>0</v>
      </c>
      <c r="AD534" s="25">
        <v>0</v>
      </c>
      <c r="AE534" s="25">
        <f t="shared" si="94"/>
        <v>342</v>
      </c>
      <c r="AF534" s="25">
        <f t="shared" si="95"/>
        <v>342</v>
      </c>
      <c r="AG534" s="25">
        <v>0</v>
      </c>
      <c r="AH534" s="25">
        <f t="shared" si="96"/>
        <v>4075</v>
      </c>
      <c r="AI534" s="25">
        <f t="shared" si="97"/>
        <v>34</v>
      </c>
      <c r="AJ534" s="25">
        <v>1</v>
      </c>
      <c r="AK534" s="25">
        <v>1000</v>
      </c>
      <c r="AL534" s="25">
        <v>100</v>
      </c>
      <c r="AM534" s="26">
        <v>10</v>
      </c>
      <c r="AN534" s="26">
        <v>10</v>
      </c>
      <c r="AO534" s="22" t="s">
        <v>2211</v>
      </c>
      <c r="AP534" s="26">
        <v>0</v>
      </c>
      <c r="AQ534" s="26">
        <f t="shared" si="98"/>
        <v>460</v>
      </c>
      <c r="AR534" s="18" t="str">
        <f ca="1">CONCATENATE(OFFSET(Sheet1!$A$2,RANDBETWEEN(2,500),0,1,1),OFFSET(Sheet1!$A$2,RANDBETWEEN(2,500),RANDBETWEEN(1,5),1,1))</f>
        <v>汉森尔顿潘妮</v>
      </c>
      <c r="AS534">
        <f>SUMPRODUCT(P534:AI534,Sheet2!$B$3:$U$3)</f>
        <v>135484</v>
      </c>
    </row>
    <row r="535" spans="1:45" x14ac:dyDescent="0.15">
      <c r="A535" s="23">
        <v>534</v>
      </c>
      <c r="B535" s="18" t="s">
        <v>2031</v>
      </c>
      <c r="C535" s="18">
        <f t="shared" si="88"/>
        <v>170</v>
      </c>
      <c r="D535" s="19">
        <f t="shared" si="89"/>
        <v>2</v>
      </c>
      <c r="E535" s="19">
        <f>VLOOKUP(MOD(A535,4),各职业基础配置!C$32:D$35,2,FALSE)</f>
        <v>6</v>
      </c>
      <c r="F535" s="19">
        <f>IF(A535&lt;900,INDEX(各职业基础配置!C$23:C$28,MOD(ROW(A535),4)+1),0)</f>
        <v>16</v>
      </c>
      <c r="G535" s="19">
        <f t="shared" si="90"/>
        <v>24</v>
      </c>
      <c r="H535" s="27">
        <f t="shared" si="91"/>
        <v>2</v>
      </c>
      <c r="I535" s="6" t="s">
        <v>164</v>
      </c>
      <c r="J535" s="23" t="str">
        <f>VLOOKUP(E535,各职业基础配置!$B$9:$C$12,2,FALSE)</f>
        <v>111|112|113|4201|115</v>
      </c>
      <c r="K535" s="18" t="str">
        <f>VLOOKUP(E535,各职业基础配置!$B$15:$C$18,2,FALSE)</f>
        <v>32|33|34</v>
      </c>
      <c r="L535" s="18" t="str">
        <f>VLOOKUP(E535,各职业基础配置!B:C,2,FALSE)</f>
        <v>[{32,1,1},{33,1,1},{34,1,1},{35,1,1},{7,1,1},{8,1,1},{9,1,1}]</v>
      </c>
      <c r="M535" s="18">
        <v>0</v>
      </c>
      <c r="N535" s="18">
        <f t="shared" si="92"/>
        <v>7</v>
      </c>
      <c r="O535" s="18">
        <f>SUMPRODUCT(P535:AI535,Sheet2!$B$3:$U$3)</f>
        <v>132121</v>
      </c>
      <c r="P535" s="18">
        <f>CEILING(INDEX([1]系统模型!$VD:$VD,MATCH(C535,[1]系统模型!$A:$A,0))*POWER(C535/220,3.8)-50+(1000-A535),1)</f>
        <v>2486</v>
      </c>
      <c r="Q535" s="18">
        <f>CEILING(INDEX([1]系统模型!$VE:$VE,MATCH(C535,[1]系统模型!$A:$A,0))*POWER(C535/220,4),1)</f>
        <v>292</v>
      </c>
      <c r="R535" s="18">
        <f>INT(INDEX([1]系统模型!$VF:$VF,MATCH(C535,[1]系统模型!$A:$A,0))*MAX(POWER(C535/180,4),0.5))</f>
        <v>18596</v>
      </c>
      <c r="S535" s="5">
        <v>1000</v>
      </c>
      <c r="T535" s="25">
        <v>0</v>
      </c>
      <c r="U535" s="25">
        <v>0</v>
      </c>
      <c r="V535" s="25">
        <v>0</v>
      </c>
      <c r="W535" s="25">
        <v>0</v>
      </c>
      <c r="X535" s="25">
        <f t="shared" si="93"/>
        <v>929</v>
      </c>
      <c r="Y535" s="12">
        <v>0</v>
      </c>
      <c r="Z535" s="25">
        <v>100</v>
      </c>
      <c r="AA535" s="25">
        <v>150</v>
      </c>
      <c r="AB535" s="25">
        <v>0</v>
      </c>
      <c r="AC535" s="25">
        <v>0</v>
      </c>
      <c r="AD535" s="25">
        <v>0</v>
      </c>
      <c r="AE535" s="25">
        <f t="shared" si="94"/>
        <v>340</v>
      </c>
      <c r="AF535" s="25">
        <f t="shared" si="95"/>
        <v>340</v>
      </c>
      <c r="AG535" s="25">
        <v>0</v>
      </c>
      <c r="AH535" s="25">
        <f t="shared" si="96"/>
        <v>4000</v>
      </c>
      <c r="AI535" s="25">
        <f t="shared" si="97"/>
        <v>33</v>
      </c>
      <c r="AJ535" s="25">
        <v>1</v>
      </c>
      <c r="AK535" s="25">
        <v>1000</v>
      </c>
      <c r="AL535" s="25">
        <v>100</v>
      </c>
      <c r="AM535" s="26">
        <v>10</v>
      </c>
      <c r="AN535" s="26">
        <v>10</v>
      </c>
      <c r="AO535" s="22" t="s">
        <v>2211</v>
      </c>
      <c r="AP535" s="26">
        <v>0</v>
      </c>
      <c r="AQ535" s="26">
        <f t="shared" si="98"/>
        <v>460</v>
      </c>
      <c r="AR535" s="18" t="str">
        <f ca="1">CONCATENATE(OFFSET(Sheet1!$A$2,RANDBETWEEN(2,500),0,1,1),OFFSET(Sheet1!$A$2,RANDBETWEEN(2,500),RANDBETWEEN(1,5),1,1))</f>
        <v>奥斯汀丽莲</v>
      </c>
      <c r="AS535">
        <f>SUMPRODUCT(P535:AI535,Sheet2!$B$3:$U$3)</f>
        <v>132121</v>
      </c>
    </row>
    <row r="536" spans="1:45" x14ac:dyDescent="0.15">
      <c r="A536" s="18">
        <v>535</v>
      </c>
      <c r="B536" s="18" t="s">
        <v>1313</v>
      </c>
      <c r="C536" s="18">
        <f t="shared" si="88"/>
        <v>170</v>
      </c>
      <c r="D536" s="19">
        <f t="shared" si="89"/>
        <v>3</v>
      </c>
      <c r="E536" s="19">
        <f>VLOOKUP(MOD(A536,4),各职业基础配置!C$32:D$35,2,FALSE)</f>
        <v>9</v>
      </c>
      <c r="F536" s="19">
        <f>IF(A536&lt;900,INDEX(各职业基础配置!C$23:C$28,MOD(ROW(A536),4)+1),0)</f>
        <v>8</v>
      </c>
      <c r="G536" s="19">
        <f t="shared" si="90"/>
        <v>24</v>
      </c>
      <c r="H536" s="27">
        <f t="shared" si="91"/>
        <v>2</v>
      </c>
      <c r="I536" s="6" t="s">
        <v>164</v>
      </c>
      <c r="J536" s="23" t="str">
        <f>VLOOKUP(E536,各职业基础配置!$B$9:$C$12,2,FALSE)</f>
        <v>116|117|118|4201|120</v>
      </c>
      <c r="K536" s="18" t="str">
        <f>VLOOKUP(E536,各职业基础配置!$B$15:$C$18,2,FALSE)</f>
        <v>28|29|30|31</v>
      </c>
      <c r="L536" s="18" t="str">
        <f>VLOOKUP(E536,各职业基础配置!B:C,2,FALSE)</f>
        <v>[{28,1,1},{29,1,1},{30,1,1},{31,1,1},{10,1,1},{11,1,1},{12,1,1}]</v>
      </c>
      <c r="M536" s="18">
        <v>0</v>
      </c>
      <c r="N536" s="18">
        <f t="shared" si="92"/>
        <v>3</v>
      </c>
      <c r="O536" s="18">
        <f>SUMPRODUCT(P536:AI536,Sheet2!$B$3:$U$3)</f>
        <v>132096</v>
      </c>
      <c r="P536" s="18">
        <f>CEILING(INDEX([1]系统模型!$VD:$VD,MATCH(C536,[1]系统模型!$A:$A,0))*POWER(C536/220,3.8)-50+(1000-A536),1)</f>
        <v>2485</v>
      </c>
      <c r="Q536" s="18">
        <f>CEILING(INDEX([1]系统模型!$VE:$VE,MATCH(C536,[1]系统模型!$A:$A,0))*POWER(C536/220,4),1)</f>
        <v>292</v>
      </c>
      <c r="R536" s="18">
        <f>INT(INDEX([1]系统模型!$VF:$VF,MATCH(C536,[1]系统模型!$A:$A,0))*MAX(POWER(C536/180,4),0.5))</f>
        <v>18596</v>
      </c>
      <c r="S536" s="5">
        <v>1000</v>
      </c>
      <c r="T536" s="25">
        <v>0</v>
      </c>
      <c r="U536" s="25">
        <v>0</v>
      </c>
      <c r="V536" s="25">
        <v>0</v>
      </c>
      <c r="W536" s="25">
        <v>0</v>
      </c>
      <c r="X536" s="25">
        <f t="shared" si="93"/>
        <v>929</v>
      </c>
      <c r="Y536" s="12">
        <v>0</v>
      </c>
      <c r="Z536" s="25">
        <v>100</v>
      </c>
      <c r="AA536" s="25">
        <v>150</v>
      </c>
      <c r="AB536" s="25">
        <v>0</v>
      </c>
      <c r="AC536" s="25">
        <v>0</v>
      </c>
      <c r="AD536" s="25">
        <v>0</v>
      </c>
      <c r="AE536" s="25">
        <f t="shared" si="94"/>
        <v>340</v>
      </c>
      <c r="AF536" s="25">
        <f t="shared" si="95"/>
        <v>340</v>
      </c>
      <c r="AG536" s="25">
        <v>0</v>
      </c>
      <c r="AH536" s="25">
        <f t="shared" si="96"/>
        <v>4000</v>
      </c>
      <c r="AI536" s="25">
        <f t="shared" si="97"/>
        <v>33</v>
      </c>
      <c r="AJ536" s="25">
        <v>1</v>
      </c>
      <c r="AK536" s="25">
        <v>1000</v>
      </c>
      <c r="AL536" s="25">
        <v>100</v>
      </c>
      <c r="AM536" s="26">
        <v>10</v>
      </c>
      <c r="AN536" s="26">
        <v>10</v>
      </c>
      <c r="AO536" s="22" t="s">
        <v>2211</v>
      </c>
      <c r="AP536" s="26">
        <v>0</v>
      </c>
      <c r="AQ536" s="26">
        <f t="shared" si="98"/>
        <v>460</v>
      </c>
      <c r="AR536" s="18" t="str">
        <f ca="1">CONCATENATE(OFFSET(Sheet1!$A$2,RANDBETWEEN(2,500),0,1,1),OFFSET(Sheet1!$A$2,RANDBETWEEN(2,500),RANDBETWEEN(1,5),1,1))</f>
        <v>哈林顿妮娜</v>
      </c>
      <c r="AS536">
        <f>SUMPRODUCT(P536:AI536,Sheet2!$B$3:$U$3)</f>
        <v>132096</v>
      </c>
    </row>
    <row r="537" spans="1:45" x14ac:dyDescent="0.15">
      <c r="A537" s="18">
        <v>536</v>
      </c>
      <c r="B537" s="18" t="s">
        <v>1043</v>
      </c>
      <c r="C537" s="18">
        <f t="shared" si="88"/>
        <v>170</v>
      </c>
      <c r="D537" s="19">
        <f t="shared" si="89"/>
        <v>2</v>
      </c>
      <c r="E537" s="19">
        <f>VLOOKUP(MOD(A537,4),各职业基础配置!C$32:D$35,2,FALSE)</f>
        <v>1</v>
      </c>
      <c r="F537" s="19">
        <f>IF(A537&lt;900,INDEX(各职业基础配置!C$23:C$28,MOD(ROW(A537),4)+1),0)</f>
        <v>13</v>
      </c>
      <c r="G537" s="19">
        <f t="shared" si="90"/>
        <v>24</v>
      </c>
      <c r="H537" s="27">
        <f t="shared" si="91"/>
        <v>2</v>
      </c>
      <c r="I537" s="6" t="s">
        <v>164</v>
      </c>
      <c r="J537" s="23" t="str">
        <f>VLOOKUP(E537,各职业基础配置!$B$9:$C$12,2,FALSE)</f>
        <v>101|102|103|4201|105</v>
      </c>
      <c r="K537" s="18" t="str">
        <f>VLOOKUP(E537,各职业基础配置!$B$15:$C$18,2,FALSE)</f>
        <v>24|25|26|27</v>
      </c>
      <c r="L537" s="18" t="str">
        <f>VLOOKUP(E537,各职业基础配置!B:C,2,FALSE)</f>
        <v>[{24,1,1},{25,1,1},{26,1,1},{27,1,1},{1,1,1},{2,1,1},{3,1,1}]</v>
      </c>
      <c r="M537" s="18">
        <v>0</v>
      </c>
      <c r="N537" s="18">
        <f t="shared" si="92"/>
        <v>3</v>
      </c>
      <c r="O537" s="18">
        <f>SUMPRODUCT(P537:AI537,Sheet2!$B$3:$U$3)</f>
        <v>132071</v>
      </c>
      <c r="P537" s="18">
        <f>CEILING(INDEX([1]系统模型!$VD:$VD,MATCH(C537,[1]系统模型!$A:$A,0))*POWER(C537/220,3.8)-50+(1000-A537),1)</f>
        <v>2484</v>
      </c>
      <c r="Q537" s="18">
        <f>CEILING(INDEX([1]系统模型!$VE:$VE,MATCH(C537,[1]系统模型!$A:$A,0))*POWER(C537/220,4),1)</f>
        <v>292</v>
      </c>
      <c r="R537" s="18">
        <f>INT(INDEX([1]系统模型!$VF:$VF,MATCH(C537,[1]系统模型!$A:$A,0))*MAX(POWER(C537/180,4),0.5))</f>
        <v>18596</v>
      </c>
      <c r="S537" s="5">
        <v>1000</v>
      </c>
      <c r="T537" s="25">
        <v>0</v>
      </c>
      <c r="U537" s="25">
        <v>0</v>
      </c>
      <c r="V537" s="25">
        <v>0</v>
      </c>
      <c r="W537" s="25">
        <v>0</v>
      </c>
      <c r="X537" s="25">
        <f t="shared" si="93"/>
        <v>929</v>
      </c>
      <c r="Y537" s="12">
        <v>0</v>
      </c>
      <c r="Z537" s="25">
        <v>100</v>
      </c>
      <c r="AA537" s="25">
        <v>150</v>
      </c>
      <c r="AB537" s="25">
        <v>0</v>
      </c>
      <c r="AC537" s="25">
        <v>0</v>
      </c>
      <c r="AD537" s="25">
        <v>0</v>
      </c>
      <c r="AE537" s="25">
        <f t="shared" si="94"/>
        <v>340</v>
      </c>
      <c r="AF537" s="25">
        <f t="shared" si="95"/>
        <v>340</v>
      </c>
      <c r="AG537" s="25">
        <v>0</v>
      </c>
      <c r="AH537" s="25">
        <f t="shared" si="96"/>
        <v>4000</v>
      </c>
      <c r="AI537" s="25">
        <f t="shared" si="97"/>
        <v>33</v>
      </c>
      <c r="AJ537" s="25">
        <v>1</v>
      </c>
      <c r="AK537" s="25">
        <v>1000</v>
      </c>
      <c r="AL537" s="25">
        <v>100</v>
      </c>
      <c r="AM537" s="26">
        <v>10</v>
      </c>
      <c r="AN537" s="26">
        <v>10</v>
      </c>
      <c r="AO537" s="22" t="s">
        <v>2211</v>
      </c>
      <c r="AP537" s="26">
        <v>0</v>
      </c>
      <c r="AQ537" s="26">
        <f t="shared" si="98"/>
        <v>460</v>
      </c>
      <c r="AR537" s="18" t="str">
        <f ca="1">CONCATENATE(OFFSET(Sheet1!$A$2,RANDBETWEEN(2,500),0,1,1),OFFSET(Sheet1!$A$2,RANDBETWEEN(2,500),RANDBETWEEN(1,5),1,1))</f>
        <v>吉本</v>
      </c>
      <c r="AS537">
        <f>SUMPRODUCT(P537:AI537,Sheet2!$B$3:$U$3)</f>
        <v>132071</v>
      </c>
    </row>
    <row r="538" spans="1:45" x14ac:dyDescent="0.15">
      <c r="A538" s="23">
        <v>537</v>
      </c>
      <c r="B538" s="18" t="s">
        <v>1265</v>
      </c>
      <c r="C538" s="18">
        <f t="shared" si="88"/>
        <v>170</v>
      </c>
      <c r="D538" s="19">
        <f t="shared" si="89"/>
        <v>3</v>
      </c>
      <c r="E538" s="19">
        <f>VLOOKUP(MOD(A538,4),各职业基础配置!C$32:D$35,2,FALSE)</f>
        <v>3</v>
      </c>
      <c r="F538" s="19">
        <f>IF(A538&lt;900,INDEX(各职业基础配置!C$23:C$28,MOD(ROW(A538),4)+1),0)</f>
        <v>14</v>
      </c>
      <c r="G538" s="19">
        <f t="shared" si="90"/>
        <v>24</v>
      </c>
      <c r="H538" s="27">
        <f t="shared" si="91"/>
        <v>2</v>
      </c>
      <c r="I538" s="6" t="s">
        <v>164</v>
      </c>
      <c r="J538" s="23" t="str">
        <f>VLOOKUP(E538,各职业基础配置!$B$9:$C$12,2,FALSE)</f>
        <v>106|107|108|4201|110</v>
      </c>
      <c r="K538" s="18" t="str">
        <f>VLOOKUP(E538,各职业基础配置!$B$15:$C$18,2,FALSE)</f>
        <v>20|21|22|23</v>
      </c>
      <c r="L538" s="18" t="str">
        <f>VLOOKUP(E538,各职业基础配置!B:C,2,FALSE)</f>
        <v>[{20,1,1},{21,1,1},{22,1,1},{23,1,1},{4,1,1},{5,1,1},{6,1,1}]</v>
      </c>
      <c r="M538" s="18">
        <v>0</v>
      </c>
      <c r="N538" s="18">
        <f t="shared" si="92"/>
        <v>7</v>
      </c>
      <c r="O538" s="18">
        <f>SUMPRODUCT(P538:AI538,Sheet2!$B$3:$U$3)</f>
        <v>132046</v>
      </c>
      <c r="P538" s="18">
        <f>CEILING(INDEX([1]系统模型!$VD:$VD,MATCH(C538,[1]系统模型!$A:$A,0))*POWER(C538/220,3.8)-50+(1000-A538),1)</f>
        <v>2483</v>
      </c>
      <c r="Q538" s="18">
        <f>CEILING(INDEX([1]系统模型!$VE:$VE,MATCH(C538,[1]系统模型!$A:$A,0))*POWER(C538/220,4),1)</f>
        <v>292</v>
      </c>
      <c r="R538" s="18">
        <f>INT(INDEX([1]系统模型!$VF:$VF,MATCH(C538,[1]系统模型!$A:$A,0))*MAX(POWER(C538/180,4),0.5))</f>
        <v>18596</v>
      </c>
      <c r="S538" s="5">
        <v>1000</v>
      </c>
      <c r="T538" s="25">
        <v>0</v>
      </c>
      <c r="U538" s="25">
        <v>0</v>
      </c>
      <c r="V538" s="25">
        <v>0</v>
      </c>
      <c r="W538" s="25">
        <v>0</v>
      </c>
      <c r="X538" s="25">
        <f t="shared" si="93"/>
        <v>929</v>
      </c>
      <c r="Y538" s="12">
        <v>0</v>
      </c>
      <c r="Z538" s="25">
        <v>100</v>
      </c>
      <c r="AA538" s="25">
        <v>150</v>
      </c>
      <c r="AB538" s="25">
        <v>0</v>
      </c>
      <c r="AC538" s="25">
        <v>0</v>
      </c>
      <c r="AD538" s="25">
        <v>0</v>
      </c>
      <c r="AE538" s="25">
        <f t="shared" si="94"/>
        <v>340</v>
      </c>
      <c r="AF538" s="25">
        <f t="shared" si="95"/>
        <v>340</v>
      </c>
      <c r="AG538" s="25">
        <v>0</v>
      </c>
      <c r="AH538" s="25">
        <f t="shared" si="96"/>
        <v>4000</v>
      </c>
      <c r="AI538" s="25">
        <f t="shared" si="97"/>
        <v>33</v>
      </c>
      <c r="AJ538" s="25">
        <v>1</v>
      </c>
      <c r="AK538" s="25">
        <v>1000</v>
      </c>
      <c r="AL538" s="25">
        <v>100</v>
      </c>
      <c r="AM538" s="26">
        <v>10</v>
      </c>
      <c r="AN538" s="26">
        <v>10</v>
      </c>
      <c r="AO538" s="22" t="s">
        <v>2211</v>
      </c>
      <c r="AP538" s="26">
        <v>0</v>
      </c>
      <c r="AQ538" s="26">
        <f t="shared" si="98"/>
        <v>460</v>
      </c>
      <c r="AR538" s="18" t="str">
        <f ca="1">CONCATENATE(OFFSET(Sheet1!$A$2,RANDBETWEEN(2,500),0,1,1),OFFSET(Sheet1!$A$2,RANDBETWEEN(2,500),RANDBETWEEN(1,5),1,1))</f>
        <v>丘吉尔玛丽</v>
      </c>
      <c r="AS538">
        <f>SUMPRODUCT(P538:AI538,Sheet2!$B$3:$U$3)</f>
        <v>132046</v>
      </c>
    </row>
    <row r="539" spans="1:45" x14ac:dyDescent="0.15">
      <c r="A539" s="18">
        <v>538</v>
      </c>
      <c r="B539" s="18" t="s">
        <v>1132</v>
      </c>
      <c r="C539" s="18">
        <f t="shared" si="88"/>
        <v>170</v>
      </c>
      <c r="D539" s="19">
        <f t="shared" si="89"/>
        <v>2</v>
      </c>
      <c r="E539" s="19">
        <f>VLOOKUP(MOD(A539,4),各职业基础配置!C$32:D$35,2,FALSE)</f>
        <v>6</v>
      </c>
      <c r="F539" s="19">
        <f>IF(A539&lt;900,INDEX(各职业基础配置!C$23:C$28,MOD(ROW(A539),4)+1),0)</f>
        <v>16</v>
      </c>
      <c r="G539" s="19">
        <f t="shared" si="90"/>
        <v>24</v>
      </c>
      <c r="H539" s="27">
        <f t="shared" si="91"/>
        <v>2</v>
      </c>
      <c r="I539" s="6" t="s">
        <v>164</v>
      </c>
      <c r="J539" s="23" t="str">
        <f>VLOOKUP(E539,各职业基础配置!$B$9:$C$12,2,FALSE)</f>
        <v>111|112|113|4201|115</v>
      </c>
      <c r="K539" s="18" t="str">
        <f>VLOOKUP(E539,各职业基础配置!$B$15:$C$18,2,FALSE)</f>
        <v>32|33|34</v>
      </c>
      <c r="L539" s="18" t="str">
        <f>VLOOKUP(E539,各职业基础配置!B:C,2,FALSE)</f>
        <v>[{32,1,1},{33,1,1},{34,1,1},{35,1,1},{7,1,1},{8,1,1},{9,1,1}]</v>
      </c>
      <c r="M539" s="18">
        <v>0</v>
      </c>
      <c r="N539" s="18">
        <f t="shared" si="92"/>
        <v>7</v>
      </c>
      <c r="O539" s="18">
        <f>SUMPRODUCT(P539:AI539,Sheet2!$B$3:$U$3)</f>
        <v>132021</v>
      </c>
      <c r="P539" s="18">
        <f>CEILING(INDEX([1]系统模型!$VD:$VD,MATCH(C539,[1]系统模型!$A:$A,0))*POWER(C539/220,3.8)-50+(1000-A539),1)</f>
        <v>2482</v>
      </c>
      <c r="Q539" s="18">
        <f>CEILING(INDEX([1]系统模型!$VE:$VE,MATCH(C539,[1]系统模型!$A:$A,0))*POWER(C539/220,4),1)</f>
        <v>292</v>
      </c>
      <c r="R539" s="18">
        <f>INT(INDEX([1]系统模型!$VF:$VF,MATCH(C539,[1]系统模型!$A:$A,0))*MAX(POWER(C539/180,4),0.5))</f>
        <v>18596</v>
      </c>
      <c r="S539" s="5">
        <v>1000</v>
      </c>
      <c r="T539" s="25">
        <v>0</v>
      </c>
      <c r="U539" s="25">
        <v>0</v>
      </c>
      <c r="V539" s="25">
        <v>0</v>
      </c>
      <c r="W539" s="25">
        <v>0</v>
      </c>
      <c r="X539" s="25">
        <f t="shared" si="93"/>
        <v>929</v>
      </c>
      <c r="Y539" s="12">
        <v>0</v>
      </c>
      <c r="Z539" s="25">
        <v>100</v>
      </c>
      <c r="AA539" s="25">
        <v>150</v>
      </c>
      <c r="AB539" s="25">
        <v>0</v>
      </c>
      <c r="AC539" s="25">
        <v>0</v>
      </c>
      <c r="AD539" s="25">
        <v>0</v>
      </c>
      <c r="AE539" s="25">
        <f t="shared" si="94"/>
        <v>340</v>
      </c>
      <c r="AF539" s="25">
        <f t="shared" si="95"/>
        <v>340</v>
      </c>
      <c r="AG539" s="25">
        <v>0</v>
      </c>
      <c r="AH539" s="25">
        <f t="shared" si="96"/>
        <v>4000</v>
      </c>
      <c r="AI539" s="25">
        <f t="shared" si="97"/>
        <v>33</v>
      </c>
      <c r="AJ539" s="25">
        <v>1</v>
      </c>
      <c r="AK539" s="25">
        <v>1000</v>
      </c>
      <c r="AL539" s="25">
        <v>100</v>
      </c>
      <c r="AM539" s="26">
        <v>10</v>
      </c>
      <c r="AN539" s="26">
        <v>10</v>
      </c>
      <c r="AO539" s="22" t="s">
        <v>2211</v>
      </c>
      <c r="AP539" s="26">
        <v>0</v>
      </c>
      <c r="AQ539" s="26">
        <f t="shared" si="98"/>
        <v>460</v>
      </c>
      <c r="AR539" s="18" t="str">
        <f ca="1">CONCATENATE(OFFSET(Sheet1!$A$2,RANDBETWEEN(2,500),0,1,1),OFFSET(Sheet1!$A$2,RANDBETWEEN(2,500),RANDBETWEEN(1,5),1,1))</f>
        <v>多伊尔</v>
      </c>
      <c r="AS539">
        <f>SUMPRODUCT(P539:AI539,Sheet2!$B$3:$U$3)</f>
        <v>132021</v>
      </c>
    </row>
    <row r="540" spans="1:45" x14ac:dyDescent="0.15">
      <c r="A540" s="18">
        <v>539</v>
      </c>
      <c r="B540" s="18" t="s">
        <v>1362</v>
      </c>
      <c r="C540" s="18">
        <f t="shared" si="88"/>
        <v>170</v>
      </c>
      <c r="D540" s="19">
        <f t="shared" si="89"/>
        <v>3</v>
      </c>
      <c r="E540" s="19">
        <f>VLOOKUP(MOD(A540,4),各职业基础配置!C$32:D$35,2,FALSE)</f>
        <v>9</v>
      </c>
      <c r="F540" s="19">
        <f>IF(A540&lt;900,INDEX(各职业基础配置!C$23:C$28,MOD(ROW(A540),4)+1),0)</f>
        <v>8</v>
      </c>
      <c r="G540" s="19">
        <f t="shared" si="90"/>
        <v>24</v>
      </c>
      <c r="H540" s="27">
        <f t="shared" si="91"/>
        <v>2</v>
      </c>
      <c r="I540" s="6" t="s">
        <v>164</v>
      </c>
      <c r="J540" s="23" t="str">
        <f>VLOOKUP(E540,各职业基础配置!$B$9:$C$12,2,FALSE)</f>
        <v>116|117|118|4201|120</v>
      </c>
      <c r="K540" s="18" t="str">
        <f>VLOOKUP(E540,各职业基础配置!$B$15:$C$18,2,FALSE)</f>
        <v>28|29|30|31</v>
      </c>
      <c r="L540" s="18" t="str">
        <f>VLOOKUP(E540,各职业基础配置!B:C,2,FALSE)</f>
        <v>[{28,1,1},{29,1,1},{30,1,1},{31,1,1},{10,1,1},{11,1,1},{12,1,1}]</v>
      </c>
      <c r="M540" s="18">
        <v>0</v>
      </c>
      <c r="N540" s="18">
        <f t="shared" si="92"/>
        <v>3</v>
      </c>
      <c r="O540" s="18">
        <f>SUMPRODUCT(P540:AI540,Sheet2!$B$3:$U$3)</f>
        <v>131996</v>
      </c>
      <c r="P540" s="18">
        <f>CEILING(INDEX([1]系统模型!$VD:$VD,MATCH(C540,[1]系统模型!$A:$A,0))*POWER(C540/220,3.8)-50+(1000-A540),1)</f>
        <v>2481</v>
      </c>
      <c r="Q540" s="18">
        <f>CEILING(INDEX([1]系统模型!$VE:$VE,MATCH(C540,[1]系统模型!$A:$A,0))*POWER(C540/220,4),1)</f>
        <v>292</v>
      </c>
      <c r="R540" s="18">
        <f>INT(INDEX([1]系统模型!$VF:$VF,MATCH(C540,[1]系统模型!$A:$A,0))*MAX(POWER(C540/180,4),0.5))</f>
        <v>18596</v>
      </c>
      <c r="S540" s="5">
        <v>1000</v>
      </c>
      <c r="T540" s="25">
        <v>0</v>
      </c>
      <c r="U540" s="25">
        <v>0</v>
      </c>
      <c r="V540" s="25">
        <v>0</v>
      </c>
      <c r="W540" s="25">
        <v>0</v>
      </c>
      <c r="X540" s="25">
        <f t="shared" si="93"/>
        <v>929</v>
      </c>
      <c r="Y540" s="12">
        <v>0</v>
      </c>
      <c r="Z540" s="25">
        <v>100</v>
      </c>
      <c r="AA540" s="25">
        <v>150</v>
      </c>
      <c r="AB540" s="25">
        <v>0</v>
      </c>
      <c r="AC540" s="25">
        <v>0</v>
      </c>
      <c r="AD540" s="25">
        <v>0</v>
      </c>
      <c r="AE540" s="25">
        <f t="shared" si="94"/>
        <v>340</v>
      </c>
      <c r="AF540" s="25">
        <f t="shared" si="95"/>
        <v>340</v>
      </c>
      <c r="AG540" s="25">
        <v>0</v>
      </c>
      <c r="AH540" s="25">
        <f t="shared" si="96"/>
        <v>4000</v>
      </c>
      <c r="AI540" s="25">
        <f t="shared" si="97"/>
        <v>33</v>
      </c>
      <c r="AJ540" s="25">
        <v>1</v>
      </c>
      <c r="AK540" s="25">
        <v>1000</v>
      </c>
      <c r="AL540" s="25">
        <v>100</v>
      </c>
      <c r="AM540" s="26">
        <v>10</v>
      </c>
      <c r="AN540" s="26">
        <v>10</v>
      </c>
      <c r="AO540" s="22" t="s">
        <v>2211</v>
      </c>
      <c r="AP540" s="26">
        <v>0</v>
      </c>
      <c r="AQ540" s="26">
        <f t="shared" si="98"/>
        <v>460</v>
      </c>
      <c r="AR540" s="18" t="str">
        <f ca="1">CONCATENATE(OFFSET(Sheet1!$A$2,RANDBETWEEN(2,500),0,1,1),OFFSET(Sheet1!$A$2,RANDBETWEEN(2,500),RANDBETWEEN(1,5),1,1))</f>
        <v>布卢姆翠丝特</v>
      </c>
      <c r="AS540">
        <f>SUMPRODUCT(P540:AI540,Sheet2!$B$3:$U$3)</f>
        <v>131996</v>
      </c>
    </row>
    <row r="541" spans="1:45" x14ac:dyDescent="0.15">
      <c r="A541" s="23">
        <v>540</v>
      </c>
      <c r="B541" s="18" t="s">
        <v>1303</v>
      </c>
      <c r="C541" s="18">
        <f t="shared" si="88"/>
        <v>170</v>
      </c>
      <c r="D541" s="19">
        <f t="shared" si="89"/>
        <v>2</v>
      </c>
      <c r="E541" s="19">
        <f>VLOOKUP(MOD(A541,4),各职业基础配置!C$32:D$35,2,FALSE)</f>
        <v>1</v>
      </c>
      <c r="F541" s="19">
        <f>IF(A541&lt;900,INDEX(各职业基础配置!C$23:C$28,MOD(ROW(A541),4)+1),0)</f>
        <v>13</v>
      </c>
      <c r="G541" s="19">
        <f t="shared" si="90"/>
        <v>24</v>
      </c>
      <c r="H541" s="27">
        <f t="shared" si="91"/>
        <v>2</v>
      </c>
      <c r="I541" s="6" t="s">
        <v>164</v>
      </c>
      <c r="J541" s="23" t="str">
        <f>VLOOKUP(E541,各职业基础配置!$B$9:$C$12,2,FALSE)</f>
        <v>101|102|103|4201|105</v>
      </c>
      <c r="K541" s="18" t="str">
        <f>VLOOKUP(E541,各职业基础配置!$B$15:$C$18,2,FALSE)</f>
        <v>24|25|26|27</v>
      </c>
      <c r="L541" s="18" t="str">
        <f>VLOOKUP(E541,各职业基础配置!B:C,2,FALSE)</f>
        <v>[{24,1,1},{25,1,1},{26,1,1},{27,1,1},{1,1,1},{2,1,1},{3,1,1}]</v>
      </c>
      <c r="M541" s="18">
        <v>0</v>
      </c>
      <c r="N541" s="18">
        <f t="shared" si="92"/>
        <v>3</v>
      </c>
      <c r="O541" s="18">
        <f>SUMPRODUCT(P541:AI541,Sheet2!$B$3:$U$3)</f>
        <v>131971</v>
      </c>
      <c r="P541" s="18">
        <f>CEILING(INDEX([1]系统模型!$VD:$VD,MATCH(C541,[1]系统模型!$A:$A,0))*POWER(C541/220,3.8)-50+(1000-A541),1)</f>
        <v>2480</v>
      </c>
      <c r="Q541" s="18">
        <f>CEILING(INDEX([1]系统模型!$VE:$VE,MATCH(C541,[1]系统模型!$A:$A,0))*POWER(C541/220,4),1)</f>
        <v>292</v>
      </c>
      <c r="R541" s="18">
        <f>INT(INDEX([1]系统模型!$VF:$VF,MATCH(C541,[1]系统模型!$A:$A,0))*MAX(POWER(C541/180,4),0.5))</f>
        <v>18596</v>
      </c>
      <c r="S541" s="5">
        <v>1000</v>
      </c>
      <c r="T541" s="25">
        <v>0</v>
      </c>
      <c r="U541" s="25">
        <v>0</v>
      </c>
      <c r="V541" s="25">
        <v>0</v>
      </c>
      <c r="W541" s="25">
        <v>0</v>
      </c>
      <c r="X541" s="25">
        <f t="shared" si="93"/>
        <v>929</v>
      </c>
      <c r="Y541" s="12">
        <v>0</v>
      </c>
      <c r="Z541" s="25">
        <v>100</v>
      </c>
      <c r="AA541" s="25">
        <v>150</v>
      </c>
      <c r="AB541" s="25">
        <v>0</v>
      </c>
      <c r="AC541" s="25">
        <v>0</v>
      </c>
      <c r="AD541" s="25">
        <v>0</v>
      </c>
      <c r="AE541" s="25">
        <f t="shared" si="94"/>
        <v>340</v>
      </c>
      <c r="AF541" s="25">
        <f t="shared" si="95"/>
        <v>340</v>
      </c>
      <c r="AG541" s="25">
        <v>0</v>
      </c>
      <c r="AH541" s="25">
        <f t="shared" si="96"/>
        <v>4000</v>
      </c>
      <c r="AI541" s="25">
        <f t="shared" si="97"/>
        <v>33</v>
      </c>
      <c r="AJ541" s="25">
        <v>1</v>
      </c>
      <c r="AK541" s="25">
        <v>1000</v>
      </c>
      <c r="AL541" s="25">
        <v>100</v>
      </c>
      <c r="AM541" s="26">
        <v>10</v>
      </c>
      <c r="AN541" s="26">
        <v>10</v>
      </c>
      <c r="AO541" s="22" t="s">
        <v>2211</v>
      </c>
      <c r="AP541" s="26">
        <v>0</v>
      </c>
      <c r="AQ541" s="26">
        <f t="shared" si="98"/>
        <v>450</v>
      </c>
      <c r="AR541" s="18" t="str">
        <f ca="1">CONCATENATE(OFFSET(Sheet1!$A$2,RANDBETWEEN(2,500),0,1,1),OFFSET(Sheet1!$A$2,RANDBETWEEN(2,500),RANDBETWEEN(1,5),1,1))</f>
        <v>霍索恩</v>
      </c>
      <c r="AS541">
        <f>SUMPRODUCT(P541:AI541,Sheet2!$B$3:$U$3)</f>
        <v>131971</v>
      </c>
    </row>
    <row r="542" spans="1:45" x14ac:dyDescent="0.15">
      <c r="A542" s="18">
        <v>541</v>
      </c>
      <c r="B542" s="18" t="s">
        <v>1045</v>
      </c>
      <c r="C542" s="18">
        <f t="shared" si="88"/>
        <v>169</v>
      </c>
      <c r="D542" s="19">
        <f t="shared" si="89"/>
        <v>3</v>
      </c>
      <c r="E542" s="19">
        <f>VLOOKUP(MOD(A542,4),各职业基础配置!C$32:D$35,2,FALSE)</f>
        <v>3</v>
      </c>
      <c r="F542" s="19">
        <f>IF(A542&lt;900,INDEX(各职业基础配置!C$23:C$28,MOD(ROW(A542),4)+1),0)</f>
        <v>14</v>
      </c>
      <c r="G542" s="19">
        <f t="shared" si="90"/>
        <v>23</v>
      </c>
      <c r="H542" s="27">
        <f t="shared" si="91"/>
        <v>2</v>
      </c>
      <c r="I542" s="6" t="s">
        <v>164</v>
      </c>
      <c r="J542" s="23" t="str">
        <f>VLOOKUP(E542,各职业基础配置!$B$9:$C$12,2,FALSE)</f>
        <v>106|107|108|4201|110</v>
      </c>
      <c r="K542" s="18" t="str">
        <f>VLOOKUP(E542,各职业基础配置!$B$15:$C$18,2,FALSE)</f>
        <v>20|21|22|23</v>
      </c>
      <c r="L542" s="18" t="str">
        <f>VLOOKUP(E542,各职业基础配置!B:C,2,FALSE)</f>
        <v>[{20,1,1},{21,1,1},{22,1,1},{23,1,1},{4,1,1},{5,1,1},{6,1,1}]</v>
      </c>
      <c r="M542" s="18">
        <v>0</v>
      </c>
      <c r="N542" s="18">
        <f t="shared" si="92"/>
        <v>7</v>
      </c>
      <c r="O542" s="18">
        <f>SUMPRODUCT(P542:AI542,Sheet2!$B$3:$U$3)</f>
        <v>128945</v>
      </c>
      <c r="P542" s="18">
        <f>CEILING(INDEX([1]系统模型!$VD:$VD,MATCH(C542,[1]系统模型!$A:$A,0))*POWER(C542/220,3.8)-50+(1000-A542),1)</f>
        <v>2416</v>
      </c>
      <c r="Q542" s="18">
        <f>CEILING(INDEX([1]系统模型!$VE:$VE,MATCH(C542,[1]系统模型!$A:$A,0))*POWER(C542/220,4),1)</f>
        <v>281</v>
      </c>
      <c r="R542" s="18">
        <f>INT(INDEX([1]系统模型!$VF:$VF,MATCH(C542,[1]系统模型!$A:$A,0))*MAX(POWER(C542/180,4),0.5))</f>
        <v>17945</v>
      </c>
      <c r="S542" s="5">
        <v>1000</v>
      </c>
      <c r="T542" s="25">
        <v>0</v>
      </c>
      <c r="U542" s="25">
        <v>0</v>
      </c>
      <c r="V542" s="25">
        <v>0</v>
      </c>
      <c r="W542" s="25">
        <v>0</v>
      </c>
      <c r="X542" s="25">
        <f t="shared" si="93"/>
        <v>897</v>
      </c>
      <c r="Y542" s="12">
        <v>0</v>
      </c>
      <c r="Z542" s="25">
        <v>100</v>
      </c>
      <c r="AA542" s="25">
        <v>150</v>
      </c>
      <c r="AB542" s="25">
        <v>0</v>
      </c>
      <c r="AC542" s="25">
        <v>0</v>
      </c>
      <c r="AD542" s="25">
        <v>0</v>
      </c>
      <c r="AE542" s="25">
        <f t="shared" si="94"/>
        <v>338</v>
      </c>
      <c r="AF542" s="25">
        <f t="shared" si="95"/>
        <v>338</v>
      </c>
      <c r="AG542" s="25">
        <v>0</v>
      </c>
      <c r="AH542" s="25">
        <f t="shared" si="96"/>
        <v>3925</v>
      </c>
      <c r="AI542" s="25">
        <f t="shared" si="97"/>
        <v>32</v>
      </c>
      <c r="AJ542" s="25">
        <v>1</v>
      </c>
      <c r="AK542" s="25">
        <v>1000</v>
      </c>
      <c r="AL542" s="25">
        <v>100</v>
      </c>
      <c r="AM542" s="26">
        <v>10</v>
      </c>
      <c r="AN542" s="26">
        <v>10</v>
      </c>
      <c r="AO542" s="22" t="s">
        <v>2211</v>
      </c>
      <c r="AP542" s="26">
        <v>0</v>
      </c>
      <c r="AQ542" s="26">
        <f t="shared" si="98"/>
        <v>450</v>
      </c>
      <c r="AR542" s="18" t="str">
        <f ca="1">CONCATENATE(OFFSET(Sheet1!$A$2,RANDBETWEEN(2,500),0,1,1),OFFSET(Sheet1!$A$2,RANDBETWEEN(2,500),RANDBETWEEN(1,5),1,1))</f>
        <v>詹宁斯娜</v>
      </c>
      <c r="AS542">
        <f>SUMPRODUCT(P542:AI542,Sheet2!$B$3:$U$3)</f>
        <v>128945</v>
      </c>
    </row>
    <row r="543" spans="1:45" x14ac:dyDescent="0.15">
      <c r="A543" s="18">
        <v>542</v>
      </c>
      <c r="B543" s="18" t="s">
        <v>891</v>
      </c>
      <c r="C543" s="18">
        <f t="shared" si="88"/>
        <v>169</v>
      </c>
      <c r="D543" s="19">
        <f t="shared" si="89"/>
        <v>2</v>
      </c>
      <c r="E543" s="19">
        <f>VLOOKUP(MOD(A543,4),各职业基础配置!C$32:D$35,2,FALSE)</f>
        <v>6</v>
      </c>
      <c r="F543" s="19">
        <f>IF(A543&lt;900,INDEX(各职业基础配置!C$23:C$28,MOD(ROW(A543),4)+1),0)</f>
        <v>16</v>
      </c>
      <c r="G543" s="19">
        <f t="shared" si="90"/>
        <v>23</v>
      </c>
      <c r="H543" s="27">
        <f t="shared" si="91"/>
        <v>2</v>
      </c>
      <c r="I543" s="6" t="s">
        <v>164</v>
      </c>
      <c r="J543" s="23" t="str">
        <f>VLOOKUP(E543,各职业基础配置!$B$9:$C$12,2,FALSE)</f>
        <v>111|112|113|4201|115</v>
      </c>
      <c r="K543" s="18" t="str">
        <f>VLOOKUP(E543,各职业基础配置!$B$15:$C$18,2,FALSE)</f>
        <v>32|33|34</v>
      </c>
      <c r="L543" s="18" t="str">
        <f>VLOOKUP(E543,各职业基础配置!B:C,2,FALSE)</f>
        <v>[{32,1,1},{33,1,1},{34,1,1},{35,1,1},{7,1,1},{8,1,1},{9,1,1}]</v>
      </c>
      <c r="M543" s="18">
        <v>0</v>
      </c>
      <c r="N543" s="18">
        <f t="shared" si="92"/>
        <v>7</v>
      </c>
      <c r="O543" s="18">
        <f>SUMPRODUCT(P543:AI543,Sheet2!$B$3:$U$3)</f>
        <v>128920</v>
      </c>
      <c r="P543" s="18">
        <f>CEILING(INDEX([1]系统模型!$VD:$VD,MATCH(C543,[1]系统模型!$A:$A,0))*POWER(C543/220,3.8)-50+(1000-A543),1)</f>
        <v>2415</v>
      </c>
      <c r="Q543" s="18">
        <f>CEILING(INDEX([1]系统模型!$VE:$VE,MATCH(C543,[1]系统模型!$A:$A,0))*POWER(C543/220,4),1)</f>
        <v>281</v>
      </c>
      <c r="R543" s="18">
        <f>INT(INDEX([1]系统模型!$VF:$VF,MATCH(C543,[1]系统模型!$A:$A,0))*MAX(POWER(C543/180,4),0.5))</f>
        <v>17945</v>
      </c>
      <c r="S543" s="5">
        <v>1000</v>
      </c>
      <c r="T543" s="25">
        <v>0</v>
      </c>
      <c r="U543" s="25">
        <v>0</v>
      </c>
      <c r="V543" s="25">
        <v>0</v>
      </c>
      <c r="W543" s="25">
        <v>0</v>
      </c>
      <c r="X543" s="25">
        <f t="shared" si="93"/>
        <v>897</v>
      </c>
      <c r="Y543" s="12">
        <v>0</v>
      </c>
      <c r="Z543" s="25">
        <v>100</v>
      </c>
      <c r="AA543" s="25">
        <v>150</v>
      </c>
      <c r="AB543" s="25">
        <v>0</v>
      </c>
      <c r="AC543" s="25">
        <v>0</v>
      </c>
      <c r="AD543" s="25">
        <v>0</v>
      </c>
      <c r="AE543" s="25">
        <f t="shared" si="94"/>
        <v>338</v>
      </c>
      <c r="AF543" s="25">
        <f t="shared" si="95"/>
        <v>338</v>
      </c>
      <c r="AG543" s="25">
        <v>0</v>
      </c>
      <c r="AH543" s="25">
        <f t="shared" si="96"/>
        <v>3925</v>
      </c>
      <c r="AI543" s="25">
        <f t="shared" si="97"/>
        <v>32</v>
      </c>
      <c r="AJ543" s="25">
        <v>1</v>
      </c>
      <c r="AK543" s="25">
        <v>1000</v>
      </c>
      <c r="AL543" s="25">
        <v>100</v>
      </c>
      <c r="AM543" s="26">
        <v>10</v>
      </c>
      <c r="AN543" s="26">
        <v>10</v>
      </c>
      <c r="AO543" s="22" t="s">
        <v>2211</v>
      </c>
      <c r="AP543" s="26">
        <v>0</v>
      </c>
      <c r="AQ543" s="26">
        <f t="shared" si="98"/>
        <v>450</v>
      </c>
      <c r="AR543" s="18" t="str">
        <f ca="1">CONCATENATE(OFFSET(Sheet1!$A$2,RANDBETWEEN(2,500),0,1,1),OFFSET(Sheet1!$A$2,RANDBETWEEN(2,500),RANDBETWEEN(1,5),1,1))</f>
        <v>埃文</v>
      </c>
      <c r="AS543">
        <f>SUMPRODUCT(P543:AI543,Sheet2!$B$3:$U$3)</f>
        <v>128920</v>
      </c>
    </row>
    <row r="544" spans="1:45" x14ac:dyDescent="0.15">
      <c r="A544" s="23">
        <v>543</v>
      </c>
      <c r="B544" s="18" t="s">
        <v>1026</v>
      </c>
      <c r="C544" s="18">
        <f t="shared" si="88"/>
        <v>169</v>
      </c>
      <c r="D544" s="19">
        <f t="shared" si="89"/>
        <v>3</v>
      </c>
      <c r="E544" s="19">
        <f>VLOOKUP(MOD(A544,4),各职业基础配置!C$32:D$35,2,FALSE)</f>
        <v>9</v>
      </c>
      <c r="F544" s="19">
        <f>IF(A544&lt;900,INDEX(各职业基础配置!C$23:C$28,MOD(ROW(A544),4)+1),0)</f>
        <v>8</v>
      </c>
      <c r="G544" s="19">
        <f t="shared" si="90"/>
        <v>23</v>
      </c>
      <c r="H544" s="27">
        <f t="shared" si="91"/>
        <v>2</v>
      </c>
      <c r="I544" s="6" t="s">
        <v>164</v>
      </c>
      <c r="J544" s="23" t="str">
        <f>VLOOKUP(E544,各职业基础配置!$B$9:$C$12,2,FALSE)</f>
        <v>116|117|118|4201|120</v>
      </c>
      <c r="K544" s="18" t="str">
        <f>VLOOKUP(E544,各职业基础配置!$B$15:$C$18,2,FALSE)</f>
        <v>28|29|30|31</v>
      </c>
      <c r="L544" s="18" t="str">
        <f>VLOOKUP(E544,各职业基础配置!B:C,2,FALSE)</f>
        <v>[{28,1,1},{29,1,1},{30,1,1},{31,1,1},{10,1,1},{11,1,1},{12,1,1}]</v>
      </c>
      <c r="M544" s="18">
        <v>0</v>
      </c>
      <c r="N544" s="18">
        <f t="shared" si="92"/>
        <v>3</v>
      </c>
      <c r="O544" s="18">
        <f>SUMPRODUCT(P544:AI544,Sheet2!$B$3:$U$3)</f>
        <v>128895</v>
      </c>
      <c r="P544" s="18">
        <f>CEILING(INDEX([1]系统模型!$VD:$VD,MATCH(C544,[1]系统模型!$A:$A,0))*POWER(C544/220,3.8)-50+(1000-A544),1)</f>
        <v>2414</v>
      </c>
      <c r="Q544" s="18">
        <f>CEILING(INDEX([1]系统模型!$VE:$VE,MATCH(C544,[1]系统模型!$A:$A,0))*POWER(C544/220,4),1)</f>
        <v>281</v>
      </c>
      <c r="R544" s="18">
        <f>INT(INDEX([1]系统模型!$VF:$VF,MATCH(C544,[1]系统模型!$A:$A,0))*MAX(POWER(C544/180,4),0.5))</f>
        <v>17945</v>
      </c>
      <c r="S544" s="5">
        <v>1000</v>
      </c>
      <c r="T544" s="25">
        <v>0</v>
      </c>
      <c r="U544" s="25">
        <v>0</v>
      </c>
      <c r="V544" s="25">
        <v>0</v>
      </c>
      <c r="W544" s="25">
        <v>0</v>
      </c>
      <c r="X544" s="25">
        <f t="shared" si="93"/>
        <v>897</v>
      </c>
      <c r="Y544" s="12">
        <v>0</v>
      </c>
      <c r="Z544" s="25">
        <v>100</v>
      </c>
      <c r="AA544" s="25">
        <v>150</v>
      </c>
      <c r="AB544" s="25">
        <v>0</v>
      </c>
      <c r="AC544" s="25">
        <v>0</v>
      </c>
      <c r="AD544" s="25">
        <v>0</v>
      </c>
      <c r="AE544" s="25">
        <f t="shared" si="94"/>
        <v>338</v>
      </c>
      <c r="AF544" s="25">
        <f t="shared" si="95"/>
        <v>338</v>
      </c>
      <c r="AG544" s="25">
        <v>0</v>
      </c>
      <c r="AH544" s="25">
        <f t="shared" si="96"/>
        <v>3925</v>
      </c>
      <c r="AI544" s="25">
        <f t="shared" si="97"/>
        <v>32</v>
      </c>
      <c r="AJ544" s="25">
        <v>1</v>
      </c>
      <c r="AK544" s="25">
        <v>1000</v>
      </c>
      <c r="AL544" s="25">
        <v>100</v>
      </c>
      <c r="AM544" s="26">
        <v>10</v>
      </c>
      <c r="AN544" s="26">
        <v>10</v>
      </c>
      <c r="AO544" s="22" t="s">
        <v>2211</v>
      </c>
      <c r="AP544" s="26">
        <v>0</v>
      </c>
      <c r="AQ544" s="26">
        <f t="shared" si="98"/>
        <v>450</v>
      </c>
      <c r="AR544" s="18" t="str">
        <f ca="1">CONCATENATE(OFFSET(Sheet1!$A$2,RANDBETWEEN(2,500),0,1,1),OFFSET(Sheet1!$A$2,RANDBETWEEN(2,500),RANDBETWEEN(1,5),1,1))</f>
        <v>福勒</v>
      </c>
      <c r="AS544">
        <f>SUMPRODUCT(P544:AI544,Sheet2!$B$3:$U$3)</f>
        <v>128895</v>
      </c>
    </row>
    <row r="545" spans="1:45" x14ac:dyDescent="0.15">
      <c r="A545" s="18">
        <v>544</v>
      </c>
      <c r="B545" s="18" t="s">
        <v>334</v>
      </c>
      <c r="C545" s="18">
        <f t="shared" si="88"/>
        <v>169</v>
      </c>
      <c r="D545" s="19">
        <f t="shared" si="89"/>
        <v>2</v>
      </c>
      <c r="E545" s="19">
        <f>VLOOKUP(MOD(A545,4),各职业基础配置!C$32:D$35,2,FALSE)</f>
        <v>1</v>
      </c>
      <c r="F545" s="19">
        <f>IF(A545&lt;900,INDEX(各职业基础配置!C$23:C$28,MOD(ROW(A545),4)+1),0)</f>
        <v>13</v>
      </c>
      <c r="G545" s="19">
        <f t="shared" si="90"/>
        <v>23</v>
      </c>
      <c r="H545" s="27">
        <f t="shared" si="91"/>
        <v>2</v>
      </c>
      <c r="I545" s="6" t="s">
        <v>164</v>
      </c>
      <c r="J545" s="23" t="str">
        <f>VLOOKUP(E545,各职业基础配置!$B$9:$C$12,2,FALSE)</f>
        <v>101|102|103|4201|105</v>
      </c>
      <c r="K545" s="18" t="str">
        <f>VLOOKUP(E545,各职业基础配置!$B$15:$C$18,2,FALSE)</f>
        <v>24|25|26|27</v>
      </c>
      <c r="L545" s="18" t="str">
        <f>VLOOKUP(E545,各职业基础配置!B:C,2,FALSE)</f>
        <v>[{24,1,1},{25,1,1},{26,1,1},{27,1,1},{1,1,1},{2,1,1},{3,1,1}]</v>
      </c>
      <c r="M545" s="18">
        <v>0</v>
      </c>
      <c r="N545" s="18">
        <f t="shared" si="92"/>
        <v>3</v>
      </c>
      <c r="O545" s="18">
        <f>SUMPRODUCT(P545:AI545,Sheet2!$B$3:$U$3)</f>
        <v>128870</v>
      </c>
      <c r="P545" s="18">
        <f>CEILING(INDEX([1]系统模型!$VD:$VD,MATCH(C545,[1]系统模型!$A:$A,0))*POWER(C545/220,3.8)-50+(1000-A545),1)</f>
        <v>2413</v>
      </c>
      <c r="Q545" s="18">
        <f>CEILING(INDEX([1]系统模型!$VE:$VE,MATCH(C545,[1]系统模型!$A:$A,0))*POWER(C545/220,4),1)</f>
        <v>281</v>
      </c>
      <c r="R545" s="18">
        <f>INT(INDEX([1]系统模型!$VF:$VF,MATCH(C545,[1]系统模型!$A:$A,0))*MAX(POWER(C545/180,4),0.5))</f>
        <v>17945</v>
      </c>
      <c r="S545" s="5">
        <v>1000</v>
      </c>
      <c r="T545" s="25">
        <v>0</v>
      </c>
      <c r="U545" s="25">
        <v>0</v>
      </c>
      <c r="V545" s="25">
        <v>0</v>
      </c>
      <c r="W545" s="25">
        <v>0</v>
      </c>
      <c r="X545" s="25">
        <f t="shared" si="93"/>
        <v>897</v>
      </c>
      <c r="Y545" s="12">
        <v>0</v>
      </c>
      <c r="Z545" s="25">
        <v>100</v>
      </c>
      <c r="AA545" s="25">
        <v>150</v>
      </c>
      <c r="AB545" s="25">
        <v>0</v>
      </c>
      <c r="AC545" s="25">
        <v>0</v>
      </c>
      <c r="AD545" s="25">
        <v>0</v>
      </c>
      <c r="AE545" s="25">
        <f t="shared" si="94"/>
        <v>338</v>
      </c>
      <c r="AF545" s="25">
        <f t="shared" si="95"/>
        <v>338</v>
      </c>
      <c r="AG545" s="25">
        <v>0</v>
      </c>
      <c r="AH545" s="25">
        <f t="shared" si="96"/>
        <v>3925</v>
      </c>
      <c r="AI545" s="25">
        <f t="shared" si="97"/>
        <v>32</v>
      </c>
      <c r="AJ545" s="25">
        <v>1</v>
      </c>
      <c r="AK545" s="25">
        <v>1000</v>
      </c>
      <c r="AL545" s="25">
        <v>100</v>
      </c>
      <c r="AM545" s="26">
        <v>10</v>
      </c>
      <c r="AN545" s="26">
        <v>10</v>
      </c>
      <c r="AO545" s="22" t="s">
        <v>2211</v>
      </c>
      <c r="AP545" s="26">
        <v>0</v>
      </c>
      <c r="AQ545" s="26">
        <f t="shared" si="98"/>
        <v>450</v>
      </c>
      <c r="AR545" s="18" t="str">
        <f ca="1">CONCATENATE(OFFSET(Sheet1!$A$2,RANDBETWEEN(2,500),0,1,1),OFFSET(Sheet1!$A$2,RANDBETWEEN(2,500),RANDBETWEEN(1,5),1,1))</f>
        <v>格雷</v>
      </c>
      <c r="AS545">
        <f>SUMPRODUCT(P545:AI545,Sheet2!$B$3:$U$3)</f>
        <v>128870</v>
      </c>
    </row>
    <row r="546" spans="1:45" x14ac:dyDescent="0.15">
      <c r="A546" s="18">
        <v>545</v>
      </c>
      <c r="B546" s="18" t="s">
        <v>2032</v>
      </c>
      <c r="C546" s="18">
        <f t="shared" si="88"/>
        <v>169</v>
      </c>
      <c r="D546" s="19">
        <f t="shared" si="89"/>
        <v>3</v>
      </c>
      <c r="E546" s="19">
        <f>VLOOKUP(MOD(A546,4),各职业基础配置!C$32:D$35,2,FALSE)</f>
        <v>3</v>
      </c>
      <c r="F546" s="19">
        <f>IF(A546&lt;900,INDEX(各职业基础配置!C$23:C$28,MOD(ROW(A546),4)+1),0)</f>
        <v>14</v>
      </c>
      <c r="G546" s="19">
        <f t="shared" si="90"/>
        <v>23</v>
      </c>
      <c r="H546" s="27">
        <f t="shared" si="91"/>
        <v>2</v>
      </c>
      <c r="I546" s="6" t="s">
        <v>164</v>
      </c>
      <c r="J546" s="23" t="str">
        <f>VLOOKUP(E546,各职业基础配置!$B$9:$C$12,2,FALSE)</f>
        <v>106|107|108|4201|110</v>
      </c>
      <c r="K546" s="18" t="str">
        <f>VLOOKUP(E546,各职业基础配置!$B$15:$C$18,2,FALSE)</f>
        <v>20|21|22|23</v>
      </c>
      <c r="L546" s="18" t="str">
        <f>VLOOKUP(E546,各职业基础配置!B:C,2,FALSE)</f>
        <v>[{20,1,1},{21,1,1},{22,1,1},{23,1,1},{4,1,1},{5,1,1},{6,1,1}]</v>
      </c>
      <c r="M546" s="18">
        <v>0</v>
      </c>
      <c r="N546" s="18">
        <f t="shared" si="92"/>
        <v>7</v>
      </c>
      <c r="O546" s="18">
        <f>SUMPRODUCT(P546:AI546,Sheet2!$B$3:$U$3)</f>
        <v>128845</v>
      </c>
      <c r="P546" s="18">
        <f>CEILING(INDEX([1]系统模型!$VD:$VD,MATCH(C546,[1]系统模型!$A:$A,0))*POWER(C546/220,3.8)-50+(1000-A546),1)</f>
        <v>2412</v>
      </c>
      <c r="Q546" s="18">
        <f>CEILING(INDEX([1]系统模型!$VE:$VE,MATCH(C546,[1]系统模型!$A:$A,0))*POWER(C546/220,4),1)</f>
        <v>281</v>
      </c>
      <c r="R546" s="18">
        <f>INT(INDEX([1]系统模型!$VF:$VF,MATCH(C546,[1]系统模型!$A:$A,0))*MAX(POWER(C546/180,4),0.5))</f>
        <v>17945</v>
      </c>
      <c r="S546" s="5">
        <v>1000</v>
      </c>
      <c r="T546" s="25">
        <v>0</v>
      </c>
      <c r="U546" s="25">
        <v>0</v>
      </c>
      <c r="V546" s="25">
        <v>0</v>
      </c>
      <c r="W546" s="25">
        <v>0</v>
      </c>
      <c r="X546" s="25">
        <f t="shared" si="93"/>
        <v>897</v>
      </c>
      <c r="Y546" s="12">
        <v>0</v>
      </c>
      <c r="Z546" s="25">
        <v>100</v>
      </c>
      <c r="AA546" s="25">
        <v>150</v>
      </c>
      <c r="AB546" s="25">
        <v>0</v>
      </c>
      <c r="AC546" s="25">
        <v>0</v>
      </c>
      <c r="AD546" s="25">
        <v>0</v>
      </c>
      <c r="AE546" s="25">
        <f t="shared" si="94"/>
        <v>338</v>
      </c>
      <c r="AF546" s="25">
        <f t="shared" si="95"/>
        <v>338</v>
      </c>
      <c r="AG546" s="25">
        <v>0</v>
      </c>
      <c r="AH546" s="25">
        <f t="shared" si="96"/>
        <v>3925</v>
      </c>
      <c r="AI546" s="25">
        <f t="shared" si="97"/>
        <v>32</v>
      </c>
      <c r="AJ546" s="25">
        <v>1</v>
      </c>
      <c r="AK546" s="25">
        <v>1000</v>
      </c>
      <c r="AL546" s="25">
        <v>100</v>
      </c>
      <c r="AM546" s="26">
        <v>10</v>
      </c>
      <c r="AN546" s="26">
        <v>10</v>
      </c>
      <c r="AO546" s="22" t="s">
        <v>2211</v>
      </c>
      <c r="AP546" s="26">
        <v>0</v>
      </c>
      <c r="AQ546" s="26">
        <f t="shared" si="98"/>
        <v>450</v>
      </c>
      <c r="AR546" s="18" t="str">
        <f ca="1">CONCATENATE(OFFSET(Sheet1!$A$2,RANDBETWEEN(2,500),0,1,1),OFFSET(Sheet1!$A$2,RANDBETWEEN(2,500),RANDBETWEEN(1,5),1,1))</f>
        <v>芬恩</v>
      </c>
      <c r="AS546">
        <f>SUMPRODUCT(P546:AI546,Sheet2!$B$3:$U$3)</f>
        <v>128845</v>
      </c>
    </row>
    <row r="547" spans="1:45" x14ac:dyDescent="0.15">
      <c r="A547" s="23">
        <v>546</v>
      </c>
      <c r="B547" s="18" t="s">
        <v>2033</v>
      </c>
      <c r="C547" s="18">
        <f t="shared" si="88"/>
        <v>169</v>
      </c>
      <c r="D547" s="19">
        <f t="shared" si="89"/>
        <v>2</v>
      </c>
      <c r="E547" s="19">
        <f>VLOOKUP(MOD(A547,4),各职业基础配置!C$32:D$35,2,FALSE)</f>
        <v>6</v>
      </c>
      <c r="F547" s="19">
        <f>IF(A547&lt;900,INDEX(各职业基础配置!C$23:C$28,MOD(ROW(A547),4)+1),0)</f>
        <v>16</v>
      </c>
      <c r="G547" s="19">
        <f t="shared" si="90"/>
        <v>23</v>
      </c>
      <c r="H547" s="27">
        <f t="shared" si="91"/>
        <v>2</v>
      </c>
      <c r="I547" s="6" t="s">
        <v>164</v>
      </c>
      <c r="J547" s="23" t="str">
        <f>VLOOKUP(E547,各职业基础配置!$B$9:$C$12,2,FALSE)</f>
        <v>111|112|113|4201|115</v>
      </c>
      <c r="K547" s="18" t="str">
        <f>VLOOKUP(E547,各职业基础配置!$B$15:$C$18,2,FALSE)</f>
        <v>32|33|34</v>
      </c>
      <c r="L547" s="18" t="str">
        <f>VLOOKUP(E547,各职业基础配置!B:C,2,FALSE)</f>
        <v>[{32,1,1},{33,1,1},{34,1,1},{35,1,1},{7,1,1},{8,1,1},{9,1,1}]</v>
      </c>
      <c r="M547" s="18">
        <v>0</v>
      </c>
      <c r="N547" s="18">
        <f t="shared" si="92"/>
        <v>7</v>
      </c>
      <c r="O547" s="18">
        <f>SUMPRODUCT(P547:AI547,Sheet2!$B$3:$U$3)</f>
        <v>128820</v>
      </c>
      <c r="P547" s="18">
        <f>CEILING(INDEX([1]系统模型!$VD:$VD,MATCH(C547,[1]系统模型!$A:$A,0))*POWER(C547/220,3.8)-50+(1000-A547),1)</f>
        <v>2411</v>
      </c>
      <c r="Q547" s="18">
        <f>CEILING(INDEX([1]系统模型!$VE:$VE,MATCH(C547,[1]系统模型!$A:$A,0))*POWER(C547/220,4),1)</f>
        <v>281</v>
      </c>
      <c r="R547" s="18">
        <f>INT(INDEX([1]系统模型!$VF:$VF,MATCH(C547,[1]系统模型!$A:$A,0))*MAX(POWER(C547/180,4),0.5))</f>
        <v>17945</v>
      </c>
      <c r="S547" s="5">
        <v>1000</v>
      </c>
      <c r="T547" s="25">
        <v>0</v>
      </c>
      <c r="U547" s="25">
        <v>0</v>
      </c>
      <c r="V547" s="25">
        <v>0</v>
      </c>
      <c r="W547" s="25">
        <v>0</v>
      </c>
      <c r="X547" s="25">
        <f t="shared" si="93"/>
        <v>897</v>
      </c>
      <c r="Y547" s="12">
        <v>0</v>
      </c>
      <c r="Z547" s="25">
        <v>100</v>
      </c>
      <c r="AA547" s="25">
        <v>150</v>
      </c>
      <c r="AB547" s="25">
        <v>0</v>
      </c>
      <c r="AC547" s="25">
        <v>0</v>
      </c>
      <c r="AD547" s="25">
        <v>0</v>
      </c>
      <c r="AE547" s="25">
        <f t="shared" si="94"/>
        <v>338</v>
      </c>
      <c r="AF547" s="25">
        <f t="shared" si="95"/>
        <v>338</v>
      </c>
      <c r="AG547" s="25">
        <v>0</v>
      </c>
      <c r="AH547" s="25">
        <f t="shared" si="96"/>
        <v>3925</v>
      </c>
      <c r="AI547" s="25">
        <f t="shared" si="97"/>
        <v>32</v>
      </c>
      <c r="AJ547" s="25">
        <v>1</v>
      </c>
      <c r="AK547" s="25">
        <v>1000</v>
      </c>
      <c r="AL547" s="25">
        <v>100</v>
      </c>
      <c r="AM547" s="26">
        <v>10</v>
      </c>
      <c r="AN547" s="26">
        <v>10</v>
      </c>
      <c r="AO547" s="22" t="s">
        <v>2211</v>
      </c>
      <c r="AP547" s="26">
        <v>0</v>
      </c>
      <c r="AQ547" s="26">
        <f t="shared" si="98"/>
        <v>450</v>
      </c>
      <c r="AR547" s="18" t="str">
        <f ca="1">CONCATENATE(OFFSET(Sheet1!$A$2,RANDBETWEEN(2,500),0,1,1),OFFSET(Sheet1!$A$2,RANDBETWEEN(2,500),RANDBETWEEN(1,5),1,1))</f>
        <v>克莱门斯伊文捷琳</v>
      </c>
      <c r="AS547">
        <f>SUMPRODUCT(P547:AI547,Sheet2!$B$3:$U$3)</f>
        <v>128820</v>
      </c>
    </row>
    <row r="548" spans="1:45" x14ac:dyDescent="0.15">
      <c r="A548" s="18">
        <v>547</v>
      </c>
      <c r="B548" s="18" t="s">
        <v>1088</v>
      </c>
      <c r="C548" s="18">
        <f t="shared" si="88"/>
        <v>169</v>
      </c>
      <c r="D548" s="19">
        <f t="shared" si="89"/>
        <v>3</v>
      </c>
      <c r="E548" s="19">
        <f>VLOOKUP(MOD(A548,4),各职业基础配置!C$32:D$35,2,FALSE)</f>
        <v>9</v>
      </c>
      <c r="F548" s="19">
        <f>IF(A548&lt;900,INDEX(各职业基础配置!C$23:C$28,MOD(ROW(A548),4)+1),0)</f>
        <v>8</v>
      </c>
      <c r="G548" s="19">
        <f t="shared" si="90"/>
        <v>23</v>
      </c>
      <c r="H548" s="27">
        <f t="shared" si="91"/>
        <v>2</v>
      </c>
      <c r="I548" s="6" t="s">
        <v>164</v>
      </c>
      <c r="J548" s="23" t="str">
        <f>VLOOKUP(E548,各职业基础配置!$B$9:$C$12,2,FALSE)</f>
        <v>116|117|118|4201|120</v>
      </c>
      <c r="K548" s="18" t="str">
        <f>VLOOKUP(E548,各职业基础配置!$B$15:$C$18,2,FALSE)</f>
        <v>28|29|30|31</v>
      </c>
      <c r="L548" s="18" t="str">
        <f>VLOOKUP(E548,各职业基础配置!B:C,2,FALSE)</f>
        <v>[{28,1,1},{29,1,1},{30,1,1},{31,1,1},{10,1,1},{11,1,1},{12,1,1}]</v>
      </c>
      <c r="M548" s="18">
        <v>0</v>
      </c>
      <c r="N548" s="18">
        <f t="shared" si="92"/>
        <v>3</v>
      </c>
      <c r="O548" s="18">
        <f>SUMPRODUCT(P548:AI548,Sheet2!$B$3:$U$3)</f>
        <v>128795</v>
      </c>
      <c r="P548" s="18">
        <f>CEILING(INDEX([1]系统模型!$VD:$VD,MATCH(C548,[1]系统模型!$A:$A,0))*POWER(C548/220,3.8)-50+(1000-A548),1)</f>
        <v>2410</v>
      </c>
      <c r="Q548" s="18">
        <f>CEILING(INDEX([1]系统模型!$VE:$VE,MATCH(C548,[1]系统模型!$A:$A,0))*POWER(C548/220,4),1)</f>
        <v>281</v>
      </c>
      <c r="R548" s="18">
        <f>INT(INDEX([1]系统模型!$VF:$VF,MATCH(C548,[1]系统模型!$A:$A,0))*MAX(POWER(C548/180,4),0.5))</f>
        <v>17945</v>
      </c>
      <c r="S548" s="5">
        <v>1000</v>
      </c>
      <c r="T548" s="25">
        <v>0</v>
      </c>
      <c r="U548" s="25">
        <v>0</v>
      </c>
      <c r="V548" s="25">
        <v>0</v>
      </c>
      <c r="W548" s="25">
        <v>0</v>
      </c>
      <c r="X548" s="25">
        <f t="shared" si="93"/>
        <v>897</v>
      </c>
      <c r="Y548" s="12">
        <v>0</v>
      </c>
      <c r="Z548" s="25">
        <v>100</v>
      </c>
      <c r="AA548" s="25">
        <v>150</v>
      </c>
      <c r="AB548" s="25">
        <v>0</v>
      </c>
      <c r="AC548" s="25">
        <v>0</v>
      </c>
      <c r="AD548" s="25">
        <v>0</v>
      </c>
      <c r="AE548" s="25">
        <f t="shared" si="94"/>
        <v>338</v>
      </c>
      <c r="AF548" s="25">
        <f t="shared" si="95"/>
        <v>338</v>
      </c>
      <c r="AG548" s="25">
        <v>0</v>
      </c>
      <c r="AH548" s="25">
        <f t="shared" si="96"/>
        <v>3925</v>
      </c>
      <c r="AI548" s="25">
        <f t="shared" si="97"/>
        <v>32</v>
      </c>
      <c r="AJ548" s="25">
        <v>1</v>
      </c>
      <c r="AK548" s="25">
        <v>1000</v>
      </c>
      <c r="AL548" s="25">
        <v>100</v>
      </c>
      <c r="AM548" s="26">
        <v>10</v>
      </c>
      <c r="AN548" s="26">
        <v>10</v>
      </c>
      <c r="AO548" s="22" t="s">
        <v>2211</v>
      </c>
      <c r="AP548" s="26">
        <v>0</v>
      </c>
      <c r="AQ548" s="26">
        <f t="shared" si="98"/>
        <v>450</v>
      </c>
      <c r="AR548" s="18" t="str">
        <f ca="1">CONCATENATE(OFFSET(Sheet1!$A$2,RANDBETWEEN(2,500),0,1,1),OFFSET(Sheet1!$A$2,RANDBETWEEN(2,500),RANDBETWEEN(1,5),1,1))</f>
        <v>哈灵顿卡玛</v>
      </c>
      <c r="AS548">
        <f>SUMPRODUCT(P548:AI548,Sheet2!$B$3:$U$3)</f>
        <v>128795</v>
      </c>
    </row>
    <row r="549" spans="1:45" x14ac:dyDescent="0.15">
      <c r="A549" s="18">
        <v>548</v>
      </c>
      <c r="B549" s="18" t="s">
        <v>1369</v>
      </c>
      <c r="C549" s="18">
        <f t="shared" si="88"/>
        <v>168</v>
      </c>
      <c r="D549" s="19">
        <f t="shared" si="89"/>
        <v>2</v>
      </c>
      <c r="E549" s="19">
        <f>VLOOKUP(MOD(A549,4),各职业基础配置!C$32:D$35,2,FALSE)</f>
        <v>1</v>
      </c>
      <c r="F549" s="19">
        <f>IF(A549&lt;900,INDEX(各职业基础配置!C$23:C$28,MOD(ROW(A549),4)+1),0)</f>
        <v>13</v>
      </c>
      <c r="G549" s="19">
        <f t="shared" si="90"/>
        <v>23</v>
      </c>
      <c r="H549" s="27">
        <f t="shared" si="91"/>
        <v>2</v>
      </c>
      <c r="I549" s="6" t="s">
        <v>164</v>
      </c>
      <c r="J549" s="23" t="str">
        <f>VLOOKUP(E549,各职业基础配置!$B$9:$C$12,2,FALSE)</f>
        <v>101|102|103|4201|105</v>
      </c>
      <c r="K549" s="18" t="str">
        <f>VLOOKUP(E549,各职业基础配置!$B$15:$C$18,2,FALSE)</f>
        <v>24|25|26|27</v>
      </c>
      <c r="L549" s="18" t="str">
        <f>VLOOKUP(E549,各职业基础配置!B:C,2,FALSE)</f>
        <v>[{24,1,1},{25,1,1},{26,1,1},{27,1,1},{1,1,1},{2,1,1},{3,1,1}]</v>
      </c>
      <c r="M549" s="18">
        <v>0</v>
      </c>
      <c r="N549" s="18">
        <f t="shared" si="92"/>
        <v>3</v>
      </c>
      <c r="O549" s="18">
        <f>SUMPRODUCT(P549:AI549,Sheet2!$B$3:$U$3)</f>
        <v>126076</v>
      </c>
      <c r="P549" s="18">
        <f>CEILING(INDEX([1]系统模型!$VD:$VD,MATCH(C549,[1]系统模型!$A:$A,0))*POWER(C549/220,3.8)-50+(1000-A549),1)</f>
        <v>2352</v>
      </c>
      <c r="Q549" s="18">
        <f>CEILING(INDEX([1]系统模型!$VE:$VE,MATCH(C549,[1]系统模型!$A:$A,0))*POWER(C549/220,4),1)</f>
        <v>272</v>
      </c>
      <c r="R549" s="18">
        <f>INT(INDEX([1]系统模型!$VF:$VF,MATCH(C549,[1]系统模型!$A:$A,0))*MAX(POWER(C549/180,4),0.5))</f>
        <v>17401</v>
      </c>
      <c r="S549" s="5">
        <v>1000</v>
      </c>
      <c r="T549" s="25">
        <v>0</v>
      </c>
      <c r="U549" s="25">
        <v>0</v>
      </c>
      <c r="V549" s="25">
        <v>0</v>
      </c>
      <c r="W549" s="25">
        <v>0</v>
      </c>
      <c r="X549" s="25">
        <f t="shared" si="93"/>
        <v>870</v>
      </c>
      <c r="Y549" s="12">
        <v>0</v>
      </c>
      <c r="Z549" s="25">
        <v>100</v>
      </c>
      <c r="AA549" s="25">
        <v>150</v>
      </c>
      <c r="AB549" s="25">
        <v>0</v>
      </c>
      <c r="AC549" s="25">
        <v>0</v>
      </c>
      <c r="AD549" s="25">
        <v>0</v>
      </c>
      <c r="AE549" s="25">
        <f t="shared" si="94"/>
        <v>336</v>
      </c>
      <c r="AF549" s="25">
        <f t="shared" si="95"/>
        <v>336</v>
      </c>
      <c r="AG549" s="25">
        <v>0</v>
      </c>
      <c r="AH549" s="25">
        <f t="shared" si="96"/>
        <v>3850</v>
      </c>
      <c r="AI549" s="25">
        <f t="shared" si="97"/>
        <v>31</v>
      </c>
      <c r="AJ549" s="25">
        <v>1</v>
      </c>
      <c r="AK549" s="25">
        <v>1000</v>
      </c>
      <c r="AL549" s="25">
        <v>100</v>
      </c>
      <c r="AM549" s="26">
        <v>10</v>
      </c>
      <c r="AN549" s="26">
        <v>10</v>
      </c>
      <c r="AO549" s="22" t="s">
        <v>2211</v>
      </c>
      <c r="AP549" s="26">
        <v>0</v>
      </c>
      <c r="AQ549" s="26">
        <f t="shared" si="98"/>
        <v>450</v>
      </c>
      <c r="AR549" s="18" t="str">
        <f ca="1">CONCATENATE(OFFSET(Sheet1!$A$2,RANDBETWEEN(2,500),0,1,1),OFFSET(Sheet1!$A$2,RANDBETWEEN(2,500),RANDBETWEEN(1,5),1,1))</f>
        <v>克里斯托弗单身</v>
      </c>
      <c r="AS549">
        <f>SUMPRODUCT(P549:AI549,Sheet2!$B$3:$U$3)</f>
        <v>126076</v>
      </c>
    </row>
    <row r="550" spans="1:45" x14ac:dyDescent="0.15">
      <c r="A550" s="23">
        <v>549</v>
      </c>
      <c r="B550" s="18" t="s">
        <v>941</v>
      </c>
      <c r="C550" s="18">
        <f t="shared" si="88"/>
        <v>168</v>
      </c>
      <c r="D550" s="19">
        <f t="shared" si="89"/>
        <v>3</v>
      </c>
      <c r="E550" s="19">
        <f>VLOOKUP(MOD(A550,4),各职业基础配置!C$32:D$35,2,FALSE)</f>
        <v>3</v>
      </c>
      <c r="F550" s="19">
        <f>IF(A550&lt;900,INDEX(各职业基础配置!C$23:C$28,MOD(ROW(A550),4)+1),0)</f>
        <v>14</v>
      </c>
      <c r="G550" s="19">
        <f t="shared" si="90"/>
        <v>23</v>
      </c>
      <c r="H550" s="27">
        <f t="shared" si="91"/>
        <v>2</v>
      </c>
      <c r="I550" s="6" t="s">
        <v>164</v>
      </c>
      <c r="J550" s="23" t="str">
        <f>VLOOKUP(E550,各职业基础配置!$B$9:$C$12,2,FALSE)</f>
        <v>106|107|108|4201|110</v>
      </c>
      <c r="K550" s="18" t="str">
        <f>VLOOKUP(E550,各职业基础配置!$B$15:$C$18,2,FALSE)</f>
        <v>20|21|22|23</v>
      </c>
      <c r="L550" s="18" t="str">
        <f>VLOOKUP(E550,各职业基础配置!B:C,2,FALSE)</f>
        <v>[{20,1,1},{21,1,1},{22,1,1},{23,1,1},{4,1,1},{5,1,1},{6,1,1}]</v>
      </c>
      <c r="M550" s="18">
        <v>0</v>
      </c>
      <c r="N550" s="18">
        <f t="shared" si="92"/>
        <v>7</v>
      </c>
      <c r="O550" s="18">
        <f>SUMPRODUCT(P550:AI550,Sheet2!$B$3:$U$3)</f>
        <v>126051</v>
      </c>
      <c r="P550" s="18">
        <f>CEILING(INDEX([1]系统模型!$VD:$VD,MATCH(C550,[1]系统模型!$A:$A,0))*POWER(C550/220,3.8)-50+(1000-A550),1)</f>
        <v>2351</v>
      </c>
      <c r="Q550" s="18">
        <f>CEILING(INDEX([1]系统模型!$VE:$VE,MATCH(C550,[1]系统模型!$A:$A,0))*POWER(C550/220,4),1)</f>
        <v>272</v>
      </c>
      <c r="R550" s="18">
        <f>INT(INDEX([1]系统模型!$VF:$VF,MATCH(C550,[1]系统模型!$A:$A,0))*MAX(POWER(C550/180,4),0.5))</f>
        <v>17401</v>
      </c>
      <c r="S550" s="5">
        <v>1000</v>
      </c>
      <c r="T550" s="25">
        <v>0</v>
      </c>
      <c r="U550" s="25">
        <v>0</v>
      </c>
      <c r="V550" s="25">
        <v>0</v>
      </c>
      <c r="W550" s="25">
        <v>0</v>
      </c>
      <c r="X550" s="25">
        <f t="shared" si="93"/>
        <v>870</v>
      </c>
      <c r="Y550" s="12">
        <v>0</v>
      </c>
      <c r="Z550" s="25">
        <v>100</v>
      </c>
      <c r="AA550" s="25">
        <v>150</v>
      </c>
      <c r="AB550" s="25">
        <v>0</v>
      </c>
      <c r="AC550" s="25">
        <v>0</v>
      </c>
      <c r="AD550" s="25">
        <v>0</v>
      </c>
      <c r="AE550" s="25">
        <f t="shared" si="94"/>
        <v>336</v>
      </c>
      <c r="AF550" s="25">
        <f t="shared" si="95"/>
        <v>336</v>
      </c>
      <c r="AG550" s="25">
        <v>0</v>
      </c>
      <c r="AH550" s="25">
        <f t="shared" si="96"/>
        <v>3850</v>
      </c>
      <c r="AI550" s="25">
        <f t="shared" si="97"/>
        <v>31</v>
      </c>
      <c r="AJ550" s="25">
        <v>1</v>
      </c>
      <c r="AK550" s="25">
        <v>1000</v>
      </c>
      <c r="AL550" s="25">
        <v>100</v>
      </c>
      <c r="AM550" s="26">
        <v>10</v>
      </c>
      <c r="AN550" s="26">
        <v>10</v>
      </c>
      <c r="AO550" s="22" t="s">
        <v>2211</v>
      </c>
      <c r="AP550" s="26">
        <v>0</v>
      </c>
      <c r="AQ550" s="26">
        <f t="shared" si="98"/>
        <v>450</v>
      </c>
      <c r="AR550" s="18" t="str">
        <f ca="1">CONCATENATE(OFFSET(Sheet1!$A$2,RANDBETWEEN(2,500),0,1,1),OFFSET(Sheet1!$A$2,RANDBETWEEN(2,500),RANDBETWEEN(1,5),1,1))</f>
        <v>勃特勒黛儿</v>
      </c>
      <c r="AS550">
        <f>SUMPRODUCT(P550:AI550,Sheet2!$B$3:$U$3)</f>
        <v>126051</v>
      </c>
    </row>
    <row r="551" spans="1:45" x14ac:dyDescent="0.15">
      <c r="A551" s="18">
        <v>550</v>
      </c>
      <c r="B551" s="18" t="s">
        <v>868</v>
      </c>
      <c r="C551" s="18">
        <f t="shared" si="88"/>
        <v>168</v>
      </c>
      <c r="D551" s="19">
        <f t="shared" si="89"/>
        <v>2</v>
      </c>
      <c r="E551" s="19">
        <f>VLOOKUP(MOD(A551,4),各职业基础配置!C$32:D$35,2,FALSE)</f>
        <v>6</v>
      </c>
      <c r="F551" s="19">
        <f>IF(A551&lt;900,INDEX(各职业基础配置!C$23:C$28,MOD(ROW(A551),4)+1),0)</f>
        <v>16</v>
      </c>
      <c r="G551" s="19">
        <f t="shared" si="90"/>
        <v>23</v>
      </c>
      <c r="H551" s="27">
        <f t="shared" si="91"/>
        <v>2</v>
      </c>
      <c r="I551" s="6" t="s">
        <v>164</v>
      </c>
      <c r="J551" s="23" t="str">
        <f>VLOOKUP(E551,各职业基础配置!$B$9:$C$12,2,FALSE)</f>
        <v>111|112|113|4201|115</v>
      </c>
      <c r="K551" s="18" t="str">
        <f>VLOOKUP(E551,各职业基础配置!$B$15:$C$18,2,FALSE)</f>
        <v>32|33|34</v>
      </c>
      <c r="L551" s="18" t="str">
        <f>VLOOKUP(E551,各职业基础配置!B:C,2,FALSE)</f>
        <v>[{32,1,1},{33,1,1},{34,1,1},{35,1,1},{7,1,1},{8,1,1},{9,1,1}]</v>
      </c>
      <c r="M551" s="18">
        <v>0</v>
      </c>
      <c r="N551" s="18">
        <f t="shared" si="92"/>
        <v>7</v>
      </c>
      <c r="O551" s="18">
        <f>SUMPRODUCT(P551:AI551,Sheet2!$B$3:$U$3)</f>
        <v>126026</v>
      </c>
      <c r="P551" s="18">
        <f>CEILING(INDEX([1]系统模型!$VD:$VD,MATCH(C551,[1]系统模型!$A:$A,0))*POWER(C551/220,3.8)-50+(1000-A551),1)</f>
        <v>2350</v>
      </c>
      <c r="Q551" s="18">
        <f>CEILING(INDEX([1]系统模型!$VE:$VE,MATCH(C551,[1]系统模型!$A:$A,0))*POWER(C551/220,4),1)</f>
        <v>272</v>
      </c>
      <c r="R551" s="18">
        <f>INT(INDEX([1]系统模型!$VF:$VF,MATCH(C551,[1]系统模型!$A:$A,0))*MAX(POWER(C551/180,4),0.5))</f>
        <v>17401</v>
      </c>
      <c r="S551" s="5">
        <v>1000</v>
      </c>
      <c r="T551" s="25">
        <v>0</v>
      </c>
      <c r="U551" s="25">
        <v>0</v>
      </c>
      <c r="V551" s="25">
        <v>0</v>
      </c>
      <c r="W551" s="25">
        <v>0</v>
      </c>
      <c r="X551" s="25">
        <f t="shared" si="93"/>
        <v>870</v>
      </c>
      <c r="Y551" s="12">
        <v>0</v>
      </c>
      <c r="Z551" s="25">
        <v>100</v>
      </c>
      <c r="AA551" s="25">
        <v>150</v>
      </c>
      <c r="AB551" s="25">
        <v>0</v>
      </c>
      <c r="AC551" s="25">
        <v>0</v>
      </c>
      <c r="AD551" s="25">
        <v>0</v>
      </c>
      <c r="AE551" s="25">
        <f t="shared" si="94"/>
        <v>336</v>
      </c>
      <c r="AF551" s="25">
        <f t="shared" si="95"/>
        <v>336</v>
      </c>
      <c r="AG551" s="25">
        <v>0</v>
      </c>
      <c r="AH551" s="25">
        <f t="shared" si="96"/>
        <v>3850</v>
      </c>
      <c r="AI551" s="25">
        <f t="shared" si="97"/>
        <v>31</v>
      </c>
      <c r="AJ551" s="25">
        <v>1</v>
      </c>
      <c r="AK551" s="25">
        <v>1000</v>
      </c>
      <c r="AL551" s="25">
        <v>100</v>
      </c>
      <c r="AM551" s="26">
        <v>10</v>
      </c>
      <c r="AN551" s="26">
        <v>10</v>
      </c>
      <c r="AO551" s="22" t="s">
        <v>2211</v>
      </c>
      <c r="AP551" s="26">
        <v>0</v>
      </c>
      <c r="AQ551" s="26">
        <f t="shared" si="98"/>
        <v>440</v>
      </c>
      <c r="AR551" s="18" t="str">
        <f ca="1">CONCATENATE(OFFSET(Sheet1!$A$2,RANDBETWEEN(2,500),0,1,1),OFFSET(Sheet1!$A$2,RANDBETWEEN(2,500),RANDBETWEEN(1,5),1,1))</f>
        <v>杜威迷糊</v>
      </c>
      <c r="AS551">
        <f>SUMPRODUCT(P551:AI551,Sheet2!$B$3:$U$3)</f>
        <v>126026</v>
      </c>
    </row>
    <row r="552" spans="1:45" x14ac:dyDescent="0.15">
      <c r="A552" s="18">
        <v>551</v>
      </c>
      <c r="B552" s="18" t="s">
        <v>290</v>
      </c>
      <c r="C552" s="18">
        <f t="shared" si="88"/>
        <v>168</v>
      </c>
      <c r="D552" s="19">
        <f t="shared" si="89"/>
        <v>3</v>
      </c>
      <c r="E552" s="19">
        <f>VLOOKUP(MOD(A552,4),各职业基础配置!C$32:D$35,2,FALSE)</f>
        <v>9</v>
      </c>
      <c r="F552" s="19">
        <f>IF(A552&lt;900,INDEX(各职业基础配置!C$23:C$28,MOD(ROW(A552),4)+1),0)</f>
        <v>8</v>
      </c>
      <c r="G552" s="19">
        <f t="shared" si="90"/>
        <v>23</v>
      </c>
      <c r="H552" s="27">
        <f t="shared" si="91"/>
        <v>2</v>
      </c>
      <c r="I552" s="6" t="s">
        <v>164</v>
      </c>
      <c r="J552" s="23" t="str">
        <f>VLOOKUP(E552,各职业基础配置!$B$9:$C$12,2,FALSE)</f>
        <v>116|117|118|4201|120</v>
      </c>
      <c r="K552" s="18" t="str">
        <f>VLOOKUP(E552,各职业基础配置!$B$15:$C$18,2,FALSE)</f>
        <v>28|29|30|31</v>
      </c>
      <c r="L552" s="18" t="str">
        <f>VLOOKUP(E552,各职业基础配置!B:C,2,FALSE)</f>
        <v>[{28,1,1},{29,1,1},{30,1,1},{31,1,1},{10,1,1},{11,1,1},{12,1,1}]</v>
      </c>
      <c r="M552" s="18">
        <v>0</v>
      </c>
      <c r="N552" s="18">
        <f t="shared" si="92"/>
        <v>3</v>
      </c>
      <c r="O552" s="18">
        <f>SUMPRODUCT(P552:AI552,Sheet2!$B$3:$U$3)</f>
        <v>126001</v>
      </c>
      <c r="P552" s="18">
        <f>CEILING(INDEX([1]系统模型!$VD:$VD,MATCH(C552,[1]系统模型!$A:$A,0))*POWER(C552/220,3.8)-50+(1000-A552),1)</f>
        <v>2349</v>
      </c>
      <c r="Q552" s="18">
        <f>CEILING(INDEX([1]系统模型!$VE:$VE,MATCH(C552,[1]系统模型!$A:$A,0))*POWER(C552/220,4),1)</f>
        <v>272</v>
      </c>
      <c r="R552" s="18">
        <f>INT(INDEX([1]系统模型!$VF:$VF,MATCH(C552,[1]系统模型!$A:$A,0))*MAX(POWER(C552/180,4),0.5))</f>
        <v>17401</v>
      </c>
      <c r="S552" s="5">
        <v>1000</v>
      </c>
      <c r="T552" s="25">
        <v>0</v>
      </c>
      <c r="U552" s="25">
        <v>0</v>
      </c>
      <c r="V552" s="25">
        <v>0</v>
      </c>
      <c r="W552" s="25">
        <v>0</v>
      </c>
      <c r="X552" s="25">
        <f t="shared" si="93"/>
        <v>870</v>
      </c>
      <c r="Y552" s="12">
        <v>0</v>
      </c>
      <c r="Z552" s="25">
        <v>100</v>
      </c>
      <c r="AA552" s="25">
        <v>150</v>
      </c>
      <c r="AB552" s="25">
        <v>0</v>
      </c>
      <c r="AC552" s="25">
        <v>0</v>
      </c>
      <c r="AD552" s="25">
        <v>0</v>
      </c>
      <c r="AE552" s="25">
        <f t="shared" si="94"/>
        <v>336</v>
      </c>
      <c r="AF552" s="25">
        <f t="shared" si="95"/>
        <v>336</v>
      </c>
      <c r="AG552" s="25">
        <v>0</v>
      </c>
      <c r="AH552" s="25">
        <f t="shared" si="96"/>
        <v>3850</v>
      </c>
      <c r="AI552" s="25">
        <f t="shared" si="97"/>
        <v>31</v>
      </c>
      <c r="AJ552" s="25">
        <v>1</v>
      </c>
      <c r="AK552" s="25">
        <v>1000</v>
      </c>
      <c r="AL552" s="25">
        <v>100</v>
      </c>
      <c r="AM552" s="26">
        <v>10</v>
      </c>
      <c r="AN552" s="26">
        <v>10</v>
      </c>
      <c r="AO552" s="22" t="s">
        <v>2211</v>
      </c>
      <c r="AP552" s="26">
        <v>0</v>
      </c>
      <c r="AQ552" s="26">
        <f t="shared" si="98"/>
        <v>440</v>
      </c>
      <c r="AR552" s="18" t="str">
        <f ca="1">CONCATENATE(OFFSET(Sheet1!$A$2,RANDBETWEEN(2,500),0,1,1),OFFSET(Sheet1!$A$2,RANDBETWEEN(2,500),RANDBETWEEN(1,5),1,1))</f>
        <v>勃特勒</v>
      </c>
      <c r="AS552">
        <f>SUMPRODUCT(P552:AI552,Sheet2!$B$3:$U$3)</f>
        <v>126001</v>
      </c>
    </row>
    <row r="553" spans="1:45" x14ac:dyDescent="0.15">
      <c r="A553" s="23">
        <v>552</v>
      </c>
      <c r="B553" s="18" t="s">
        <v>2034</v>
      </c>
      <c r="C553" s="18">
        <f t="shared" si="88"/>
        <v>168</v>
      </c>
      <c r="D553" s="19">
        <f t="shared" si="89"/>
        <v>2</v>
      </c>
      <c r="E553" s="19">
        <f>VLOOKUP(MOD(A553,4),各职业基础配置!C$32:D$35,2,FALSE)</f>
        <v>1</v>
      </c>
      <c r="F553" s="19">
        <f>IF(A553&lt;900,INDEX(各职业基础配置!C$23:C$28,MOD(ROW(A553),4)+1),0)</f>
        <v>13</v>
      </c>
      <c r="G553" s="19">
        <f t="shared" si="90"/>
        <v>23</v>
      </c>
      <c r="H553" s="27">
        <f t="shared" si="91"/>
        <v>2</v>
      </c>
      <c r="I553" s="6" t="s">
        <v>164</v>
      </c>
      <c r="J553" s="23" t="str">
        <f>VLOOKUP(E553,各职业基础配置!$B$9:$C$12,2,FALSE)</f>
        <v>101|102|103|4201|105</v>
      </c>
      <c r="K553" s="18" t="str">
        <f>VLOOKUP(E553,各职业基础配置!$B$15:$C$18,2,FALSE)</f>
        <v>24|25|26|27</v>
      </c>
      <c r="L553" s="18" t="str">
        <f>VLOOKUP(E553,各职业基础配置!B:C,2,FALSE)</f>
        <v>[{24,1,1},{25,1,1},{26,1,1},{27,1,1},{1,1,1},{2,1,1},{3,1,1}]</v>
      </c>
      <c r="M553" s="18">
        <v>0</v>
      </c>
      <c r="N553" s="18">
        <f t="shared" si="92"/>
        <v>3</v>
      </c>
      <c r="O553" s="18">
        <f>SUMPRODUCT(P553:AI553,Sheet2!$B$3:$U$3)</f>
        <v>125976</v>
      </c>
      <c r="P553" s="18">
        <f>CEILING(INDEX([1]系统模型!$VD:$VD,MATCH(C553,[1]系统模型!$A:$A,0))*POWER(C553/220,3.8)-50+(1000-A553),1)</f>
        <v>2348</v>
      </c>
      <c r="Q553" s="18">
        <f>CEILING(INDEX([1]系统模型!$VE:$VE,MATCH(C553,[1]系统模型!$A:$A,0))*POWER(C553/220,4),1)</f>
        <v>272</v>
      </c>
      <c r="R553" s="18">
        <f>INT(INDEX([1]系统模型!$VF:$VF,MATCH(C553,[1]系统模型!$A:$A,0))*MAX(POWER(C553/180,4),0.5))</f>
        <v>17401</v>
      </c>
      <c r="S553" s="5">
        <v>1000</v>
      </c>
      <c r="T553" s="25">
        <v>0</v>
      </c>
      <c r="U553" s="25">
        <v>0</v>
      </c>
      <c r="V553" s="25">
        <v>0</v>
      </c>
      <c r="W553" s="25">
        <v>0</v>
      </c>
      <c r="X553" s="25">
        <f t="shared" si="93"/>
        <v>870</v>
      </c>
      <c r="Y553" s="12">
        <v>0</v>
      </c>
      <c r="Z553" s="25">
        <v>100</v>
      </c>
      <c r="AA553" s="25">
        <v>150</v>
      </c>
      <c r="AB553" s="25">
        <v>0</v>
      </c>
      <c r="AC553" s="25">
        <v>0</v>
      </c>
      <c r="AD553" s="25">
        <v>0</v>
      </c>
      <c r="AE553" s="25">
        <f t="shared" si="94"/>
        <v>336</v>
      </c>
      <c r="AF553" s="25">
        <f t="shared" si="95"/>
        <v>336</v>
      </c>
      <c r="AG553" s="25">
        <v>0</v>
      </c>
      <c r="AH553" s="25">
        <f t="shared" si="96"/>
        <v>3850</v>
      </c>
      <c r="AI553" s="25">
        <f t="shared" si="97"/>
        <v>31</v>
      </c>
      <c r="AJ553" s="25">
        <v>1</v>
      </c>
      <c r="AK553" s="25">
        <v>1000</v>
      </c>
      <c r="AL553" s="25">
        <v>100</v>
      </c>
      <c r="AM553" s="26">
        <v>10</v>
      </c>
      <c r="AN553" s="26">
        <v>10</v>
      </c>
      <c r="AO553" s="22" t="s">
        <v>2211</v>
      </c>
      <c r="AP553" s="26">
        <v>0</v>
      </c>
      <c r="AQ553" s="26">
        <f t="shared" si="98"/>
        <v>440</v>
      </c>
      <c r="AR553" s="18" t="str">
        <f ca="1">CONCATENATE(OFFSET(Sheet1!$A$2,RANDBETWEEN(2,500),0,1,1),OFFSET(Sheet1!$A$2,RANDBETWEEN(2,500),RANDBETWEEN(1,5),1,1))</f>
        <v>海登</v>
      </c>
      <c r="AS553">
        <f>SUMPRODUCT(P553:AI553,Sheet2!$B$3:$U$3)</f>
        <v>125976</v>
      </c>
    </row>
    <row r="554" spans="1:45" x14ac:dyDescent="0.15">
      <c r="A554" s="18">
        <v>553</v>
      </c>
      <c r="B554" s="18" t="s">
        <v>2035</v>
      </c>
      <c r="C554" s="18">
        <f t="shared" si="88"/>
        <v>168</v>
      </c>
      <c r="D554" s="19">
        <f t="shared" si="89"/>
        <v>3</v>
      </c>
      <c r="E554" s="19">
        <f>VLOOKUP(MOD(A554,4),各职业基础配置!C$32:D$35,2,FALSE)</f>
        <v>3</v>
      </c>
      <c r="F554" s="19">
        <f>IF(A554&lt;900,INDEX(各职业基础配置!C$23:C$28,MOD(ROW(A554),4)+1),0)</f>
        <v>14</v>
      </c>
      <c r="G554" s="19">
        <f t="shared" si="90"/>
        <v>23</v>
      </c>
      <c r="H554" s="27">
        <f t="shared" si="91"/>
        <v>2</v>
      </c>
      <c r="I554" s="6" t="s">
        <v>164</v>
      </c>
      <c r="J554" s="23" t="str">
        <f>VLOOKUP(E554,各职业基础配置!$B$9:$C$12,2,FALSE)</f>
        <v>106|107|108|4201|110</v>
      </c>
      <c r="K554" s="18" t="str">
        <f>VLOOKUP(E554,各职业基础配置!$B$15:$C$18,2,FALSE)</f>
        <v>20|21|22|23</v>
      </c>
      <c r="L554" s="18" t="str">
        <f>VLOOKUP(E554,各职业基础配置!B:C,2,FALSE)</f>
        <v>[{20,1,1},{21,1,1},{22,1,1},{23,1,1},{4,1,1},{5,1,1},{6,1,1}]</v>
      </c>
      <c r="M554" s="18">
        <v>0</v>
      </c>
      <c r="N554" s="18">
        <f t="shared" si="92"/>
        <v>7</v>
      </c>
      <c r="O554" s="18">
        <f>SUMPRODUCT(P554:AI554,Sheet2!$B$3:$U$3)</f>
        <v>125951</v>
      </c>
      <c r="P554" s="18">
        <f>CEILING(INDEX([1]系统模型!$VD:$VD,MATCH(C554,[1]系统模型!$A:$A,0))*POWER(C554/220,3.8)-50+(1000-A554),1)</f>
        <v>2347</v>
      </c>
      <c r="Q554" s="18">
        <f>CEILING(INDEX([1]系统模型!$VE:$VE,MATCH(C554,[1]系统模型!$A:$A,0))*POWER(C554/220,4),1)</f>
        <v>272</v>
      </c>
      <c r="R554" s="18">
        <f>INT(INDEX([1]系统模型!$VF:$VF,MATCH(C554,[1]系统模型!$A:$A,0))*MAX(POWER(C554/180,4),0.5))</f>
        <v>17401</v>
      </c>
      <c r="S554" s="5">
        <v>1000</v>
      </c>
      <c r="T554" s="25">
        <v>0</v>
      </c>
      <c r="U554" s="25">
        <v>0</v>
      </c>
      <c r="V554" s="25">
        <v>0</v>
      </c>
      <c r="W554" s="25">
        <v>0</v>
      </c>
      <c r="X554" s="25">
        <f t="shared" si="93"/>
        <v>870</v>
      </c>
      <c r="Y554" s="12">
        <v>0</v>
      </c>
      <c r="Z554" s="25">
        <v>100</v>
      </c>
      <c r="AA554" s="25">
        <v>150</v>
      </c>
      <c r="AB554" s="25">
        <v>0</v>
      </c>
      <c r="AC554" s="25">
        <v>0</v>
      </c>
      <c r="AD554" s="25">
        <v>0</v>
      </c>
      <c r="AE554" s="25">
        <f t="shared" si="94"/>
        <v>336</v>
      </c>
      <c r="AF554" s="25">
        <f t="shared" si="95"/>
        <v>336</v>
      </c>
      <c r="AG554" s="25">
        <v>0</v>
      </c>
      <c r="AH554" s="25">
        <f t="shared" si="96"/>
        <v>3850</v>
      </c>
      <c r="AI554" s="25">
        <f t="shared" si="97"/>
        <v>31</v>
      </c>
      <c r="AJ554" s="25">
        <v>1</v>
      </c>
      <c r="AK554" s="25">
        <v>1000</v>
      </c>
      <c r="AL554" s="25">
        <v>100</v>
      </c>
      <c r="AM554" s="26">
        <v>10</v>
      </c>
      <c r="AN554" s="26">
        <v>10</v>
      </c>
      <c r="AO554" s="22" t="s">
        <v>2211</v>
      </c>
      <c r="AP554" s="26">
        <v>0</v>
      </c>
      <c r="AQ554" s="26">
        <f t="shared" si="98"/>
        <v>440</v>
      </c>
      <c r="AR554" s="18" t="str">
        <f ca="1">CONCATENATE(OFFSET(Sheet1!$A$2,RANDBETWEEN(2,500),0,1,1),OFFSET(Sheet1!$A$2,RANDBETWEEN(2,500),RANDBETWEEN(1,5),1,1))</f>
        <v>亨廷顿翠西</v>
      </c>
      <c r="AS554">
        <f>SUMPRODUCT(P554:AI554,Sheet2!$B$3:$U$3)</f>
        <v>125951</v>
      </c>
    </row>
    <row r="555" spans="1:45" x14ac:dyDescent="0.15">
      <c r="A555" s="18">
        <v>554</v>
      </c>
      <c r="B555" s="18" t="s">
        <v>2036</v>
      </c>
      <c r="C555" s="18">
        <f t="shared" si="88"/>
        <v>168</v>
      </c>
      <c r="D555" s="19">
        <f t="shared" si="89"/>
        <v>2</v>
      </c>
      <c r="E555" s="19">
        <f>VLOOKUP(MOD(A555,4),各职业基础配置!C$32:D$35,2,FALSE)</f>
        <v>6</v>
      </c>
      <c r="F555" s="19">
        <f>IF(A555&lt;900,INDEX(各职业基础配置!C$23:C$28,MOD(ROW(A555),4)+1),0)</f>
        <v>16</v>
      </c>
      <c r="G555" s="19">
        <f t="shared" si="90"/>
        <v>23</v>
      </c>
      <c r="H555" s="27">
        <f t="shared" si="91"/>
        <v>2</v>
      </c>
      <c r="I555" s="6" t="s">
        <v>164</v>
      </c>
      <c r="J555" s="23" t="str">
        <f>VLOOKUP(E555,各职业基础配置!$B$9:$C$12,2,FALSE)</f>
        <v>111|112|113|4201|115</v>
      </c>
      <c r="K555" s="18" t="str">
        <f>VLOOKUP(E555,各职业基础配置!$B$15:$C$18,2,FALSE)</f>
        <v>32|33|34</v>
      </c>
      <c r="L555" s="18" t="str">
        <f>VLOOKUP(E555,各职业基础配置!B:C,2,FALSE)</f>
        <v>[{32,1,1},{33,1,1},{34,1,1},{35,1,1},{7,1,1},{8,1,1},{9,1,1}]</v>
      </c>
      <c r="M555" s="18">
        <v>0</v>
      </c>
      <c r="N555" s="18">
        <f t="shared" si="92"/>
        <v>7</v>
      </c>
      <c r="O555" s="18">
        <f>SUMPRODUCT(P555:AI555,Sheet2!$B$3:$U$3)</f>
        <v>125926</v>
      </c>
      <c r="P555" s="18">
        <f>CEILING(INDEX([1]系统模型!$VD:$VD,MATCH(C555,[1]系统模型!$A:$A,0))*POWER(C555/220,3.8)-50+(1000-A555),1)</f>
        <v>2346</v>
      </c>
      <c r="Q555" s="18">
        <f>CEILING(INDEX([1]系统模型!$VE:$VE,MATCH(C555,[1]系统模型!$A:$A,0))*POWER(C555/220,4),1)</f>
        <v>272</v>
      </c>
      <c r="R555" s="18">
        <f>INT(INDEX([1]系统模型!$VF:$VF,MATCH(C555,[1]系统模型!$A:$A,0))*MAX(POWER(C555/180,4),0.5))</f>
        <v>17401</v>
      </c>
      <c r="S555" s="5">
        <v>1000</v>
      </c>
      <c r="T555" s="25">
        <v>0</v>
      </c>
      <c r="U555" s="25">
        <v>0</v>
      </c>
      <c r="V555" s="25">
        <v>0</v>
      </c>
      <c r="W555" s="25">
        <v>0</v>
      </c>
      <c r="X555" s="25">
        <f t="shared" si="93"/>
        <v>870</v>
      </c>
      <c r="Y555" s="12">
        <v>0</v>
      </c>
      <c r="Z555" s="25">
        <v>100</v>
      </c>
      <c r="AA555" s="25">
        <v>150</v>
      </c>
      <c r="AB555" s="25">
        <v>0</v>
      </c>
      <c r="AC555" s="25">
        <v>0</v>
      </c>
      <c r="AD555" s="25">
        <v>0</v>
      </c>
      <c r="AE555" s="25">
        <f t="shared" si="94"/>
        <v>336</v>
      </c>
      <c r="AF555" s="25">
        <f t="shared" si="95"/>
        <v>336</v>
      </c>
      <c r="AG555" s="25">
        <v>0</v>
      </c>
      <c r="AH555" s="25">
        <f t="shared" si="96"/>
        <v>3850</v>
      </c>
      <c r="AI555" s="25">
        <f t="shared" si="97"/>
        <v>31</v>
      </c>
      <c r="AJ555" s="25">
        <v>1</v>
      </c>
      <c r="AK555" s="25">
        <v>1000</v>
      </c>
      <c r="AL555" s="25">
        <v>100</v>
      </c>
      <c r="AM555" s="26">
        <v>10</v>
      </c>
      <c r="AN555" s="26">
        <v>10</v>
      </c>
      <c r="AO555" s="22" t="s">
        <v>2211</v>
      </c>
      <c r="AP555" s="26">
        <v>0</v>
      </c>
      <c r="AQ555" s="26">
        <f t="shared" si="98"/>
        <v>440</v>
      </c>
      <c r="AR555" s="18" t="str">
        <f ca="1">CONCATENATE(OFFSET(Sheet1!$A$2,RANDBETWEEN(2,500),0,1,1),OFFSET(Sheet1!$A$2,RANDBETWEEN(2,500),RANDBETWEEN(1,5),1,1))</f>
        <v>多宾妮可</v>
      </c>
      <c r="AS555">
        <f>SUMPRODUCT(P555:AI555,Sheet2!$B$3:$U$3)</f>
        <v>125926</v>
      </c>
    </row>
    <row r="556" spans="1:45" x14ac:dyDescent="0.15">
      <c r="A556" s="23">
        <v>555</v>
      </c>
      <c r="B556" s="18" t="s">
        <v>464</v>
      </c>
      <c r="C556" s="18">
        <f t="shared" si="88"/>
        <v>167</v>
      </c>
      <c r="D556" s="19">
        <f t="shared" si="89"/>
        <v>3</v>
      </c>
      <c r="E556" s="19">
        <f>VLOOKUP(MOD(A556,4),各职业基础配置!C$32:D$35,2,FALSE)</f>
        <v>9</v>
      </c>
      <c r="F556" s="19">
        <f>IF(A556&lt;900,INDEX(各职业基础配置!C$23:C$28,MOD(ROW(A556),4)+1),0)</f>
        <v>8</v>
      </c>
      <c r="G556" s="19">
        <f t="shared" si="90"/>
        <v>22</v>
      </c>
      <c r="H556" s="27">
        <f t="shared" si="91"/>
        <v>2</v>
      </c>
      <c r="I556" s="6" t="s">
        <v>164</v>
      </c>
      <c r="J556" s="23" t="str">
        <f>VLOOKUP(E556,各职业基础配置!$B$9:$C$12,2,FALSE)</f>
        <v>116|117|118|4201|120</v>
      </c>
      <c r="K556" s="18" t="str">
        <f>VLOOKUP(E556,各职业基础配置!$B$15:$C$18,2,FALSE)</f>
        <v>28|29|30|31</v>
      </c>
      <c r="L556" s="18" t="str">
        <f>VLOOKUP(E556,各职业基础配置!B:C,2,FALSE)</f>
        <v>[{28,1,1},{29,1,1},{30,1,1},{31,1,1},{10,1,1},{11,1,1},{12,1,1}]</v>
      </c>
      <c r="M556" s="18">
        <v>0</v>
      </c>
      <c r="N556" s="18">
        <f t="shared" si="92"/>
        <v>3</v>
      </c>
      <c r="O556" s="18">
        <f>SUMPRODUCT(P556:AI556,Sheet2!$B$3:$U$3)</f>
        <v>123290</v>
      </c>
      <c r="P556" s="18">
        <f>CEILING(INDEX([1]系统模型!$VD:$VD,MATCH(C556,[1]系统模型!$A:$A,0))*POWER(C556/220,3.8)-50+(1000-A556),1)</f>
        <v>2291</v>
      </c>
      <c r="Q556" s="18">
        <f>CEILING(INDEX([1]系统模型!$VE:$VE,MATCH(C556,[1]系统模型!$A:$A,0))*POWER(C556/220,4),1)</f>
        <v>263</v>
      </c>
      <c r="R556" s="18">
        <f>INT(INDEX([1]系统模型!$VF:$VF,MATCH(C556,[1]系统模型!$A:$A,0))*MAX(POWER(C556/180,4),0.5))</f>
        <v>16865</v>
      </c>
      <c r="S556" s="5">
        <v>1000</v>
      </c>
      <c r="T556" s="25">
        <v>0</v>
      </c>
      <c r="U556" s="25">
        <v>0</v>
      </c>
      <c r="V556" s="25">
        <v>0</v>
      </c>
      <c r="W556" s="25">
        <v>0</v>
      </c>
      <c r="X556" s="25">
        <f t="shared" si="93"/>
        <v>843</v>
      </c>
      <c r="Y556" s="12">
        <v>0</v>
      </c>
      <c r="Z556" s="25">
        <v>100</v>
      </c>
      <c r="AA556" s="25">
        <v>150</v>
      </c>
      <c r="AB556" s="25">
        <v>0</v>
      </c>
      <c r="AC556" s="25">
        <v>0</v>
      </c>
      <c r="AD556" s="25">
        <v>0</v>
      </c>
      <c r="AE556" s="25">
        <f t="shared" si="94"/>
        <v>334</v>
      </c>
      <c r="AF556" s="25">
        <f t="shared" si="95"/>
        <v>334</v>
      </c>
      <c r="AG556" s="25">
        <v>0</v>
      </c>
      <c r="AH556" s="25">
        <f t="shared" si="96"/>
        <v>3775</v>
      </c>
      <c r="AI556" s="25">
        <f t="shared" si="97"/>
        <v>30</v>
      </c>
      <c r="AJ556" s="25">
        <v>1</v>
      </c>
      <c r="AK556" s="25">
        <v>1000</v>
      </c>
      <c r="AL556" s="25">
        <v>100</v>
      </c>
      <c r="AM556" s="26">
        <v>10</v>
      </c>
      <c r="AN556" s="26">
        <v>10</v>
      </c>
      <c r="AO556" s="22" t="s">
        <v>2211</v>
      </c>
      <c r="AP556" s="26">
        <v>0</v>
      </c>
      <c r="AQ556" s="26">
        <f t="shared" si="98"/>
        <v>440</v>
      </c>
      <c r="AR556" s="18" t="str">
        <f ca="1">CONCATENATE(OFFSET(Sheet1!$A$2,RANDBETWEEN(2,500),0,1,1),OFFSET(Sheet1!$A$2,RANDBETWEEN(2,500),RANDBETWEEN(1,5),1,1))</f>
        <v>贝蒂</v>
      </c>
      <c r="AS556">
        <f>SUMPRODUCT(P556:AI556,Sheet2!$B$3:$U$3)</f>
        <v>123290</v>
      </c>
    </row>
    <row r="557" spans="1:45" x14ac:dyDescent="0.15">
      <c r="A557" s="18">
        <v>556</v>
      </c>
      <c r="B557" s="18" t="s">
        <v>1267</v>
      </c>
      <c r="C557" s="18">
        <f t="shared" si="88"/>
        <v>167</v>
      </c>
      <c r="D557" s="19">
        <f t="shared" si="89"/>
        <v>2</v>
      </c>
      <c r="E557" s="19">
        <f>VLOOKUP(MOD(A557,4),各职业基础配置!C$32:D$35,2,FALSE)</f>
        <v>1</v>
      </c>
      <c r="F557" s="19">
        <f>IF(A557&lt;900,INDEX(各职业基础配置!C$23:C$28,MOD(ROW(A557),4)+1),0)</f>
        <v>13</v>
      </c>
      <c r="G557" s="19">
        <f t="shared" si="90"/>
        <v>22</v>
      </c>
      <c r="H557" s="27">
        <f t="shared" si="91"/>
        <v>2</v>
      </c>
      <c r="I557" s="6" t="s">
        <v>164</v>
      </c>
      <c r="J557" s="23" t="str">
        <f>VLOOKUP(E557,各职业基础配置!$B$9:$C$12,2,FALSE)</f>
        <v>101|102|103|4201|105</v>
      </c>
      <c r="K557" s="18" t="str">
        <f>VLOOKUP(E557,各职业基础配置!$B$15:$C$18,2,FALSE)</f>
        <v>24|25|26|27</v>
      </c>
      <c r="L557" s="18" t="str">
        <f>VLOOKUP(E557,各职业基础配置!B:C,2,FALSE)</f>
        <v>[{24,1,1},{25,1,1},{26,1,1},{27,1,1},{1,1,1},{2,1,1},{3,1,1}]</v>
      </c>
      <c r="M557" s="18">
        <v>0</v>
      </c>
      <c r="N557" s="18">
        <f t="shared" si="92"/>
        <v>3</v>
      </c>
      <c r="O557" s="18">
        <f>SUMPRODUCT(P557:AI557,Sheet2!$B$3:$U$3)</f>
        <v>123265</v>
      </c>
      <c r="P557" s="18">
        <f>CEILING(INDEX([1]系统模型!$VD:$VD,MATCH(C557,[1]系统模型!$A:$A,0))*POWER(C557/220,3.8)-50+(1000-A557),1)</f>
        <v>2290</v>
      </c>
      <c r="Q557" s="18">
        <f>CEILING(INDEX([1]系统模型!$VE:$VE,MATCH(C557,[1]系统模型!$A:$A,0))*POWER(C557/220,4),1)</f>
        <v>263</v>
      </c>
      <c r="R557" s="18">
        <f>INT(INDEX([1]系统模型!$VF:$VF,MATCH(C557,[1]系统模型!$A:$A,0))*MAX(POWER(C557/180,4),0.5))</f>
        <v>16865</v>
      </c>
      <c r="S557" s="5">
        <v>1000</v>
      </c>
      <c r="T557" s="25">
        <v>0</v>
      </c>
      <c r="U557" s="25">
        <v>0</v>
      </c>
      <c r="V557" s="25">
        <v>0</v>
      </c>
      <c r="W557" s="25">
        <v>0</v>
      </c>
      <c r="X557" s="25">
        <f t="shared" si="93"/>
        <v>843</v>
      </c>
      <c r="Y557" s="12">
        <v>0</v>
      </c>
      <c r="Z557" s="25">
        <v>100</v>
      </c>
      <c r="AA557" s="25">
        <v>150</v>
      </c>
      <c r="AB557" s="25">
        <v>0</v>
      </c>
      <c r="AC557" s="25">
        <v>0</v>
      </c>
      <c r="AD557" s="25">
        <v>0</v>
      </c>
      <c r="AE557" s="25">
        <f t="shared" si="94"/>
        <v>334</v>
      </c>
      <c r="AF557" s="25">
        <f t="shared" si="95"/>
        <v>334</v>
      </c>
      <c r="AG557" s="25">
        <v>0</v>
      </c>
      <c r="AH557" s="25">
        <f t="shared" si="96"/>
        <v>3775</v>
      </c>
      <c r="AI557" s="25">
        <f t="shared" si="97"/>
        <v>30</v>
      </c>
      <c r="AJ557" s="25">
        <v>1</v>
      </c>
      <c r="AK557" s="25">
        <v>1000</v>
      </c>
      <c r="AL557" s="25">
        <v>100</v>
      </c>
      <c r="AM557" s="26">
        <v>10</v>
      </c>
      <c r="AN557" s="26">
        <v>10</v>
      </c>
      <c r="AO557" s="22" t="s">
        <v>2211</v>
      </c>
      <c r="AP557" s="26">
        <v>0</v>
      </c>
      <c r="AQ557" s="26">
        <f t="shared" si="98"/>
        <v>440</v>
      </c>
      <c r="AR557" s="18" t="str">
        <f ca="1">CONCATENATE(OFFSET(Sheet1!$A$2,RANDBETWEEN(2,500),0,1,1),OFFSET(Sheet1!$A$2,RANDBETWEEN(2,500),RANDBETWEEN(1,5),1,1))</f>
        <v>福斯特</v>
      </c>
      <c r="AS557">
        <f>SUMPRODUCT(P557:AI557,Sheet2!$B$3:$U$3)</f>
        <v>123265</v>
      </c>
    </row>
    <row r="558" spans="1:45" x14ac:dyDescent="0.15">
      <c r="A558" s="18">
        <v>557</v>
      </c>
      <c r="B558" s="18" t="s">
        <v>397</v>
      </c>
      <c r="C558" s="18">
        <f t="shared" si="88"/>
        <v>167</v>
      </c>
      <c r="D558" s="19">
        <f t="shared" si="89"/>
        <v>3</v>
      </c>
      <c r="E558" s="19">
        <f>VLOOKUP(MOD(A558,4),各职业基础配置!C$32:D$35,2,FALSE)</f>
        <v>3</v>
      </c>
      <c r="F558" s="19">
        <f>IF(A558&lt;900,INDEX(各职业基础配置!C$23:C$28,MOD(ROW(A558),4)+1),0)</f>
        <v>14</v>
      </c>
      <c r="G558" s="19">
        <f t="shared" si="90"/>
        <v>22</v>
      </c>
      <c r="H558" s="27">
        <f t="shared" si="91"/>
        <v>2</v>
      </c>
      <c r="I558" s="6" t="s">
        <v>164</v>
      </c>
      <c r="J558" s="23" t="str">
        <f>VLOOKUP(E558,各职业基础配置!$B$9:$C$12,2,FALSE)</f>
        <v>106|107|108|4201|110</v>
      </c>
      <c r="K558" s="18" t="str">
        <f>VLOOKUP(E558,各职业基础配置!$B$15:$C$18,2,FALSE)</f>
        <v>20|21|22|23</v>
      </c>
      <c r="L558" s="18" t="str">
        <f>VLOOKUP(E558,各职业基础配置!B:C,2,FALSE)</f>
        <v>[{20,1,1},{21,1,1},{22,1,1},{23,1,1},{4,1,1},{5,1,1},{6,1,1}]</v>
      </c>
      <c r="M558" s="18">
        <v>0</v>
      </c>
      <c r="N558" s="18">
        <f t="shared" si="92"/>
        <v>7</v>
      </c>
      <c r="O558" s="18">
        <f>SUMPRODUCT(P558:AI558,Sheet2!$B$3:$U$3)</f>
        <v>123240</v>
      </c>
      <c r="P558" s="18">
        <f>CEILING(INDEX([1]系统模型!$VD:$VD,MATCH(C558,[1]系统模型!$A:$A,0))*POWER(C558/220,3.8)-50+(1000-A558),1)</f>
        <v>2289</v>
      </c>
      <c r="Q558" s="18">
        <f>CEILING(INDEX([1]系统模型!$VE:$VE,MATCH(C558,[1]系统模型!$A:$A,0))*POWER(C558/220,4),1)</f>
        <v>263</v>
      </c>
      <c r="R558" s="18">
        <f>INT(INDEX([1]系统模型!$VF:$VF,MATCH(C558,[1]系统模型!$A:$A,0))*MAX(POWER(C558/180,4),0.5))</f>
        <v>16865</v>
      </c>
      <c r="S558" s="5">
        <v>1000</v>
      </c>
      <c r="T558" s="25">
        <v>0</v>
      </c>
      <c r="U558" s="25">
        <v>0</v>
      </c>
      <c r="V558" s="25">
        <v>0</v>
      </c>
      <c r="W558" s="25">
        <v>0</v>
      </c>
      <c r="X558" s="25">
        <f t="shared" si="93"/>
        <v>843</v>
      </c>
      <c r="Y558" s="12">
        <v>0</v>
      </c>
      <c r="Z558" s="25">
        <v>100</v>
      </c>
      <c r="AA558" s="25">
        <v>150</v>
      </c>
      <c r="AB558" s="25">
        <v>0</v>
      </c>
      <c r="AC558" s="25">
        <v>0</v>
      </c>
      <c r="AD558" s="25">
        <v>0</v>
      </c>
      <c r="AE558" s="25">
        <f t="shared" si="94"/>
        <v>334</v>
      </c>
      <c r="AF558" s="25">
        <f t="shared" si="95"/>
        <v>334</v>
      </c>
      <c r="AG558" s="25">
        <v>0</v>
      </c>
      <c r="AH558" s="25">
        <f t="shared" si="96"/>
        <v>3775</v>
      </c>
      <c r="AI558" s="25">
        <f t="shared" si="97"/>
        <v>30</v>
      </c>
      <c r="AJ558" s="25">
        <v>1</v>
      </c>
      <c r="AK558" s="25">
        <v>1000</v>
      </c>
      <c r="AL558" s="25">
        <v>100</v>
      </c>
      <c r="AM558" s="26">
        <v>10</v>
      </c>
      <c r="AN558" s="26">
        <v>10</v>
      </c>
      <c r="AO558" s="22" t="s">
        <v>2211</v>
      </c>
      <c r="AP558" s="26">
        <v>0</v>
      </c>
      <c r="AQ558" s="26">
        <f t="shared" si="98"/>
        <v>440</v>
      </c>
      <c r="AR558" s="18" t="str">
        <f ca="1">CONCATENATE(OFFSET(Sheet1!$A$2,RANDBETWEEN(2,500),0,1,1),OFFSET(Sheet1!$A$2,RANDBETWEEN(2,500),RANDBETWEEN(1,5),1,1))</f>
        <v>博比</v>
      </c>
      <c r="AS558">
        <f>SUMPRODUCT(P558:AI558,Sheet2!$B$3:$U$3)</f>
        <v>123240</v>
      </c>
    </row>
    <row r="559" spans="1:45" x14ac:dyDescent="0.15">
      <c r="A559" s="23">
        <v>558</v>
      </c>
      <c r="B559" s="18" t="s">
        <v>2037</v>
      </c>
      <c r="C559" s="18">
        <f t="shared" si="88"/>
        <v>167</v>
      </c>
      <c r="D559" s="19">
        <f t="shared" si="89"/>
        <v>2</v>
      </c>
      <c r="E559" s="19">
        <f>VLOOKUP(MOD(A559,4),各职业基础配置!C$32:D$35,2,FALSE)</f>
        <v>6</v>
      </c>
      <c r="F559" s="19">
        <f>IF(A559&lt;900,INDEX(各职业基础配置!C$23:C$28,MOD(ROW(A559),4)+1),0)</f>
        <v>16</v>
      </c>
      <c r="G559" s="19">
        <f t="shared" si="90"/>
        <v>22</v>
      </c>
      <c r="H559" s="27">
        <f t="shared" si="91"/>
        <v>2</v>
      </c>
      <c r="I559" s="6" t="s">
        <v>164</v>
      </c>
      <c r="J559" s="23" t="str">
        <f>VLOOKUP(E559,各职业基础配置!$B$9:$C$12,2,FALSE)</f>
        <v>111|112|113|4201|115</v>
      </c>
      <c r="K559" s="18" t="str">
        <f>VLOOKUP(E559,各职业基础配置!$B$15:$C$18,2,FALSE)</f>
        <v>32|33|34</v>
      </c>
      <c r="L559" s="18" t="str">
        <f>VLOOKUP(E559,各职业基础配置!B:C,2,FALSE)</f>
        <v>[{32,1,1},{33,1,1},{34,1,1},{35,1,1},{7,1,1},{8,1,1},{9,1,1}]</v>
      </c>
      <c r="M559" s="18">
        <v>0</v>
      </c>
      <c r="N559" s="18">
        <f t="shared" si="92"/>
        <v>7</v>
      </c>
      <c r="O559" s="18">
        <f>SUMPRODUCT(P559:AI559,Sheet2!$B$3:$U$3)</f>
        <v>123215</v>
      </c>
      <c r="P559" s="18">
        <f>CEILING(INDEX([1]系统模型!$VD:$VD,MATCH(C559,[1]系统模型!$A:$A,0))*POWER(C559/220,3.8)-50+(1000-A559),1)</f>
        <v>2288</v>
      </c>
      <c r="Q559" s="18">
        <f>CEILING(INDEX([1]系统模型!$VE:$VE,MATCH(C559,[1]系统模型!$A:$A,0))*POWER(C559/220,4),1)</f>
        <v>263</v>
      </c>
      <c r="R559" s="18">
        <f>INT(INDEX([1]系统模型!$VF:$VF,MATCH(C559,[1]系统模型!$A:$A,0))*MAX(POWER(C559/180,4),0.5))</f>
        <v>16865</v>
      </c>
      <c r="S559" s="5">
        <v>1000</v>
      </c>
      <c r="T559" s="25">
        <v>0</v>
      </c>
      <c r="U559" s="25">
        <v>0</v>
      </c>
      <c r="V559" s="25">
        <v>0</v>
      </c>
      <c r="W559" s="25">
        <v>0</v>
      </c>
      <c r="X559" s="25">
        <f t="shared" si="93"/>
        <v>843</v>
      </c>
      <c r="Y559" s="12">
        <v>0</v>
      </c>
      <c r="Z559" s="25">
        <v>100</v>
      </c>
      <c r="AA559" s="25">
        <v>150</v>
      </c>
      <c r="AB559" s="25">
        <v>0</v>
      </c>
      <c r="AC559" s="25">
        <v>0</v>
      </c>
      <c r="AD559" s="25">
        <v>0</v>
      </c>
      <c r="AE559" s="25">
        <f t="shared" si="94"/>
        <v>334</v>
      </c>
      <c r="AF559" s="25">
        <f t="shared" si="95"/>
        <v>334</v>
      </c>
      <c r="AG559" s="25">
        <v>0</v>
      </c>
      <c r="AH559" s="25">
        <f t="shared" si="96"/>
        <v>3775</v>
      </c>
      <c r="AI559" s="25">
        <f t="shared" si="97"/>
        <v>30</v>
      </c>
      <c r="AJ559" s="25">
        <v>1</v>
      </c>
      <c r="AK559" s="25">
        <v>1000</v>
      </c>
      <c r="AL559" s="25">
        <v>100</v>
      </c>
      <c r="AM559" s="26">
        <v>10</v>
      </c>
      <c r="AN559" s="26">
        <v>10</v>
      </c>
      <c r="AO559" s="22" t="s">
        <v>2211</v>
      </c>
      <c r="AP559" s="26">
        <v>0</v>
      </c>
      <c r="AQ559" s="26">
        <f t="shared" si="98"/>
        <v>440</v>
      </c>
      <c r="AR559" s="18" t="str">
        <f ca="1">CONCATENATE(OFFSET(Sheet1!$A$2,RANDBETWEEN(2,500),0,1,1),OFFSET(Sheet1!$A$2,RANDBETWEEN(2,500),RANDBETWEEN(1,5),1,1))</f>
        <v>奥斯汀</v>
      </c>
      <c r="AS559">
        <f>SUMPRODUCT(P559:AI559,Sheet2!$B$3:$U$3)</f>
        <v>123215</v>
      </c>
    </row>
    <row r="560" spans="1:45" x14ac:dyDescent="0.15">
      <c r="A560" s="18">
        <v>559</v>
      </c>
      <c r="B560" s="18" t="s">
        <v>1012</v>
      </c>
      <c r="C560" s="18">
        <f t="shared" si="88"/>
        <v>167</v>
      </c>
      <c r="D560" s="19">
        <f t="shared" si="89"/>
        <v>3</v>
      </c>
      <c r="E560" s="19">
        <f>VLOOKUP(MOD(A560,4),各职业基础配置!C$32:D$35,2,FALSE)</f>
        <v>9</v>
      </c>
      <c r="F560" s="19">
        <f>IF(A560&lt;900,INDEX(各职业基础配置!C$23:C$28,MOD(ROW(A560),4)+1),0)</f>
        <v>8</v>
      </c>
      <c r="G560" s="19">
        <f t="shared" si="90"/>
        <v>22</v>
      </c>
      <c r="H560" s="27">
        <f t="shared" si="91"/>
        <v>2</v>
      </c>
      <c r="I560" s="6" t="s">
        <v>164</v>
      </c>
      <c r="J560" s="23" t="str">
        <f>VLOOKUP(E560,各职业基础配置!$B$9:$C$12,2,FALSE)</f>
        <v>116|117|118|4201|120</v>
      </c>
      <c r="K560" s="18" t="str">
        <f>VLOOKUP(E560,各职业基础配置!$B$15:$C$18,2,FALSE)</f>
        <v>28|29|30|31</v>
      </c>
      <c r="L560" s="18" t="str">
        <f>VLOOKUP(E560,各职业基础配置!B:C,2,FALSE)</f>
        <v>[{28,1,1},{29,1,1},{30,1,1},{31,1,1},{10,1,1},{11,1,1},{12,1,1}]</v>
      </c>
      <c r="M560" s="18">
        <v>0</v>
      </c>
      <c r="N560" s="18">
        <f t="shared" si="92"/>
        <v>3</v>
      </c>
      <c r="O560" s="18">
        <f>SUMPRODUCT(P560:AI560,Sheet2!$B$3:$U$3)</f>
        <v>123190</v>
      </c>
      <c r="P560" s="18">
        <f>CEILING(INDEX([1]系统模型!$VD:$VD,MATCH(C560,[1]系统模型!$A:$A,0))*POWER(C560/220,3.8)-50+(1000-A560),1)</f>
        <v>2287</v>
      </c>
      <c r="Q560" s="18">
        <f>CEILING(INDEX([1]系统模型!$VE:$VE,MATCH(C560,[1]系统模型!$A:$A,0))*POWER(C560/220,4),1)</f>
        <v>263</v>
      </c>
      <c r="R560" s="18">
        <f>INT(INDEX([1]系统模型!$VF:$VF,MATCH(C560,[1]系统模型!$A:$A,0))*MAX(POWER(C560/180,4),0.5))</f>
        <v>16865</v>
      </c>
      <c r="S560" s="5">
        <v>1000</v>
      </c>
      <c r="T560" s="25">
        <v>0</v>
      </c>
      <c r="U560" s="25">
        <v>0</v>
      </c>
      <c r="V560" s="25">
        <v>0</v>
      </c>
      <c r="W560" s="25">
        <v>0</v>
      </c>
      <c r="X560" s="25">
        <f t="shared" si="93"/>
        <v>843</v>
      </c>
      <c r="Y560" s="12">
        <v>0</v>
      </c>
      <c r="Z560" s="25">
        <v>100</v>
      </c>
      <c r="AA560" s="25">
        <v>150</v>
      </c>
      <c r="AB560" s="25">
        <v>0</v>
      </c>
      <c r="AC560" s="25">
        <v>0</v>
      </c>
      <c r="AD560" s="25">
        <v>0</v>
      </c>
      <c r="AE560" s="25">
        <f t="shared" si="94"/>
        <v>334</v>
      </c>
      <c r="AF560" s="25">
        <f t="shared" si="95"/>
        <v>334</v>
      </c>
      <c r="AG560" s="25">
        <v>0</v>
      </c>
      <c r="AH560" s="25">
        <f t="shared" si="96"/>
        <v>3775</v>
      </c>
      <c r="AI560" s="25">
        <f t="shared" si="97"/>
        <v>30</v>
      </c>
      <c r="AJ560" s="25">
        <v>1</v>
      </c>
      <c r="AK560" s="25">
        <v>1000</v>
      </c>
      <c r="AL560" s="25">
        <v>100</v>
      </c>
      <c r="AM560" s="26">
        <v>10</v>
      </c>
      <c r="AN560" s="26">
        <v>10</v>
      </c>
      <c r="AO560" s="22" t="s">
        <v>2211</v>
      </c>
      <c r="AP560" s="26">
        <v>0</v>
      </c>
      <c r="AQ560" s="26">
        <f t="shared" si="98"/>
        <v>430</v>
      </c>
      <c r="AR560" s="18" t="str">
        <f ca="1">CONCATENATE(OFFSET(Sheet1!$A$2,RANDBETWEEN(2,500),0,1,1),OFFSET(Sheet1!$A$2,RANDBETWEEN(2,500),RANDBETWEEN(1,5),1,1))</f>
        <v>考珀</v>
      </c>
      <c r="AS560">
        <f>SUMPRODUCT(P560:AI560,Sheet2!$B$3:$U$3)</f>
        <v>123190</v>
      </c>
    </row>
    <row r="561" spans="1:45" x14ac:dyDescent="0.15">
      <c r="A561" s="18">
        <v>560</v>
      </c>
      <c r="B561" s="18" t="s">
        <v>2038</v>
      </c>
      <c r="C561" s="18">
        <f t="shared" si="88"/>
        <v>167</v>
      </c>
      <c r="D561" s="19">
        <f t="shared" si="89"/>
        <v>2</v>
      </c>
      <c r="E561" s="19">
        <f>VLOOKUP(MOD(A561,4),各职业基础配置!C$32:D$35,2,FALSE)</f>
        <v>1</v>
      </c>
      <c r="F561" s="19">
        <f>IF(A561&lt;900,INDEX(各职业基础配置!C$23:C$28,MOD(ROW(A561),4)+1),0)</f>
        <v>13</v>
      </c>
      <c r="G561" s="19">
        <f t="shared" si="90"/>
        <v>22</v>
      </c>
      <c r="H561" s="27">
        <f t="shared" si="91"/>
        <v>2</v>
      </c>
      <c r="I561" s="6" t="s">
        <v>164</v>
      </c>
      <c r="J561" s="23" t="str">
        <f>VLOOKUP(E561,各职业基础配置!$B$9:$C$12,2,FALSE)</f>
        <v>101|102|103|4201|105</v>
      </c>
      <c r="K561" s="18" t="str">
        <f>VLOOKUP(E561,各职业基础配置!$B$15:$C$18,2,FALSE)</f>
        <v>24|25|26|27</v>
      </c>
      <c r="L561" s="18" t="str">
        <f>VLOOKUP(E561,各职业基础配置!B:C,2,FALSE)</f>
        <v>[{24,1,1},{25,1,1},{26,1,1},{27,1,1},{1,1,1},{2,1,1},{3,1,1}]</v>
      </c>
      <c r="M561" s="18">
        <v>0</v>
      </c>
      <c r="N561" s="18">
        <f t="shared" si="92"/>
        <v>3</v>
      </c>
      <c r="O561" s="18">
        <f>SUMPRODUCT(P561:AI561,Sheet2!$B$3:$U$3)</f>
        <v>123165</v>
      </c>
      <c r="P561" s="18">
        <f>CEILING(INDEX([1]系统模型!$VD:$VD,MATCH(C561,[1]系统模型!$A:$A,0))*POWER(C561/220,3.8)-50+(1000-A561),1)</f>
        <v>2286</v>
      </c>
      <c r="Q561" s="18">
        <f>CEILING(INDEX([1]系统模型!$VE:$VE,MATCH(C561,[1]系统模型!$A:$A,0))*POWER(C561/220,4),1)</f>
        <v>263</v>
      </c>
      <c r="R561" s="18">
        <f>INT(INDEX([1]系统模型!$VF:$VF,MATCH(C561,[1]系统模型!$A:$A,0))*MAX(POWER(C561/180,4),0.5))</f>
        <v>16865</v>
      </c>
      <c r="S561" s="5">
        <v>1000</v>
      </c>
      <c r="T561" s="25">
        <v>0</v>
      </c>
      <c r="U561" s="25">
        <v>0</v>
      </c>
      <c r="V561" s="25">
        <v>0</v>
      </c>
      <c r="W561" s="25">
        <v>0</v>
      </c>
      <c r="X561" s="25">
        <f t="shared" si="93"/>
        <v>843</v>
      </c>
      <c r="Y561" s="12">
        <v>0</v>
      </c>
      <c r="Z561" s="25">
        <v>100</v>
      </c>
      <c r="AA561" s="25">
        <v>150</v>
      </c>
      <c r="AB561" s="25">
        <v>0</v>
      </c>
      <c r="AC561" s="25">
        <v>0</v>
      </c>
      <c r="AD561" s="25">
        <v>0</v>
      </c>
      <c r="AE561" s="25">
        <f t="shared" si="94"/>
        <v>334</v>
      </c>
      <c r="AF561" s="25">
        <f t="shared" si="95"/>
        <v>334</v>
      </c>
      <c r="AG561" s="25">
        <v>0</v>
      </c>
      <c r="AH561" s="25">
        <f t="shared" si="96"/>
        <v>3775</v>
      </c>
      <c r="AI561" s="25">
        <f t="shared" si="97"/>
        <v>30</v>
      </c>
      <c r="AJ561" s="25">
        <v>1</v>
      </c>
      <c r="AK561" s="25">
        <v>1000</v>
      </c>
      <c r="AL561" s="25">
        <v>100</v>
      </c>
      <c r="AM561" s="26">
        <v>10</v>
      </c>
      <c r="AN561" s="26">
        <v>10</v>
      </c>
      <c r="AO561" s="22" t="s">
        <v>2211</v>
      </c>
      <c r="AP561" s="26">
        <v>0</v>
      </c>
      <c r="AQ561" s="26">
        <f t="shared" si="98"/>
        <v>430</v>
      </c>
      <c r="AR561" s="18" t="str">
        <f ca="1">CONCATENATE(OFFSET(Sheet1!$A$2,RANDBETWEEN(2,500),0,1,1),OFFSET(Sheet1!$A$2,RANDBETWEEN(2,500),RANDBETWEEN(1,5),1,1))</f>
        <v>艾奇逊琳</v>
      </c>
      <c r="AS561">
        <f>SUMPRODUCT(P561:AI561,Sheet2!$B$3:$U$3)</f>
        <v>123165</v>
      </c>
    </row>
    <row r="562" spans="1:45" x14ac:dyDescent="0.15">
      <c r="A562" s="23">
        <v>561</v>
      </c>
      <c r="B562" s="18" t="s">
        <v>352</v>
      </c>
      <c r="C562" s="18">
        <f t="shared" si="88"/>
        <v>166</v>
      </c>
      <c r="D562" s="19">
        <f t="shared" si="89"/>
        <v>3</v>
      </c>
      <c r="E562" s="19">
        <f>VLOOKUP(MOD(A562,4),各职业基础配置!C$32:D$35,2,FALSE)</f>
        <v>3</v>
      </c>
      <c r="F562" s="19">
        <f>IF(A562&lt;900,INDEX(各职业基础配置!C$23:C$28,MOD(ROW(A562),4)+1),0)</f>
        <v>14</v>
      </c>
      <c r="G562" s="19">
        <f t="shared" si="90"/>
        <v>21</v>
      </c>
      <c r="H562" s="27">
        <f t="shared" si="91"/>
        <v>2</v>
      </c>
      <c r="I562" s="6" t="s">
        <v>164</v>
      </c>
      <c r="J562" s="23" t="str">
        <f>VLOOKUP(E562,各职业基础配置!$B$9:$C$12,2,FALSE)</f>
        <v>106|107|108|4201|110</v>
      </c>
      <c r="K562" s="18" t="str">
        <f>VLOOKUP(E562,各职业基础配置!$B$15:$C$18,2,FALSE)</f>
        <v>20|21|22|23</v>
      </c>
      <c r="L562" s="18" t="str">
        <f>VLOOKUP(E562,各职业基础配置!B:C,2,FALSE)</f>
        <v>[{20,1,1},{21,1,1},{22,1,1},{23,1,1},{4,1,1},{5,1,1},{6,1,1}]</v>
      </c>
      <c r="M562" s="18">
        <v>0</v>
      </c>
      <c r="N562" s="18">
        <f t="shared" si="92"/>
        <v>7</v>
      </c>
      <c r="O562" s="18">
        <f>SUMPRODUCT(P562:AI562,Sheet2!$B$3:$U$3)</f>
        <v>120385</v>
      </c>
      <c r="P562" s="18">
        <f>CEILING(INDEX([1]系统模型!$VD:$VD,MATCH(C562,[1]系统模型!$A:$A,0))*POWER(C562/220,3.8)-50+(1000-A562),1)</f>
        <v>2225</v>
      </c>
      <c r="Q562" s="18">
        <f>CEILING(INDEX([1]系统模型!$VE:$VE,MATCH(C562,[1]系统模型!$A:$A,0))*POWER(C562/220,4),1)</f>
        <v>254</v>
      </c>
      <c r="R562" s="18">
        <f>INT(INDEX([1]系统模型!$VF:$VF,MATCH(C562,[1]系统模型!$A:$A,0))*MAX(POWER(C562/180,4),0.5))</f>
        <v>16335</v>
      </c>
      <c r="S562" s="5">
        <v>1000</v>
      </c>
      <c r="T562" s="25">
        <v>0</v>
      </c>
      <c r="U562" s="25">
        <v>0</v>
      </c>
      <c r="V562" s="25">
        <v>0</v>
      </c>
      <c r="W562" s="25">
        <v>0</v>
      </c>
      <c r="X562" s="25">
        <f t="shared" si="93"/>
        <v>816</v>
      </c>
      <c r="Y562" s="12">
        <v>0</v>
      </c>
      <c r="Z562" s="25">
        <v>100</v>
      </c>
      <c r="AA562" s="25">
        <v>150</v>
      </c>
      <c r="AB562" s="25">
        <v>0</v>
      </c>
      <c r="AC562" s="25">
        <v>0</v>
      </c>
      <c r="AD562" s="25">
        <v>0</v>
      </c>
      <c r="AE562" s="25">
        <f t="shared" si="94"/>
        <v>332</v>
      </c>
      <c r="AF562" s="25">
        <f t="shared" si="95"/>
        <v>332</v>
      </c>
      <c r="AG562" s="25">
        <v>0</v>
      </c>
      <c r="AH562" s="25">
        <f t="shared" si="96"/>
        <v>3700</v>
      </c>
      <c r="AI562" s="25">
        <f t="shared" si="97"/>
        <v>29</v>
      </c>
      <c r="AJ562" s="25">
        <v>1</v>
      </c>
      <c r="AK562" s="25">
        <v>1000</v>
      </c>
      <c r="AL562" s="25">
        <v>100</v>
      </c>
      <c r="AM562" s="26">
        <v>10</v>
      </c>
      <c r="AN562" s="26">
        <v>10</v>
      </c>
      <c r="AO562" s="22" t="s">
        <v>2211</v>
      </c>
      <c r="AP562" s="26">
        <v>0</v>
      </c>
      <c r="AQ562" s="26">
        <f t="shared" si="98"/>
        <v>430</v>
      </c>
      <c r="AR562" s="18" t="str">
        <f ca="1">CONCATENATE(OFFSET(Sheet1!$A$2,RANDBETWEEN(2,500),0,1,1),OFFSET(Sheet1!$A$2,RANDBETWEEN(2,500),RANDBETWEEN(1,5),1,1))</f>
        <v>康拉德优雅</v>
      </c>
      <c r="AS562">
        <f>SUMPRODUCT(P562:AI562,Sheet2!$B$3:$U$3)</f>
        <v>120385</v>
      </c>
    </row>
    <row r="563" spans="1:45" x14ac:dyDescent="0.15">
      <c r="A563" s="18">
        <v>562</v>
      </c>
      <c r="B563" s="18" t="s">
        <v>2039</v>
      </c>
      <c r="C563" s="18">
        <f t="shared" si="88"/>
        <v>166</v>
      </c>
      <c r="D563" s="19">
        <f t="shared" si="89"/>
        <v>2</v>
      </c>
      <c r="E563" s="19">
        <f>VLOOKUP(MOD(A563,4),各职业基础配置!C$32:D$35,2,FALSE)</f>
        <v>6</v>
      </c>
      <c r="F563" s="19">
        <f>IF(A563&lt;900,INDEX(各职业基础配置!C$23:C$28,MOD(ROW(A563),4)+1),0)</f>
        <v>16</v>
      </c>
      <c r="G563" s="19">
        <f t="shared" si="90"/>
        <v>21</v>
      </c>
      <c r="H563" s="27">
        <f t="shared" si="91"/>
        <v>2</v>
      </c>
      <c r="I563" s="6" t="s">
        <v>164</v>
      </c>
      <c r="J563" s="23" t="str">
        <f>VLOOKUP(E563,各职业基础配置!$B$9:$C$12,2,FALSE)</f>
        <v>111|112|113|4201|115</v>
      </c>
      <c r="K563" s="18" t="str">
        <f>VLOOKUP(E563,各职业基础配置!$B$15:$C$18,2,FALSE)</f>
        <v>32|33|34</v>
      </c>
      <c r="L563" s="18" t="str">
        <f>VLOOKUP(E563,各职业基础配置!B:C,2,FALSE)</f>
        <v>[{32,1,1},{33,1,1},{34,1,1},{35,1,1},{7,1,1},{8,1,1},{9,1,1}]</v>
      </c>
      <c r="M563" s="18">
        <v>0</v>
      </c>
      <c r="N563" s="18">
        <f t="shared" si="92"/>
        <v>7</v>
      </c>
      <c r="O563" s="18">
        <f>SUMPRODUCT(P563:AI563,Sheet2!$B$3:$U$3)</f>
        <v>120360</v>
      </c>
      <c r="P563" s="18">
        <f>CEILING(INDEX([1]系统模型!$VD:$VD,MATCH(C563,[1]系统模型!$A:$A,0))*POWER(C563/220,3.8)-50+(1000-A563),1)</f>
        <v>2224</v>
      </c>
      <c r="Q563" s="18">
        <f>CEILING(INDEX([1]系统模型!$VE:$VE,MATCH(C563,[1]系统模型!$A:$A,0))*POWER(C563/220,4),1)</f>
        <v>254</v>
      </c>
      <c r="R563" s="18">
        <f>INT(INDEX([1]系统模型!$VF:$VF,MATCH(C563,[1]系统模型!$A:$A,0))*MAX(POWER(C563/180,4),0.5))</f>
        <v>16335</v>
      </c>
      <c r="S563" s="5">
        <v>1000</v>
      </c>
      <c r="T563" s="25">
        <v>0</v>
      </c>
      <c r="U563" s="25">
        <v>0</v>
      </c>
      <c r="V563" s="25">
        <v>0</v>
      </c>
      <c r="W563" s="25">
        <v>0</v>
      </c>
      <c r="X563" s="25">
        <f t="shared" si="93"/>
        <v>816</v>
      </c>
      <c r="Y563" s="12">
        <v>0</v>
      </c>
      <c r="Z563" s="25">
        <v>100</v>
      </c>
      <c r="AA563" s="25">
        <v>150</v>
      </c>
      <c r="AB563" s="25">
        <v>0</v>
      </c>
      <c r="AC563" s="25">
        <v>0</v>
      </c>
      <c r="AD563" s="25">
        <v>0</v>
      </c>
      <c r="AE563" s="25">
        <f t="shared" si="94"/>
        <v>332</v>
      </c>
      <c r="AF563" s="25">
        <f t="shared" si="95"/>
        <v>332</v>
      </c>
      <c r="AG563" s="25">
        <v>0</v>
      </c>
      <c r="AH563" s="25">
        <f t="shared" si="96"/>
        <v>3700</v>
      </c>
      <c r="AI563" s="25">
        <f t="shared" si="97"/>
        <v>29</v>
      </c>
      <c r="AJ563" s="25">
        <v>1</v>
      </c>
      <c r="AK563" s="25">
        <v>1000</v>
      </c>
      <c r="AL563" s="25">
        <v>100</v>
      </c>
      <c r="AM563" s="26">
        <v>10</v>
      </c>
      <c r="AN563" s="26">
        <v>10</v>
      </c>
      <c r="AO563" s="22" t="s">
        <v>2211</v>
      </c>
      <c r="AP563" s="26">
        <v>0</v>
      </c>
      <c r="AQ563" s="26">
        <f t="shared" si="98"/>
        <v>430</v>
      </c>
      <c r="AR563" s="18" t="str">
        <f ca="1">CONCATENATE(OFFSET(Sheet1!$A$2,RANDBETWEEN(2,500),0,1,1),OFFSET(Sheet1!$A$2,RANDBETWEEN(2,500),RANDBETWEEN(1,5),1,1))</f>
        <v>伊迪欧阳</v>
      </c>
      <c r="AS563">
        <f>SUMPRODUCT(P563:AI563,Sheet2!$B$3:$U$3)</f>
        <v>120360</v>
      </c>
    </row>
    <row r="564" spans="1:45" x14ac:dyDescent="0.15">
      <c r="A564" s="18">
        <v>563</v>
      </c>
      <c r="B564" s="18" t="s">
        <v>257</v>
      </c>
      <c r="C564" s="18">
        <f t="shared" si="88"/>
        <v>166</v>
      </c>
      <c r="D564" s="19">
        <f t="shared" si="89"/>
        <v>3</v>
      </c>
      <c r="E564" s="19">
        <f>VLOOKUP(MOD(A564,4),各职业基础配置!C$32:D$35,2,FALSE)</f>
        <v>9</v>
      </c>
      <c r="F564" s="19">
        <f>IF(A564&lt;900,INDEX(各职业基础配置!C$23:C$28,MOD(ROW(A564),4)+1),0)</f>
        <v>8</v>
      </c>
      <c r="G564" s="19">
        <f t="shared" si="90"/>
        <v>21</v>
      </c>
      <c r="H564" s="27">
        <f t="shared" si="91"/>
        <v>2</v>
      </c>
      <c r="I564" s="6" t="s">
        <v>164</v>
      </c>
      <c r="J564" s="23" t="str">
        <f>VLOOKUP(E564,各职业基础配置!$B$9:$C$12,2,FALSE)</f>
        <v>116|117|118|4201|120</v>
      </c>
      <c r="K564" s="18" t="str">
        <f>VLOOKUP(E564,各职业基础配置!$B$15:$C$18,2,FALSE)</f>
        <v>28|29|30|31</v>
      </c>
      <c r="L564" s="18" t="str">
        <f>VLOOKUP(E564,各职业基础配置!B:C,2,FALSE)</f>
        <v>[{28,1,1},{29,1,1},{30,1,1},{31,1,1},{10,1,1},{11,1,1},{12,1,1}]</v>
      </c>
      <c r="M564" s="18">
        <v>0</v>
      </c>
      <c r="N564" s="18">
        <f t="shared" si="92"/>
        <v>3</v>
      </c>
      <c r="O564" s="18">
        <f>SUMPRODUCT(P564:AI564,Sheet2!$B$3:$U$3)</f>
        <v>120335</v>
      </c>
      <c r="P564" s="18">
        <f>CEILING(INDEX([1]系统模型!$VD:$VD,MATCH(C564,[1]系统模型!$A:$A,0))*POWER(C564/220,3.8)-50+(1000-A564),1)</f>
        <v>2223</v>
      </c>
      <c r="Q564" s="18">
        <f>CEILING(INDEX([1]系统模型!$VE:$VE,MATCH(C564,[1]系统模型!$A:$A,0))*POWER(C564/220,4),1)</f>
        <v>254</v>
      </c>
      <c r="R564" s="18">
        <f>INT(INDEX([1]系统模型!$VF:$VF,MATCH(C564,[1]系统模型!$A:$A,0))*MAX(POWER(C564/180,4),0.5))</f>
        <v>16335</v>
      </c>
      <c r="S564" s="5">
        <v>1000</v>
      </c>
      <c r="T564" s="25">
        <v>0</v>
      </c>
      <c r="U564" s="25">
        <v>0</v>
      </c>
      <c r="V564" s="25">
        <v>0</v>
      </c>
      <c r="W564" s="25">
        <v>0</v>
      </c>
      <c r="X564" s="25">
        <f t="shared" si="93"/>
        <v>816</v>
      </c>
      <c r="Y564" s="12">
        <v>0</v>
      </c>
      <c r="Z564" s="25">
        <v>100</v>
      </c>
      <c r="AA564" s="25">
        <v>150</v>
      </c>
      <c r="AB564" s="25">
        <v>0</v>
      </c>
      <c r="AC564" s="25">
        <v>0</v>
      </c>
      <c r="AD564" s="25">
        <v>0</v>
      </c>
      <c r="AE564" s="25">
        <f t="shared" si="94"/>
        <v>332</v>
      </c>
      <c r="AF564" s="25">
        <f t="shared" si="95"/>
        <v>332</v>
      </c>
      <c r="AG564" s="25">
        <v>0</v>
      </c>
      <c r="AH564" s="25">
        <f t="shared" si="96"/>
        <v>3700</v>
      </c>
      <c r="AI564" s="25">
        <f t="shared" si="97"/>
        <v>29</v>
      </c>
      <c r="AJ564" s="25">
        <v>1</v>
      </c>
      <c r="AK564" s="25">
        <v>1000</v>
      </c>
      <c r="AL564" s="25">
        <v>100</v>
      </c>
      <c r="AM564" s="26">
        <v>10</v>
      </c>
      <c r="AN564" s="26">
        <v>10</v>
      </c>
      <c r="AO564" s="22" t="s">
        <v>2211</v>
      </c>
      <c r="AP564" s="26">
        <v>0</v>
      </c>
      <c r="AQ564" s="26">
        <f t="shared" si="98"/>
        <v>430</v>
      </c>
      <c r="AR564" s="18" t="str">
        <f ca="1">CONCATENATE(OFFSET(Sheet1!$A$2,RANDBETWEEN(2,500),0,1,1),OFFSET(Sheet1!$A$2,RANDBETWEEN(2,500),RANDBETWEEN(1,5),1,1))</f>
        <v>巴比多琳</v>
      </c>
      <c r="AS564">
        <f>SUMPRODUCT(P564:AI564,Sheet2!$B$3:$U$3)</f>
        <v>120335</v>
      </c>
    </row>
    <row r="565" spans="1:45" x14ac:dyDescent="0.15">
      <c r="A565" s="23">
        <v>564</v>
      </c>
      <c r="B565" s="18" t="s">
        <v>2040</v>
      </c>
      <c r="C565" s="18">
        <f t="shared" si="88"/>
        <v>166</v>
      </c>
      <c r="D565" s="19">
        <f t="shared" si="89"/>
        <v>2</v>
      </c>
      <c r="E565" s="19">
        <f>VLOOKUP(MOD(A565,4),各职业基础配置!C$32:D$35,2,FALSE)</f>
        <v>1</v>
      </c>
      <c r="F565" s="19">
        <f>IF(A565&lt;900,INDEX(各职业基础配置!C$23:C$28,MOD(ROW(A565),4)+1),0)</f>
        <v>13</v>
      </c>
      <c r="G565" s="19">
        <f t="shared" si="90"/>
        <v>21</v>
      </c>
      <c r="H565" s="27">
        <f t="shared" si="91"/>
        <v>2</v>
      </c>
      <c r="I565" s="6" t="s">
        <v>164</v>
      </c>
      <c r="J565" s="23" t="str">
        <f>VLOOKUP(E565,各职业基础配置!$B$9:$C$12,2,FALSE)</f>
        <v>101|102|103|4201|105</v>
      </c>
      <c r="K565" s="18" t="str">
        <f>VLOOKUP(E565,各职业基础配置!$B$15:$C$18,2,FALSE)</f>
        <v>24|25|26|27</v>
      </c>
      <c r="L565" s="18" t="str">
        <f>VLOOKUP(E565,各职业基础配置!B:C,2,FALSE)</f>
        <v>[{24,1,1},{25,1,1},{26,1,1},{27,1,1},{1,1,1},{2,1,1},{3,1,1}]</v>
      </c>
      <c r="M565" s="18">
        <v>0</v>
      </c>
      <c r="N565" s="18">
        <f t="shared" si="92"/>
        <v>3</v>
      </c>
      <c r="O565" s="18">
        <f>SUMPRODUCT(P565:AI565,Sheet2!$B$3:$U$3)</f>
        <v>120310</v>
      </c>
      <c r="P565" s="18">
        <f>CEILING(INDEX([1]系统模型!$VD:$VD,MATCH(C565,[1]系统模型!$A:$A,0))*POWER(C565/220,3.8)-50+(1000-A565),1)</f>
        <v>2222</v>
      </c>
      <c r="Q565" s="18">
        <f>CEILING(INDEX([1]系统模型!$VE:$VE,MATCH(C565,[1]系统模型!$A:$A,0))*POWER(C565/220,4),1)</f>
        <v>254</v>
      </c>
      <c r="R565" s="18">
        <f>INT(INDEX([1]系统模型!$VF:$VF,MATCH(C565,[1]系统模型!$A:$A,0))*MAX(POWER(C565/180,4),0.5))</f>
        <v>16335</v>
      </c>
      <c r="S565" s="5">
        <v>1000</v>
      </c>
      <c r="T565" s="25">
        <v>0</v>
      </c>
      <c r="U565" s="25">
        <v>0</v>
      </c>
      <c r="V565" s="25">
        <v>0</v>
      </c>
      <c r="W565" s="25">
        <v>0</v>
      </c>
      <c r="X565" s="25">
        <f t="shared" si="93"/>
        <v>816</v>
      </c>
      <c r="Y565" s="12">
        <v>0</v>
      </c>
      <c r="Z565" s="25">
        <v>100</v>
      </c>
      <c r="AA565" s="25">
        <v>150</v>
      </c>
      <c r="AB565" s="25">
        <v>0</v>
      </c>
      <c r="AC565" s="25">
        <v>0</v>
      </c>
      <c r="AD565" s="25">
        <v>0</v>
      </c>
      <c r="AE565" s="25">
        <f t="shared" si="94"/>
        <v>332</v>
      </c>
      <c r="AF565" s="25">
        <f t="shared" si="95"/>
        <v>332</v>
      </c>
      <c r="AG565" s="25">
        <v>0</v>
      </c>
      <c r="AH565" s="25">
        <f t="shared" si="96"/>
        <v>3700</v>
      </c>
      <c r="AI565" s="25">
        <f t="shared" si="97"/>
        <v>29</v>
      </c>
      <c r="AJ565" s="25">
        <v>1</v>
      </c>
      <c r="AK565" s="25">
        <v>1000</v>
      </c>
      <c r="AL565" s="25">
        <v>100</v>
      </c>
      <c r="AM565" s="26">
        <v>10</v>
      </c>
      <c r="AN565" s="26">
        <v>10</v>
      </c>
      <c r="AO565" s="22" t="s">
        <v>2211</v>
      </c>
      <c r="AP565" s="26">
        <v>0</v>
      </c>
      <c r="AQ565" s="26">
        <f t="shared" si="98"/>
        <v>430</v>
      </c>
      <c r="AR565" s="18" t="str">
        <f ca="1">CONCATENATE(OFFSET(Sheet1!$A$2,RANDBETWEEN(2,500),0,1,1),OFFSET(Sheet1!$A$2,RANDBETWEEN(2,500),RANDBETWEEN(1,5),1,1))</f>
        <v>哈罗德丽莲</v>
      </c>
      <c r="AS565">
        <f>SUMPRODUCT(P565:AI565,Sheet2!$B$3:$U$3)</f>
        <v>120310</v>
      </c>
    </row>
    <row r="566" spans="1:45" x14ac:dyDescent="0.15">
      <c r="A566" s="18">
        <v>565</v>
      </c>
      <c r="B566" s="18" t="s">
        <v>2041</v>
      </c>
      <c r="C566" s="18">
        <f t="shared" si="88"/>
        <v>166</v>
      </c>
      <c r="D566" s="19">
        <f t="shared" si="89"/>
        <v>3</v>
      </c>
      <c r="E566" s="19">
        <f>VLOOKUP(MOD(A566,4),各职业基础配置!C$32:D$35,2,FALSE)</f>
        <v>3</v>
      </c>
      <c r="F566" s="19">
        <f>IF(A566&lt;900,INDEX(各职业基础配置!C$23:C$28,MOD(ROW(A566),4)+1),0)</f>
        <v>14</v>
      </c>
      <c r="G566" s="19">
        <f t="shared" si="90"/>
        <v>21</v>
      </c>
      <c r="H566" s="27">
        <f t="shared" si="91"/>
        <v>2</v>
      </c>
      <c r="I566" s="6" t="s">
        <v>164</v>
      </c>
      <c r="J566" s="23" t="str">
        <f>VLOOKUP(E566,各职业基础配置!$B$9:$C$12,2,FALSE)</f>
        <v>106|107|108|4201|110</v>
      </c>
      <c r="K566" s="18" t="str">
        <f>VLOOKUP(E566,各职业基础配置!$B$15:$C$18,2,FALSE)</f>
        <v>20|21|22|23</v>
      </c>
      <c r="L566" s="18" t="str">
        <f>VLOOKUP(E566,各职业基础配置!B:C,2,FALSE)</f>
        <v>[{20,1,1},{21,1,1},{22,1,1},{23,1,1},{4,1,1},{5,1,1},{6,1,1}]</v>
      </c>
      <c r="M566" s="18">
        <v>0</v>
      </c>
      <c r="N566" s="18">
        <f t="shared" si="92"/>
        <v>7</v>
      </c>
      <c r="O566" s="18">
        <f>SUMPRODUCT(P566:AI566,Sheet2!$B$3:$U$3)</f>
        <v>120285</v>
      </c>
      <c r="P566" s="18">
        <f>CEILING(INDEX([1]系统模型!$VD:$VD,MATCH(C566,[1]系统模型!$A:$A,0))*POWER(C566/220,3.8)-50+(1000-A566),1)</f>
        <v>2221</v>
      </c>
      <c r="Q566" s="18">
        <f>CEILING(INDEX([1]系统模型!$VE:$VE,MATCH(C566,[1]系统模型!$A:$A,0))*POWER(C566/220,4),1)</f>
        <v>254</v>
      </c>
      <c r="R566" s="18">
        <f>INT(INDEX([1]系统模型!$VF:$VF,MATCH(C566,[1]系统模型!$A:$A,0))*MAX(POWER(C566/180,4),0.5))</f>
        <v>16335</v>
      </c>
      <c r="S566" s="5">
        <v>1000</v>
      </c>
      <c r="T566" s="25">
        <v>0</v>
      </c>
      <c r="U566" s="25">
        <v>0</v>
      </c>
      <c r="V566" s="25">
        <v>0</v>
      </c>
      <c r="W566" s="25">
        <v>0</v>
      </c>
      <c r="X566" s="25">
        <f t="shared" si="93"/>
        <v>816</v>
      </c>
      <c r="Y566" s="12">
        <v>0</v>
      </c>
      <c r="Z566" s="25">
        <v>100</v>
      </c>
      <c r="AA566" s="25">
        <v>150</v>
      </c>
      <c r="AB566" s="25">
        <v>0</v>
      </c>
      <c r="AC566" s="25">
        <v>0</v>
      </c>
      <c r="AD566" s="25">
        <v>0</v>
      </c>
      <c r="AE566" s="25">
        <f t="shared" si="94"/>
        <v>332</v>
      </c>
      <c r="AF566" s="25">
        <f t="shared" si="95"/>
        <v>332</v>
      </c>
      <c r="AG566" s="25">
        <v>0</v>
      </c>
      <c r="AH566" s="25">
        <f t="shared" si="96"/>
        <v>3700</v>
      </c>
      <c r="AI566" s="25">
        <f t="shared" si="97"/>
        <v>29</v>
      </c>
      <c r="AJ566" s="25">
        <v>1</v>
      </c>
      <c r="AK566" s="25">
        <v>1000</v>
      </c>
      <c r="AL566" s="25">
        <v>100</v>
      </c>
      <c r="AM566" s="26">
        <v>10</v>
      </c>
      <c r="AN566" s="26">
        <v>10</v>
      </c>
      <c r="AO566" s="22" t="s">
        <v>2211</v>
      </c>
      <c r="AP566" s="26">
        <v>0</v>
      </c>
      <c r="AQ566" s="26">
        <f t="shared" si="98"/>
        <v>430</v>
      </c>
      <c r="AR566" s="18" t="str">
        <f ca="1">CONCATENATE(OFFSET(Sheet1!$A$2,RANDBETWEEN(2,500),0,1,1),OFFSET(Sheet1!$A$2,RANDBETWEEN(2,500),RANDBETWEEN(1,5),1,1))</f>
        <v>布龙菲尔德小倩</v>
      </c>
      <c r="AS566">
        <f>SUMPRODUCT(P566:AI566,Sheet2!$B$3:$U$3)</f>
        <v>120285</v>
      </c>
    </row>
    <row r="567" spans="1:45" x14ac:dyDescent="0.15">
      <c r="A567" s="18">
        <v>566</v>
      </c>
      <c r="B567" s="18" t="s">
        <v>2042</v>
      </c>
      <c r="C567" s="18">
        <f t="shared" si="88"/>
        <v>166</v>
      </c>
      <c r="D567" s="19">
        <f t="shared" si="89"/>
        <v>2</v>
      </c>
      <c r="E567" s="19">
        <f>VLOOKUP(MOD(A567,4),各职业基础配置!C$32:D$35,2,FALSE)</f>
        <v>6</v>
      </c>
      <c r="F567" s="19">
        <f>IF(A567&lt;900,INDEX(各职业基础配置!C$23:C$28,MOD(ROW(A567),4)+1),0)</f>
        <v>16</v>
      </c>
      <c r="G567" s="19">
        <f t="shared" si="90"/>
        <v>21</v>
      </c>
      <c r="H567" s="27">
        <f t="shared" si="91"/>
        <v>2</v>
      </c>
      <c r="I567" s="6" t="s">
        <v>164</v>
      </c>
      <c r="J567" s="23" t="str">
        <f>VLOOKUP(E567,各职业基础配置!$B$9:$C$12,2,FALSE)</f>
        <v>111|112|113|4201|115</v>
      </c>
      <c r="K567" s="18" t="str">
        <f>VLOOKUP(E567,各职业基础配置!$B$15:$C$18,2,FALSE)</f>
        <v>32|33|34</v>
      </c>
      <c r="L567" s="18" t="str">
        <f>VLOOKUP(E567,各职业基础配置!B:C,2,FALSE)</f>
        <v>[{32,1,1},{33,1,1},{34,1,1},{35,1,1},{7,1,1},{8,1,1},{9,1,1}]</v>
      </c>
      <c r="M567" s="18">
        <v>0</v>
      </c>
      <c r="N567" s="18">
        <f t="shared" si="92"/>
        <v>7</v>
      </c>
      <c r="O567" s="18">
        <f>SUMPRODUCT(P567:AI567,Sheet2!$B$3:$U$3)</f>
        <v>120260</v>
      </c>
      <c r="P567" s="18">
        <f>CEILING(INDEX([1]系统模型!$VD:$VD,MATCH(C567,[1]系统模型!$A:$A,0))*POWER(C567/220,3.8)-50+(1000-A567),1)</f>
        <v>2220</v>
      </c>
      <c r="Q567" s="18">
        <f>CEILING(INDEX([1]系统模型!$VE:$VE,MATCH(C567,[1]系统模型!$A:$A,0))*POWER(C567/220,4),1)</f>
        <v>254</v>
      </c>
      <c r="R567" s="18">
        <f>INT(INDEX([1]系统模型!$VF:$VF,MATCH(C567,[1]系统模型!$A:$A,0))*MAX(POWER(C567/180,4),0.5))</f>
        <v>16335</v>
      </c>
      <c r="S567" s="5">
        <v>1000</v>
      </c>
      <c r="T567" s="25">
        <v>0</v>
      </c>
      <c r="U567" s="25">
        <v>0</v>
      </c>
      <c r="V567" s="25">
        <v>0</v>
      </c>
      <c r="W567" s="25">
        <v>0</v>
      </c>
      <c r="X567" s="25">
        <f t="shared" si="93"/>
        <v>816</v>
      </c>
      <c r="Y567" s="12">
        <v>0</v>
      </c>
      <c r="Z567" s="25">
        <v>100</v>
      </c>
      <c r="AA567" s="25">
        <v>150</v>
      </c>
      <c r="AB567" s="25">
        <v>0</v>
      </c>
      <c r="AC567" s="25">
        <v>0</v>
      </c>
      <c r="AD567" s="25">
        <v>0</v>
      </c>
      <c r="AE567" s="25">
        <f t="shared" si="94"/>
        <v>332</v>
      </c>
      <c r="AF567" s="25">
        <f t="shared" si="95"/>
        <v>332</v>
      </c>
      <c r="AG567" s="25">
        <v>0</v>
      </c>
      <c r="AH567" s="25">
        <f t="shared" si="96"/>
        <v>3700</v>
      </c>
      <c r="AI567" s="25">
        <f t="shared" si="97"/>
        <v>29</v>
      </c>
      <c r="AJ567" s="25">
        <v>1</v>
      </c>
      <c r="AK567" s="25">
        <v>1000</v>
      </c>
      <c r="AL567" s="25">
        <v>100</v>
      </c>
      <c r="AM567" s="26">
        <v>10</v>
      </c>
      <c r="AN567" s="26">
        <v>10</v>
      </c>
      <c r="AO567" s="22" t="s">
        <v>2211</v>
      </c>
      <c r="AP567" s="26">
        <v>0</v>
      </c>
      <c r="AQ567" s="26">
        <f t="shared" si="98"/>
        <v>430</v>
      </c>
      <c r="AR567" s="18" t="str">
        <f ca="1">CONCATENATE(OFFSET(Sheet1!$A$2,RANDBETWEEN(2,500),0,1,1),OFFSET(Sheet1!$A$2,RANDBETWEEN(2,500),RANDBETWEEN(1,5),1,1))</f>
        <v>塞西利亚晓雯</v>
      </c>
      <c r="AS567">
        <f>SUMPRODUCT(P567:AI567,Sheet2!$B$3:$U$3)</f>
        <v>120260</v>
      </c>
    </row>
    <row r="568" spans="1:45" x14ac:dyDescent="0.15">
      <c r="A568" s="23">
        <v>567</v>
      </c>
      <c r="B568" s="18" t="s">
        <v>2043</v>
      </c>
      <c r="C568" s="18">
        <f t="shared" si="88"/>
        <v>166</v>
      </c>
      <c r="D568" s="19">
        <f t="shared" si="89"/>
        <v>3</v>
      </c>
      <c r="E568" s="19">
        <f>VLOOKUP(MOD(A568,4),各职业基础配置!C$32:D$35,2,FALSE)</f>
        <v>9</v>
      </c>
      <c r="F568" s="19">
        <f>IF(A568&lt;900,INDEX(各职业基础配置!C$23:C$28,MOD(ROW(A568),4)+1),0)</f>
        <v>8</v>
      </c>
      <c r="G568" s="19">
        <f t="shared" si="90"/>
        <v>21</v>
      </c>
      <c r="H568" s="27">
        <f t="shared" si="91"/>
        <v>2</v>
      </c>
      <c r="I568" s="6" t="s">
        <v>164</v>
      </c>
      <c r="J568" s="23" t="str">
        <f>VLOOKUP(E568,各职业基础配置!$B$9:$C$12,2,FALSE)</f>
        <v>116|117|118|4201|120</v>
      </c>
      <c r="K568" s="18" t="str">
        <f>VLOOKUP(E568,各职业基础配置!$B$15:$C$18,2,FALSE)</f>
        <v>28|29|30|31</v>
      </c>
      <c r="L568" s="18" t="str">
        <f>VLOOKUP(E568,各职业基础配置!B:C,2,FALSE)</f>
        <v>[{28,1,1},{29,1,1},{30,1,1},{31,1,1},{10,1,1},{11,1,1},{12,1,1}]</v>
      </c>
      <c r="M568" s="18">
        <v>0</v>
      </c>
      <c r="N568" s="18">
        <f t="shared" si="92"/>
        <v>3</v>
      </c>
      <c r="O568" s="18">
        <f>SUMPRODUCT(P568:AI568,Sheet2!$B$3:$U$3)</f>
        <v>120235</v>
      </c>
      <c r="P568" s="18">
        <f>CEILING(INDEX([1]系统模型!$VD:$VD,MATCH(C568,[1]系统模型!$A:$A,0))*POWER(C568/220,3.8)-50+(1000-A568),1)</f>
        <v>2219</v>
      </c>
      <c r="Q568" s="18">
        <f>CEILING(INDEX([1]系统模型!$VE:$VE,MATCH(C568,[1]系统模型!$A:$A,0))*POWER(C568/220,4),1)</f>
        <v>254</v>
      </c>
      <c r="R568" s="18">
        <f>INT(INDEX([1]系统模型!$VF:$VF,MATCH(C568,[1]系统模型!$A:$A,0))*MAX(POWER(C568/180,4),0.5))</f>
        <v>16335</v>
      </c>
      <c r="S568" s="5">
        <v>1000</v>
      </c>
      <c r="T568" s="25">
        <v>0</v>
      </c>
      <c r="U568" s="25">
        <v>0</v>
      </c>
      <c r="V568" s="25">
        <v>0</v>
      </c>
      <c r="W568" s="25">
        <v>0</v>
      </c>
      <c r="X568" s="25">
        <f t="shared" si="93"/>
        <v>816</v>
      </c>
      <c r="Y568" s="12">
        <v>0</v>
      </c>
      <c r="Z568" s="25">
        <v>100</v>
      </c>
      <c r="AA568" s="25">
        <v>150</v>
      </c>
      <c r="AB568" s="25">
        <v>0</v>
      </c>
      <c r="AC568" s="25">
        <v>0</v>
      </c>
      <c r="AD568" s="25">
        <v>0</v>
      </c>
      <c r="AE568" s="25">
        <f t="shared" si="94"/>
        <v>332</v>
      </c>
      <c r="AF568" s="25">
        <f t="shared" si="95"/>
        <v>332</v>
      </c>
      <c r="AG568" s="25">
        <v>0</v>
      </c>
      <c r="AH568" s="25">
        <f t="shared" si="96"/>
        <v>3700</v>
      </c>
      <c r="AI568" s="25">
        <f t="shared" si="97"/>
        <v>29</v>
      </c>
      <c r="AJ568" s="25">
        <v>1</v>
      </c>
      <c r="AK568" s="25">
        <v>1000</v>
      </c>
      <c r="AL568" s="25">
        <v>100</v>
      </c>
      <c r="AM568" s="26">
        <v>10</v>
      </c>
      <c r="AN568" s="26">
        <v>10</v>
      </c>
      <c r="AO568" s="22" t="s">
        <v>2211</v>
      </c>
      <c r="AP568" s="26">
        <v>0</v>
      </c>
      <c r="AQ568" s="26">
        <f t="shared" si="98"/>
        <v>430</v>
      </c>
      <c r="AR568" s="18" t="str">
        <f ca="1">CONCATENATE(OFFSET(Sheet1!$A$2,RANDBETWEEN(2,500),0,1,1),OFFSET(Sheet1!$A$2,RANDBETWEEN(2,500),RANDBETWEEN(1,5),1,1))</f>
        <v>培根</v>
      </c>
      <c r="AS568">
        <f>SUMPRODUCT(P568:AI568,Sheet2!$B$3:$U$3)</f>
        <v>120235</v>
      </c>
    </row>
    <row r="569" spans="1:45" x14ac:dyDescent="0.15">
      <c r="A569" s="18">
        <v>568</v>
      </c>
      <c r="B569" s="18" t="s">
        <v>932</v>
      </c>
      <c r="C569" s="18">
        <f t="shared" si="88"/>
        <v>165</v>
      </c>
      <c r="D569" s="19">
        <f t="shared" si="89"/>
        <v>2</v>
      </c>
      <c r="E569" s="19">
        <f>VLOOKUP(MOD(A569,4),各职业基础配置!C$32:D$35,2,FALSE)</f>
        <v>1</v>
      </c>
      <c r="F569" s="19">
        <f>IF(A569&lt;900,INDEX(各职业基础配置!C$23:C$28,MOD(ROW(A569),4)+1),0)</f>
        <v>13</v>
      </c>
      <c r="G569" s="19">
        <f t="shared" si="90"/>
        <v>20</v>
      </c>
      <c r="H569" s="27">
        <f t="shared" si="91"/>
        <v>2</v>
      </c>
      <c r="I569" s="6" t="s">
        <v>164</v>
      </c>
      <c r="J569" s="23" t="str">
        <f>VLOOKUP(E569,各职业基础配置!$B$9:$C$12,2,FALSE)</f>
        <v>101|102|103|4201|105</v>
      </c>
      <c r="K569" s="18" t="str">
        <f>VLOOKUP(E569,各职业基础配置!$B$15:$C$18,2,FALSE)</f>
        <v>24|25|26|27</v>
      </c>
      <c r="L569" s="18" t="str">
        <f>VLOOKUP(E569,各职业基础配置!B:C,2,FALSE)</f>
        <v>[{24,1,1},{25,1,1},{26,1,1},{27,1,1},{1,1,1},{2,1,1},{3,1,1}]</v>
      </c>
      <c r="M569" s="18">
        <v>0</v>
      </c>
      <c r="N569" s="18">
        <f t="shared" si="92"/>
        <v>3</v>
      </c>
      <c r="O569" s="18">
        <f>SUMPRODUCT(P569:AI569,Sheet2!$B$3:$U$3)</f>
        <v>117689</v>
      </c>
      <c r="P569" s="18">
        <f>CEILING(INDEX([1]系统模型!$VD:$VD,MATCH(C569,[1]系统模型!$A:$A,0))*POWER(C569/220,3.8)-50+(1000-A569),1)</f>
        <v>2169</v>
      </c>
      <c r="Q569" s="18">
        <f>CEILING(INDEX([1]系统模型!$VE:$VE,MATCH(C569,[1]系统模型!$A:$A,0))*POWER(C569/220,4),1)</f>
        <v>243</v>
      </c>
      <c r="R569" s="18">
        <f>INT(INDEX([1]系统模型!$VF:$VF,MATCH(C569,[1]系统模型!$A:$A,0))*MAX(POWER(C569/180,4),0.5))</f>
        <v>15814</v>
      </c>
      <c r="S569" s="5">
        <v>1000</v>
      </c>
      <c r="T569" s="25">
        <v>0</v>
      </c>
      <c r="U569" s="25">
        <v>0</v>
      </c>
      <c r="V569" s="25">
        <v>0</v>
      </c>
      <c r="W569" s="25">
        <v>0</v>
      </c>
      <c r="X569" s="25">
        <f t="shared" si="93"/>
        <v>790</v>
      </c>
      <c r="Y569" s="12">
        <v>0</v>
      </c>
      <c r="Z569" s="25">
        <v>100</v>
      </c>
      <c r="AA569" s="25">
        <v>150</v>
      </c>
      <c r="AB569" s="25">
        <v>0</v>
      </c>
      <c r="AC569" s="25">
        <v>0</v>
      </c>
      <c r="AD569" s="25">
        <v>0</v>
      </c>
      <c r="AE569" s="25">
        <f t="shared" si="94"/>
        <v>330</v>
      </c>
      <c r="AF569" s="25">
        <f t="shared" si="95"/>
        <v>330</v>
      </c>
      <c r="AG569" s="25">
        <v>0</v>
      </c>
      <c r="AH569" s="25">
        <f t="shared" si="96"/>
        <v>3625</v>
      </c>
      <c r="AI569" s="25">
        <f t="shared" si="97"/>
        <v>28</v>
      </c>
      <c r="AJ569" s="25">
        <v>1</v>
      </c>
      <c r="AK569" s="25">
        <v>1000</v>
      </c>
      <c r="AL569" s="25">
        <v>100</v>
      </c>
      <c r="AM569" s="26">
        <v>10</v>
      </c>
      <c r="AN569" s="26">
        <v>10</v>
      </c>
      <c r="AO569" s="22" t="s">
        <v>2211</v>
      </c>
      <c r="AP569" s="26">
        <v>0</v>
      </c>
      <c r="AQ569" s="26">
        <f t="shared" si="98"/>
        <v>430</v>
      </c>
      <c r="AR569" s="18" t="str">
        <f ca="1">CONCATENATE(OFFSET(Sheet1!$A$2,RANDBETWEEN(2,500),0,1,1),OFFSET(Sheet1!$A$2,RANDBETWEEN(2,500),RANDBETWEEN(1,5),1,1))</f>
        <v>丹聂耳</v>
      </c>
      <c r="AS569">
        <f>SUMPRODUCT(P569:AI569,Sheet2!$B$3:$U$3)</f>
        <v>117689</v>
      </c>
    </row>
    <row r="570" spans="1:45" x14ac:dyDescent="0.15">
      <c r="A570" s="18">
        <v>569</v>
      </c>
      <c r="B570" s="18" t="s">
        <v>2044</v>
      </c>
      <c r="C570" s="18">
        <f t="shared" si="88"/>
        <v>165</v>
      </c>
      <c r="D570" s="19">
        <f t="shared" si="89"/>
        <v>3</v>
      </c>
      <c r="E570" s="19">
        <f>VLOOKUP(MOD(A570,4),各职业基础配置!C$32:D$35,2,FALSE)</f>
        <v>3</v>
      </c>
      <c r="F570" s="19">
        <f>IF(A570&lt;900,INDEX(各职业基础配置!C$23:C$28,MOD(ROW(A570),4)+1),0)</f>
        <v>14</v>
      </c>
      <c r="G570" s="19">
        <f t="shared" si="90"/>
        <v>20</v>
      </c>
      <c r="H570" s="27">
        <f t="shared" si="91"/>
        <v>2</v>
      </c>
      <c r="I570" s="6" t="s">
        <v>164</v>
      </c>
      <c r="J570" s="23" t="str">
        <f>VLOOKUP(E570,各职业基础配置!$B$9:$C$12,2,FALSE)</f>
        <v>106|107|108|4201|110</v>
      </c>
      <c r="K570" s="18" t="str">
        <f>VLOOKUP(E570,各职业基础配置!$B$15:$C$18,2,FALSE)</f>
        <v>20|21|22|23</v>
      </c>
      <c r="L570" s="18" t="str">
        <f>VLOOKUP(E570,各职业基础配置!B:C,2,FALSE)</f>
        <v>[{20,1,1},{21,1,1},{22,1,1},{23,1,1},{4,1,1},{5,1,1},{6,1,1}]</v>
      </c>
      <c r="M570" s="18">
        <v>0</v>
      </c>
      <c r="N570" s="18">
        <f t="shared" si="92"/>
        <v>7</v>
      </c>
      <c r="O570" s="18">
        <f>SUMPRODUCT(P570:AI570,Sheet2!$B$3:$U$3)</f>
        <v>117664</v>
      </c>
      <c r="P570" s="18">
        <f>CEILING(INDEX([1]系统模型!$VD:$VD,MATCH(C570,[1]系统模型!$A:$A,0))*POWER(C570/220,3.8)-50+(1000-A570),1)</f>
        <v>2168</v>
      </c>
      <c r="Q570" s="18">
        <f>CEILING(INDEX([1]系统模型!$VE:$VE,MATCH(C570,[1]系统模型!$A:$A,0))*POWER(C570/220,4),1)</f>
        <v>243</v>
      </c>
      <c r="R570" s="18">
        <f>INT(INDEX([1]系统模型!$VF:$VF,MATCH(C570,[1]系统模型!$A:$A,0))*MAX(POWER(C570/180,4),0.5))</f>
        <v>15814</v>
      </c>
      <c r="S570" s="5">
        <v>1000</v>
      </c>
      <c r="T570" s="25">
        <v>0</v>
      </c>
      <c r="U570" s="25">
        <v>0</v>
      </c>
      <c r="V570" s="25">
        <v>0</v>
      </c>
      <c r="W570" s="25">
        <v>0</v>
      </c>
      <c r="X570" s="25">
        <f t="shared" si="93"/>
        <v>790</v>
      </c>
      <c r="Y570" s="12">
        <v>0</v>
      </c>
      <c r="Z570" s="25">
        <v>100</v>
      </c>
      <c r="AA570" s="25">
        <v>150</v>
      </c>
      <c r="AB570" s="25">
        <v>0</v>
      </c>
      <c r="AC570" s="25">
        <v>0</v>
      </c>
      <c r="AD570" s="25">
        <v>0</v>
      </c>
      <c r="AE570" s="25">
        <f t="shared" si="94"/>
        <v>330</v>
      </c>
      <c r="AF570" s="25">
        <f t="shared" si="95"/>
        <v>330</v>
      </c>
      <c r="AG570" s="25">
        <v>0</v>
      </c>
      <c r="AH570" s="25">
        <f t="shared" si="96"/>
        <v>3625</v>
      </c>
      <c r="AI570" s="25">
        <f t="shared" si="97"/>
        <v>28</v>
      </c>
      <c r="AJ570" s="25">
        <v>1</v>
      </c>
      <c r="AK570" s="25">
        <v>1000</v>
      </c>
      <c r="AL570" s="25">
        <v>100</v>
      </c>
      <c r="AM570" s="26">
        <v>10</v>
      </c>
      <c r="AN570" s="26">
        <v>10</v>
      </c>
      <c r="AO570" s="22" t="s">
        <v>2211</v>
      </c>
      <c r="AP570" s="26">
        <v>0</v>
      </c>
      <c r="AQ570" s="26">
        <f t="shared" si="98"/>
        <v>420</v>
      </c>
      <c r="AR570" s="18" t="str">
        <f ca="1">CONCATENATE(OFFSET(Sheet1!$A$2,RANDBETWEEN(2,500),0,1,1),OFFSET(Sheet1!$A$2,RANDBETWEEN(2,500),RANDBETWEEN(1,5),1,1))</f>
        <v>巴特勒</v>
      </c>
      <c r="AS570">
        <f>SUMPRODUCT(P570:AI570,Sheet2!$B$3:$U$3)</f>
        <v>117664</v>
      </c>
    </row>
    <row r="571" spans="1:45" x14ac:dyDescent="0.15">
      <c r="A571" s="23">
        <v>570</v>
      </c>
      <c r="B571" s="18" t="s">
        <v>944</v>
      </c>
      <c r="C571" s="18">
        <f t="shared" si="88"/>
        <v>165</v>
      </c>
      <c r="D571" s="19">
        <f t="shared" si="89"/>
        <v>2</v>
      </c>
      <c r="E571" s="19">
        <f>VLOOKUP(MOD(A571,4),各职业基础配置!C$32:D$35,2,FALSE)</f>
        <v>6</v>
      </c>
      <c r="F571" s="19">
        <f>IF(A571&lt;900,INDEX(各职业基础配置!C$23:C$28,MOD(ROW(A571),4)+1),0)</f>
        <v>16</v>
      </c>
      <c r="G571" s="19">
        <f t="shared" si="90"/>
        <v>20</v>
      </c>
      <c r="H571" s="27">
        <f t="shared" si="91"/>
        <v>2</v>
      </c>
      <c r="I571" s="6" t="s">
        <v>164</v>
      </c>
      <c r="J571" s="23" t="str">
        <f>VLOOKUP(E571,各职业基础配置!$B$9:$C$12,2,FALSE)</f>
        <v>111|112|113|4201|115</v>
      </c>
      <c r="K571" s="18" t="str">
        <f>VLOOKUP(E571,各职业基础配置!$B$15:$C$18,2,FALSE)</f>
        <v>32|33|34</v>
      </c>
      <c r="L571" s="18" t="str">
        <f>VLOOKUP(E571,各职业基础配置!B:C,2,FALSE)</f>
        <v>[{32,1,1},{33,1,1},{34,1,1},{35,1,1},{7,1,1},{8,1,1},{9,1,1}]</v>
      </c>
      <c r="M571" s="18">
        <v>0</v>
      </c>
      <c r="N571" s="18">
        <f t="shared" si="92"/>
        <v>7</v>
      </c>
      <c r="O571" s="18">
        <f>SUMPRODUCT(P571:AI571,Sheet2!$B$3:$U$3)</f>
        <v>117639</v>
      </c>
      <c r="P571" s="18">
        <f>CEILING(INDEX([1]系统模型!$VD:$VD,MATCH(C571,[1]系统模型!$A:$A,0))*POWER(C571/220,3.8)-50+(1000-A571),1)</f>
        <v>2167</v>
      </c>
      <c r="Q571" s="18">
        <f>CEILING(INDEX([1]系统模型!$VE:$VE,MATCH(C571,[1]系统模型!$A:$A,0))*POWER(C571/220,4),1)</f>
        <v>243</v>
      </c>
      <c r="R571" s="18">
        <f>INT(INDEX([1]系统模型!$VF:$VF,MATCH(C571,[1]系统模型!$A:$A,0))*MAX(POWER(C571/180,4),0.5))</f>
        <v>15814</v>
      </c>
      <c r="S571" s="5">
        <v>1000</v>
      </c>
      <c r="T571" s="25">
        <v>0</v>
      </c>
      <c r="U571" s="25">
        <v>0</v>
      </c>
      <c r="V571" s="25">
        <v>0</v>
      </c>
      <c r="W571" s="25">
        <v>0</v>
      </c>
      <c r="X571" s="25">
        <f t="shared" si="93"/>
        <v>790</v>
      </c>
      <c r="Y571" s="12">
        <v>0</v>
      </c>
      <c r="Z571" s="25">
        <v>100</v>
      </c>
      <c r="AA571" s="25">
        <v>150</v>
      </c>
      <c r="AB571" s="25">
        <v>0</v>
      </c>
      <c r="AC571" s="25">
        <v>0</v>
      </c>
      <c r="AD571" s="25">
        <v>0</v>
      </c>
      <c r="AE571" s="25">
        <f t="shared" si="94"/>
        <v>330</v>
      </c>
      <c r="AF571" s="25">
        <f t="shared" si="95"/>
        <v>330</v>
      </c>
      <c r="AG571" s="25">
        <v>0</v>
      </c>
      <c r="AH571" s="25">
        <f t="shared" si="96"/>
        <v>3625</v>
      </c>
      <c r="AI571" s="25">
        <f t="shared" si="97"/>
        <v>28</v>
      </c>
      <c r="AJ571" s="25">
        <v>1</v>
      </c>
      <c r="AK571" s="25">
        <v>1000</v>
      </c>
      <c r="AL571" s="25">
        <v>100</v>
      </c>
      <c r="AM571" s="26">
        <v>10</v>
      </c>
      <c r="AN571" s="26">
        <v>10</v>
      </c>
      <c r="AO571" s="22" t="s">
        <v>2211</v>
      </c>
      <c r="AP571" s="26">
        <v>0</v>
      </c>
      <c r="AQ571" s="26">
        <f t="shared" si="98"/>
        <v>420</v>
      </c>
      <c r="AR571" s="18" t="str">
        <f ca="1">CONCATENATE(OFFSET(Sheet1!$A$2,RANDBETWEEN(2,500),0,1,1),OFFSET(Sheet1!$A$2,RANDBETWEEN(2,500),RANDBETWEEN(1,5),1,1))</f>
        <v>弗格森丹尼丝</v>
      </c>
      <c r="AS571">
        <f>SUMPRODUCT(P571:AI571,Sheet2!$B$3:$U$3)</f>
        <v>117639</v>
      </c>
    </row>
    <row r="572" spans="1:45" x14ac:dyDescent="0.15">
      <c r="A572" s="18">
        <v>571</v>
      </c>
      <c r="B572" s="18" t="s">
        <v>2045</v>
      </c>
      <c r="C572" s="18">
        <f t="shared" si="88"/>
        <v>165</v>
      </c>
      <c r="D572" s="19">
        <f t="shared" si="89"/>
        <v>3</v>
      </c>
      <c r="E572" s="19">
        <f>VLOOKUP(MOD(A572,4),各职业基础配置!C$32:D$35,2,FALSE)</f>
        <v>9</v>
      </c>
      <c r="F572" s="19">
        <f>IF(A572&lt;900,INDEX(各职业基础配置!C$23:C$28,MOD(ROW(A572),4)+1),0)</f>
        <v>8</v>
      </c>
      <c r="G572" s="19">
        <f t="shared" si="90"/>
        <v>20</v>
      </c>
      <c r="H572" s="27">
        <f t="shared" si="91"/>
        <v>2</v>
      </c>
      <c r="I572" s="6" t="s">
        <v>164</v>
      </c>
      <c r="J572" s="23" t="str">
        <f>VLOOKUP(E572,各职业基础配置!$B$9:$C$12,2,FALSE)</f>
        <v>116|117|118|4201|120</v>
      </c>
      <c r="K572" s="18" t="str">
        <f>VLOOKUP(E572,各职业基础配置!$B$15:$C$18,2,FALSE)</f>
        <v>28|29|30|31</v>
      </c>
      <c r="L572" s="18" t="str">
        <f>VLOOKUP(E572,各职业基础配置!B:C,2,FALSE)</f>
        <v>[{28,1,1},{29,1,1},{30,1,1},{31,1,1},{10,1,1},{11,1,1},{12,1,1}]</v>
      </c>
      <c r="M572" s="18">
        <v>0</v>
      </c>
      <c r="N572" s="18">
        <f t="shared" si="92"/>
        <v>3</v>
      </c>
      <c r="O572" s="18">
        <f>SUMPRODUCT(P572:AI572,Sheet2!$B$3:$U$3)</f>
        <v>117614</v>
      </c>
      <c r="P572" s="18">
        <f>CEILING(INDEX([1]系统模型!$VD:$VD,MATCH(C572,[1]系统模型!$A:$A,0))*POWER(C572/220,3.8)-50+(1000-A572),1)</f>
        <v>2166</v>
      </c>
      <c r="Q572" s="18">
        <f>CEILING(INDEX([1]系统模型!$VE:$VE,MATCH(C572,[1]系统模型!$A:$A,0))*POWER(C572/220,4),1)</f>
        <v>243</v>
      </c>
      <c r="R572" s="18">
        <f>INT(INDEX([1]系统模型!$VF:$VF,MATCH(C572,[1]系统模型!$A:$A,0))*MAX(POWER(C572/180,4),0.5))</f>
        <v>15814</v>
      </c>
      <c r="S572" s="5">
        <v>1000</v>
      </c>
      <c r="T572" s="25">
        <v>0</v>
      </c>
      <c r="U572" s="25">
        <v>0</v>
      </c>
      <c r="V572" s="25">
        <v>0</v>
      </c>
      <c r="W572" s="25">
        <v>0</v>
      </c>
      <c r="X572" s="25">
        <f t="shared" si="93"/>
        <v>790</v>
      </c>
      <c r="Y572" s="12">
        <v>0</v>
      </c>
      <c r="Z572" s="25">
        <v>100</v>
      </c>
      <c r="AA572" s="25">
        <v>150</v>
      </c>
      <c r="AB572" s="25">
        <v>0</v>
      </c>
      <c r="AC572" s="25">
        <v>0</v>
      </c>
      <c r="AD572" s="25">
        <v>0</v>
      </c>
      <c r="AE572" s="25">
        <f t="shared" si="94"/>
        <v>330</v>
      </c>
      <c r="AF572" s="25">
        <f t="shared" si="95"/>
        <v>330</v>
      </c>
      <c r="AG572" s="25">
        <v>0</v>
      </c>
      <c r="AH572" s="25">
        <f t="shared" si="96"/>
        <v>3625</v>
      </c>
      <c r="AI572" s="25">
        <f t="shared" si="97"/>
        <v>28</v>
      </c>
      <c r="AJ572" s="25">
        <v>1</v>
      </c>
      <c r="AK572" s="25">
        <v>1000</v>
      </c>
      <c r="AL572" s="25">
        <v>100</v>
      </c>
      <c r="AM572" s="26">
        <v>10</v>
      </c>
      <c r="AN572" s="26">
        <v>10</v>
      </c>
      <c r="AO572" s="22" t="s">
        <v>2211</v>
      </c>
      <c r="AP572" s="26">
        <v>0</v>
      </c>
      <c r="AQ572" s="26">
        <f t="shared" si="98"/>
        <v>420</v>
      </c>
      <c r="AR572" s="18" t="str">
        <f ca="1">CONCATENATE(OFFSET(Sheet1!$A$2,RANDBETWEEN(2,500),0,1,1),OFFSET(Sheet1!$A$2,RANDBETWEEN(2,500),RANDBETWEEN(1,5),1,1))</f>
        <v>埃文思</v>
      </c>
      <c r="AS572">
        <f>SUMPRODUCT(P572:AI572,Sheet2!$B$3:$U$3)</f>
        <v>117614</v>
      </c>
    </row>
    <row r="573" spans="1:45" x14ac:dyDescent="0.15">
      <c r="A573" s="18">
        <v>572</v>
      </c>
      <c r="B573" s="18" t="s">
        <v>2046</v>
      </c>
      <c r="C573" s="18">
        <f t="shared" si="88"/>
        <v>165</v>
      </c>
      <c r="D573" s="19">
        <f t="shared" si="89"/>
        <v>2</v>
      </c>
      <c r="E573" s="19">
        <f>VLOOKUP(MOD(A573,4),各职业基础配置!C$32:D$35,2,FALSE)</f>
        <v>1</v>
      </c>
      <c r="F573" s="19">
        <f>IF(A573&lt;900,INDEX(各职业基础配置!C$23:C$28,MOD(ROW(A573),4)+1),0)</f>
        <v>13</v>
      </c>
      <c r="G573" s="19">
        <f t="shared" si="90"/>
        <v>20</v>
      </c>
      <c r="H573" s="27">
        <f t="shared" si="91"/>
        <v>2</v>
      </c>
      <c r="I573" s="6" t="s">
        <v>164</v>
      </c>
      <c r="J573" s="23" t="str">
        <f>VLOOKUP(E573,各职业基础配置!$B$9:$C$12,2,FALSE)</f>
        <v>101|102|103|4201|105</v>
      </c>
      <c r="K573" s="18" t="str">
        <f>VLOOKUP(E573,各职业基础配置!$B$15:$C$18,2,FALSE)</f>
        <v>24|25|26|27</v>
      </c>
      <c r="L573" s="18" t="str">
        <f>VLOOKUP(E573,各职业基础配置!B:C,2,FALSE)</f>
        <v>[{24,1,1},{25,1,1},{26,1,1},{27,1,1},{1,1,1},{2,1,1},{3,1,1}]</v>
      </c>
      <c r="M573" s="18">
        <v>0</v>
      </c>
      <c r="N573" s="18">
        <f t="shared" si="92"/>
        <v>3</v>
      </c>
      <c r="O573" s="18">
        <f>SUMPRODUCT(P573:AI573,Sheet2!$B$3:$U$3)</f>
        <v>117589</v>
      </c>
      <c r="P573" s="18">
        <f>CEILING(INDEX([1]系统模型!$VD:$VD,MATCH(C573,[1]系统模型!$A:$A,0))*POWER(C573/220,3.8)-50+(1000-A573),1)</f>
        <v>2165</v>
      </c>
      <c r="Q573" s="18">
        <f>CEILING(INDEX([1]系统模型!$VE:$VE,MATCH(C573,[1]系统模型!$A:$A,0))*POWER(C573/220,4),1)</f>
        <v>243</v>
      </c>
      <c r="R573" s="18">
        <f>INT(INDEX([1]系统模型!$VF:$VF,MATCH(C573,[1]系统模型!$A:$A,0))*MAX(POWER(C573/180,4),0.5))</f>
        <v>15814</v>
      </c>
      <c r="S573" s="5">
        <v>1000</v>
      </c>
      <c r="T573" s="25">
        <v>0</v>
      </c>
      <c r="U573" s="25">
        <v>0</v>
      </c>
      <c r="V573" s="25">
        <v>0</v>
      </c>
      <c r="W573" s="25">
        <v>0</v>
      </c>
      <c r="X573" s="25">
        <f t="shared" si="93"/>
        <v>790</v>
      </c>
      <c r="Y573" s="12">
        <v>0</v>
      </c>
      <c r="Z573" s="25">
        <v>100</v>
      </c>
      <c r="AA573" s="25">
        <v>150</v>
      </c>
      <c r="AB573" s="25">
        <v>0</v>
      </c>
      <c r="AC573" s="25">
        <v>0</v>
      </c>
      <c r="AD573" s="25">
        <v>0</v>
      </c>
      <c r="AE573" s="25">
        <f t="shared" si="94"/>
        <v>330</v>
      </c>
      <c r="AF573" s="25">
        <f t="shared" si="95"/>
        <v>330</v>
      </c>
      <c r="AG573" s="25">
        <v>0</v>
      </c>
      <c r="AH573" s="25">
        <f t="shared" si="96"/>
        <v>3625</v>
      </c>
      <c r="AI573" s="25">
        <f t="shared" si="97"/>
        <v>28</v>
      </c>
      <c r="AJ573" s="25">
        <v>1</v>
      </c>
      <c r="AK573" s="25">
        <v>1000</v>
      </c>
      <c r="AL573" s="25">
        <v>100</v>
      </c>
      <c r="AM573" s="26">
        <v>10</v>
      </c>
      <c r="AN573" s="26">
        <v>10</v>
      </c>
      <c r="AO573" s="22" t="s">
        <v>2211</v>
      </c>
      <c r="AP573" s="26">
        <v>0</v>
      </c>
      <c r="AQ573" s="26">
        <f t="shared" si="98"/>
        <v>420</v>
      </c>
      <c r="AR573" s="18" t="str">
        <f ca="1">CONCATENATE(OFFSET(Sheet1!$A$2,RANDBETWEEN(2,500),0,1,1),OFFSET(Sheet1!$A$2,RANDBETWEEN(2,500),RANDBETWEEN(1,5),1,1))</f>
        <v>艾利斯</v>
      </c>
      <c r="AS573">
        <f>SUMPRODUCT(P573:AI573,Sheet2!$B$3:$U$3)</f>
        <v>117589</v>
      </c>
    </row>
    <row r="574" spans="1:45" x14ac:dyDescent="0.15">
      <c r="A574" s="23">
        <v>573</v>
      </c>
      <c r="B574" s="18" t="s">
        <v>1171</v>
      </c>
      <c r="C574" s="18">
        <f t="shared" si="88"/>
        <v>165</v>
      </c>
      <c r="D574" s="19">
        <f t="shared" si="89"/>
        <v>3</v>
      </c>
      <c r="E574" s="19">
        <f>VLOOKUP(MOD(A574,4),各职业基础配置!C$32:D$35,2,FALSE)</f>
        <v>3</v>
      </c>
      <c r="F574" s="19">
        <f>IF(A574&lt;900,INDEX(各职业基础配置!C$23:C$28,MOD(ROW(A574),4)+1),0)</f>
        <v>14</v>
      </c>
      <c r="G574" s="19">
        <f t="shared" si="90"/>
        <v>20</v>
      </c>
      <c r="H574" s="27">
        <f t="shared" si="91"/>
        <v>2</v>
      </c>
      <c r="I574" s="6" t="s">
        <v>164</v>
      </c>
      <c r="J574" s="23" t="str">
        <f>VLOOKUP(E574,各职业基础配置!$B$9:$C$12,2,FALSE)</f>
        <v>106|107|108|4201|110</v>
      </c>
      <c r="K574" s="18" t="str">
        <f>VLOOKUP(E574,各职业基础配置!$B$15:$C$18,2,FALSE)</f>
        <v>20|21|22|23</v>
      </c>
      <c r="L574" s="18" t="str">
        <f>VLOOKUP(E574,各职业基础配置!B:C,2,FALSE)</f>
        <v>[{20,1,1},{21,1,1},{22,1,1},{23,1,1},{4,1,1},{5,1,1},{6,1,1}]</v>
      </c>
      <c r="M574" s="18">
        <v>0</v>
      </c>
      <c r="N574" s="18">
        <f t="shared" si="92"/>
        <v>7</v>
      </c>
      <c r="O574" s="18">
        <f>SUMPRODUCT(P574:AI574,Sheet2!$B$3:$U$3)</f>
        <v>117564</v>
      </c>
      <c r="P574" s="18">
        <f>CEILING(INDEX([1]系统模型!$VD:$VD,MATCH(C574,[1]系统模型!$A:$A,0))*POWER(C574/220,3.8)-50+(1000-A574),1)</f>
        <v>2164</v>
      </c>
      <c r="Q574" s="18">
        <f>CEILING(INDEX([1]系统模型!$VE:$VE,MATCH(C574,[1]系统模型!$A:$A,0))*POWER(C574/220,4),1)</f>
        <v>243</v>
      </c>
      <c r="R574" s="18">
        <f>INT(INDEX([1]系统模型!$VF:$VF,MATCH(C574,[1]系统模型!$A:$A,0))*MAX(POWER(C574/180,4),0.5))</f>
        <v>15814</v>
      </c>
      <c r="S574" s="5">
        <v>1000</v>
      </c>
      <c r="T574" s="25">
        <v>0</v>
      </c>
      <c r="U574" s="25">
        <v>0</v>
      </c>
      <c r="V574" s="25">
        <v>0</v>
      </c>
      <c r="W574" s="25">
        <v>0</v>
      </c>
      <c r="X574" s="25">
        <f t="shared" si="93"/>
        <v>790</v>
      </c>
      <c r="Y574" s="12">
        <v>0</v>
      </c>
      <c r="Z574" s="25">
        <v>100</v>
      </c>
      <c r="AA574" s="25">
        <v>150</v>
      </c>
      <c r="AB574" s="25">
        <v>0</v>
      </c>
      <c r="AC574" s="25">
        <v>0</v>
      </c>
      <c r="AD574" s="25">
        <v>0</v>
      </c>
      <c r="AE574" s="25">
        <f t="shared" si="94"/>
        <v>330</v>
      </c>
      <c r="AF574" s="25">
        <f t="shared" si="95"/>
        <v>330</v>
      </c>
      <c r="AG574" s="25">
        <v>0</v>
      </c>
      <c r="AH574" s="25">
        <f t="shared" si="96"/>
        <v>3625</v>
      </c>
      <c r="AI574" s="25">
        <f t="shared" si="97"/>
        <v>28</v>
      </c>
      <c r="AJ574" s="25">
        <v>1</v>
      </c>
      <c r="AK574" s="25">
        <v>1000</v>
      </c>
      <c r="AL574" s="25">
        <v>100</v>
      </c>
      <c r="AM574" s="26">
        <v>10</v>
      </c>
      <c r="AN574" s="26">
        <v>10</v>
      </c>
      <c r="AO574" s="22" t="s">
        <v>2211</v>
      </c>
      <c r="AP574" s="26">
        <v>0</v>
      </c>
      <c r="AQ574" s="26">
        <f t="shared" si="98"/>
        <v>420</v>
      </c>
      <c r="AR574" s="18" t="str">
        <f ca="1">CONCATENATE(OFFSET(Sheet1!$A$2,RANDBETWEEN(2,500),0,1,1),OFFSET(Sheet1!$A$2,RANDBETWEEN(2,500),RANDBETWEEN(1,5),1,1))</f>
        <v>卡丽</v>
      </c>
      <c r="AS574">
        <f>SUMPRODUCT(P574:AI574,Sheet2!$B$3:$U$3)</f>
        <v>117564</v>
      </c>
    </row>
    <row r="575" spans="1:45" x14ac:dyDescent="0.15">
      <c r="A575" s="18">
        <v>574</v>
      </c>
      <c r="B575" s="18" t="s">
        <v>2047</v>
      </c>
      <c r="C575" s="18">
        <f t="shared" si="88"/>
        <v>165</v>
      </c>
      <c r="D575" s="19">
        <f t="shared" si="89"/>
        <v>2</v>
      </c>
      <c r="E575" s="19">
        <f>VLOOKUP(MOD(A575,4),各职业基础配置!C$32:D$35,2,FALSE)</f>
        <v>6</v>
      </c>
      <c r="F575" s="19">
        <f>IF(A575&lt;900,INDEX(各职业基础配置!C$23:C$28,MOD(ROW(A575),4)+1),0)</f>
        <v>16</v>
      </c>
      <c r="G575" s="19">
        <f t="shared" si="90"/>
        <v>20</v>
      </c>
      <c r="H575" s="27">
        <f t="shared" si="91"/>
        <v>2</v>
      </c>
      <c r="I575" s="6" t="s">
        <v>164</v>
      </c>
      <c r="J575" s="23" t="str">
        <f>VLOOKUP(E575,各职业基础配置!$B$9:$C$12,2,FALSE)</f>
        <v>111|112|113|4201|115</v>
      </c>
      <c r="K575" s="18" t="str">
        <f>VLOOKUP(E575,各职业基础配置!$B$15:$C$18,2,FALSE)</f>
        <v>32|33|34</v>
      </c>
      <c r="L575" s="18" t="str">
        <f>VLOOKUP(E575,各职业基础配置!B:C,2,FALSE)</f>
        <v>[{32,1,1},{33,1,1},{34,1,1},{35,1,1},{7,1,1},{8,1,1},{9,1,1}]</v>
      </c>
      <c r="M575" s="18">
        <v>0</v>
      </c>
      <c r="N575" s="18">
        <f t="shared" si="92"/>
        <v>7</v>
      </c>
      <c r="O575" s="18">
        <f>SUMPRODUCT(P575:AI575,Sheet2!$B$3:$U$3)</f>
        <v>117539</v>
      </c>
      <c r="P575" s="18">
        <f>CEILING(INDEX([1]系统模型!$VD:$VD,MATCH(C575,[1]系统模型!$A:$A,0))*POWER(C575/220,3.8)-50+(1000-A575),1)</f>
        <v>2163</v>
      </c>
      <c r="Q575" s="18">
        <f>CEILING(INDEX([1]系统模型!$VE:$VE,MATCH(C575,[1]系统模型!$A:$A,0))*POWER(C575/220,4),1)</f>
        <v>243</v>
      </c>
      <c r="R575" s="18">
        <f>INT(INDEX([1]系统模型!$VF:$VF,MATCH(C575,[1]系统模型!$A:$A,0))*MAX(POWER(C575/180,4),0.5))</f>
        <v>15814</v>
      </c>
      <c r="S575" s="5">
        <v>1000</v>
      </c>
      <c r="T575" s="25">
        <v>0</v>
      </c>
      <c r="U575" s="25">
        <v>0</v>
      </c>
      <c r="V575" s="25">
        <v>0</v>
      </c>
      <c r="W575" s="25">
        <v>0</v>
      </c>
      <c r="X575" s="25">
        <f t="shared" si="93"/>
        <v>790</v>
      </c>
      <c r="Y575" s="12">
        <v>0</v>
      </c>
      <c r="Z575" s="25">
        <v>100</v>
      </c>
      <c r="AA575" s="25">
        <v>150</v>
      </c>
      <c r="AB575" s="25">
        <v>0</v>
      </c>
      <c r="AC575" s="25">
        <v>0</v>
      </c>
      <c r="AD575" s="25">
        <v>0</v>
      </c>
      <c r="AE575" s="25">
        <f t="shared" si="94"/>
        <v>330</v>
      </c>
      <c r="AF575" s="25">
        <f t="shared" si="95"/>
        <v>330</v>
      </c>
      <c r="AG575" s="25">
        <v>0</v>
      </c>
      <c r="AH575" s="25">
        <f t="shared" si="96"/>
        <v>3625</v>
      </c>
      <c r="AI575" s="25">
        <f t="shared" si="97"/>
        <v>28</v>
      </c>
      <c r="AJ575" s="25">
        <v>1</v>
      </c>
      <c r="AK575" s="25">
        <v>1000</v>
      </c>
      <c r="AL575" s="25">
        <v>100</v>
      </c>
      <c r="AM575" s="26">
        <v>10</v>
      </c>
      <c r="AN575" s="26">
        <v>10</v>
      </c>
      <c r="AO575" s="22" t="s">
        <v>2211</v>
      </c>
      <c r="AP575" s="26">
        <v>0</v>
      </c>
      <c r="AQ575" s="26">
        <f t="shared" si="98"/>
        <v>420</v>
      </c>
      <c r="AR575" s="18" t="str">
        <f ca="1">CONCATENATE(OFFSET(Sheet1!$A$2,RANDBETWEEN(2,500),0,1,1),OFFSET(Sheet1!$A$2,RANDBETWEEN(2,500),RANDBETWEEN(1,5),1,1))</f>
        <v>艾丽丝</v>
      </c>
      <c r="AS575">
        <f>SUMPRODUCT(P575:AI575,Sheet2!$B$3:$U$3)</f>
        <v>117539</v>
      </c>
    </row>
    <row r="576" spans="1:45" x14ac:dyDescent="0.15">
      <c r="A576" s="18">
        <v>575</v>
      </c>
      <c r="B576" s="18" t="s">
        <v>2048</v>
      </c>
      <c r="C576" s="18">
        <f t="shared" si="88"/>
        <v>164</v>
      </c>
      <c r="D576" s="19">
        <f t="shared" si="89"/>
        <v>3</v>
      </c>
      <c r="E576" s="19">
        <f>VLOOKUP(MOD(A576,4),各职业基础配置!C$32:D$35,2,FALSE)</f>
        <v>9</v>
      </c>
      <c r="F576" s="19">
        <f>IF(A576&lt;900,INDEX(各职业基础配置!C$23:C$28,MOD(ROW(A576),4)+1),0)</f>
        <v>8</v>
      </c>
      <c r="G576" s="19">
        <f t="shared" si="90"/>
        <v>19</v>
      </c>
      <c r="H576" s="27">
        <f t="shared" si="91"/>
        <v>2</v>
      </c>
      <c r="I576" s="6" t="s">
        <v>164</v>
      </c>
      <c r="J576" s="23" t="str">
        <f>VLOOKUP(E576,各职业基础配置!$B$9:$C$12,2,FALSE)</f>
        <v>116|117|118|4201|120</v>
      </c>
      <c r="K576" s="18" t="str">
        <f>VLOOKUP(E576,各职业基础配置!$B$15:$C$18,2,FALSE)</f>
        <v>28|29|30|31</v>
      </c>
      <c r="L576" s="18" t="str">
        <f>VLOOKUP(E576,各职业基础配置!B:C,2,FALSE)</f>
        <v>[{28,1,1},{29,1,1},{30,1,1},{31,1,1},{10,1,1},{11,1,1},{12,1,1}]</v>
      </c>
      <c r="M576" s="18">
        <v>0</v>
      </c>
      <c r="N576" s="18">
        <f t="shared" si="92"/>
        <v>3</v>
      </c>
      <c r="O576" s="18">
        <f>SUMPRODUCT(P576:AI576,Sheet2!$B$3:$U$3)</f>
        <v>115156</v>
      </c>
      <c r="P576" s="18">
        <f>CEILING(INDEX([1]系统模型!$VD:$VD,MATCH(C576,[1]系统模型!$A:$A,0))*POWER(C576/220,3.8)-50+(1000-A576),1)</f>
        <v>2112</v>
      </c>
      <c r="Q576" s="18">
        <f>CEILING(INDEX([1]系统模型!$VE:$VE,MATCH(C576,[1]系统模型!$A:$A,0))*POWER(C576/220,4),1)</f>
        <v>236</v>
      </c>
      <c r="R576" s="18">
        <f>INT(INDEX([1]系统模型!$VF:$VF,MATCH(C576,[1]系统模型!$A:$A,0))*MAX(POWER(C576/180,4),0.5))</f>
        <v>15356</v>
      </c>
      <c r="S576" s="5">
        <v>1000</v>
      </c>
      <c r="T576" s="25">
        <v>0</v>
      </c>
      <c r="U576" s="25">
        <v>0</v>
      </c>
      <c r="V576" s="25">
        <v>0</v>
      </c>
      <c r="W576" s="25">
        <v>0</v>
      </c>
      <c r="X576" s="25">
        <f t="shared" si="93"/>
        <v>767</v>
      </c>
      <c r="Y576" s="12">
        <v>0</v>
      </c>
      <c r="Z576" s="25">
        <v>100</v>
      </c>
      <c r="AA576" s="25">
        <v>150</v>
      </c>
      <c r="AB576" s="25">
        <v>0</v>
      </c>
      <c r="AC576" s="25">
        <v>0</v>
      </c>
      <c r="AD576" s="25">
        <v>0</v>
      </c>
      <c r="AE576" s="25">
        <f t="shared" si="94"/>
        <v>328</v>
      </c>
      <c r="AF576" s="25">
        <f t="shared" si="95"/>
        <v>328</v>
      </c>
      <c r="AG576" s="25">
        <v>0</v>
      </c>
      <c r="AH576" s="25">
        <f t="shared" si="96"/>
        <v>3550</v>
      </c>
      <c r="AI576" s="25">
        <f t="shared" si="97"/>
        <v>28</v>
      </c>
      <c r="AJ576" s="25">
        <v>1</v>
      </c>
      <c r="AK576" s="25">
        <v>1000</v>
      </c>
      <c r="AL576" s="25">
        <v>100</v>
      </c>
      <c r="AM576" s="26">
        <v>10</v>
      </c>
      <c r="AN576" s="26">
        <v>10</v>
      </c>
      <c r="AO576" s="22" t="s">
        <v>2211</v>
      </c>
      <c r="AP576" s="26">
        <v>0</v>
      </c>
      <c r="AQ576" s="26">
        <f t="shared" si="98"/>
        <v>420</v>
      </c>
      <c r="AR576" s="18" t="str">
        <f ca="1">CONCATENATE(OFFSET(Sheet1!$A$2,RANDBETWEEN(2,500),0,1,1),OFFSET(Sheet1!$A$2,RANDBETWEEN(2,500),RANDBETWEEN(1,5),1,1))</f>
        <v>埃利诺白白</v>
      </c>
      <c r="AS576">
        <f>SUMPRODUCT(P576:AI576,Sheet2!$B$3:$U$3)</f>
        <v>115156</v>
      </c>
    </row>
    <row r="577" spans="1:45" x14ac:dyDescent="0.15">
      <c r="A577" s="23">
        <v>576</v>
      </c>
      <c r="B577" s="18" t="s">
        <v>2049</v>
      </c>
      <c r="C577" s="18">
        <f t="shared" si="88"/>
        <v>164</v>
      </c>
      <c r="D577" s="19">
        <f t="shared" si="89"/>
        <v>2</v>
      </c>
      <c r="E577" s="19">
        <f>VLOOKUP(MOD(A577,4),各职业基础配置!C$32:D$35,2,FALSE)</f>
        <v>1</v>
      </c>
      <c r="F577" s="19">
        <f>IF(A577&lt;900,INDEX(各职业基础配置!C$23:C$28,MOD(ROW(A577),4)+1),0)</f>
        <v>13</v>
      </c>
      <c r="G577" s="19">
        <f t="shared" si="90"/>
        <v>19</v>
      </c>
      <c r="H577" s="27">
        <f t="shared" si="91"/>
        <v>2</v>
      </c>
      <c r="I577" s="6" t="s">
        <v>164</v>
      </c>
      <c r="J577" s="23" t="str">
        <f>VLOOKUP(E577,各职业基础配置!$B$9:$C$12,2,FALSE)</f>
        <v>101|102|103|4201|105</v>
      </c>
      <c r="K577" s="18" t="str">
        <f>VLOOKUP(E577,各职业基础配置!$B$15:$C$18,2,FALSE)</f>
        <v>24|25|26|27</v>
      </c>
      <c r="L577" s="18" t="str">
        <f>VLOOKUP(E577,各职业基础配置!B:C,2,FALSE)</f>
        <v>[{24,1,1},{25,1,1},{26,1,1},{27,1,1},{1,1,1},{2,1,1},{3,1,1}]</v>
      </c>
      <c r="M577" s="18">
        <v>0</v>
      </c>
      <c r="N577" s="18">
        <f t="shared" si="92"/>
        <v>3</v>
      </c>
      <c r="O577" s="18">
        <f>SUMPRODUCT(P577:AI577,Sheet2!$B$3:$U$3)</f>
        <v>115131</v>
      </c>
      <c r="P577" s="18">
        <f>CEILING(INDEX([1]系统模型!$VD:$VD,MATCH(C577,[1]系统模型!$A:$A,0))*POWER(C577/220,3.8)-50+(1000-A577),1)</f>
        <v>2111</v>
      </c>
      <c r="Q577" s="18">
        <f>CEILING(INDEX([1]系统模型!$VE:$VE,MATCH(C577,[1]系统模型!$A:$A,0))*POWER(C577/220,4),1)</f>
        <v>236</v>
      </c>
      <c r="R577" s="18">
        <f>INT(INDEX([1]系统模型!$VF:$VF,MATCH(C577,[1]系统模型!$A:$A,0))*MAX(POWER(C577/180,4),0.5))</f>
        <v>15356</v>
      </c>
      <c r="S577" s="5">
        <v>1000</v>
      </c>
      <c r="T577" s="25">
        <v>0</v>
      </c>
      <c r="U577" s="25">
        <v>0</v>
      </c>
      <c r="V577" s="25">
        <v>0</v>
      </c>
      <c r="W577" s="25">
        <v>0</v>
      </c>
      <c r="X577" s="25">
        <f t="shared" si="93"/>
        <v>767</v>
      </c>
      <c r="Y577" s="12">
        <v>0</v>
      </c>
      <c r="Z577" s="25">
        <v>100</v>
      </c>
      <c r="AA577" s="25">
        <v>150</v>
      </c>
      <c r="AB577" s="25">
        <v>0</v>
      </c>
      <c r="AC577" s="25">
        <v>0</v>
      </c>
      <c r="AD577" s="25">
        <v>0</v>
      </c>
      <c r="AE577" s="25">
        <f t="shared" si="94"/>
        <v>328</v>
      </c>
      <c r="AF577" s="25">
        <f t="shared" si="95"/>
        <v>328</v>
      </c>
      <c r="AG577" s="25">
        <v>0</v>
      </c>
      <c r="AH577" s="25">
        <f t="shared" si="96"/>
        <v>3550</v>
      </c>
      <c r="AI577" s="25">
        <f t="shared" si="97"/>
        <v>28</v>
      </c>
      <c r="AJ577" s="25">
        <v>1</v>
      </c>
      <c r="AK577" s="25">
        <v>1000</v>
      </c>
      <c r="AL577" s="25">
        <v>100</v>
      </c>
      <c r="AM577" s="26">
        <v>10</v>
      </c>
      <c r="AN577" s="26">
        <v>10</v>
      </c>
      <c r="AO577" s="22" t="s">
        <v>2211</v>
      </c>
      <c r="AP577" s="26">
        <v>0</v>
      </c>
      <c r="AQ577" s="26">
        <f t="shared" si="98"/>
        <v>420</v>
      </c>
      <c r="AR577" s="18" t="str">
        <f ca="1">CONCATENATE(OFFSET(Sheet1!$A$2,RANDBETWEEN(2,500),0,1,1),OFFSET(Sheet1!$A$2,RANDBETWEEN(2,500),RANDBETWEEN(1,5),1,1))</f>
        <v>阿克曼可妮莉雅</v>
      </c>
      <c r="AS577">
        <f>SUMPRODUCT(P577:AI577,Sheet2!$B$3:$U$3)</f>
        <v>115131</v>
      </c>
    </row>
    <row r="578" spans="1:45" x14ac:dyDescent="0.15">
      <c r="A578" s="18">
        <v>577</v>
      </c>
      <c r="B578" s="18" t="s">
        <v>2050</v>
      </c>
      <c r="C578" s="18">
        <f t="shared" si="88"/>
        <v>164</v>
      </c>
      <c r="D578" s="19">
        <f t="shared" si="89"/>
        <v>3</v>
      </c>
      <c r="E578" s="19">
        <f>VLOOKUP(MOD(A578,4),各职业基础配置!C$32:D$35,2,FALSE)</f>
        <v>3</v>
      </c>
      <c r="F578" s="19">
        <f>IF(A578&lt;900,INDEX(各职业基础配置!C$23:C$28,MOD(ROW(A578),4)+1),0)</f>
        <v>14</v>
      </c>
      <c r="G578" s="19">
        <f t="shared" si="90"/>
        <v>19</v>
      </c>
      <c r="H578" s="27">
        <f t="shared" si="91"/>
        <v>2</v>
      </c>
      <c r="I578" s="6" t="s">
        <v>164</v>
      </c>
      <c r="J578" s="23" t="str">
        <f>VLOOKUP(E578,各职业基础配置!$B$9:$C$12,2,FALSE)</f>
        <v>106|107|108|4201|110</v>
      </c>
      <c r="K578" s="18" t="str">
        <f>VLOOKUP(E578,各职业基础配置!$B$15:$C$18,2,FALSE)</f>
        <v>20|21|22|23</v>
      </c>
      <c r="L578" s="18" t="str">
        <f>VLOOKUP(E578,各职业基础配置!B:C,2,FALSE)</f>
        <v>[{20,1,1},{21,1,1},{22,1,1},{23,1,1},{4,1,1},{5,1,1},{6,1,1}]</v>
      </c>
      <c r="M578" s="18">
        <v>0</v>
      </c>
      <c r="N578" s="18">
        <f t="shared" si="92"/>
        <v>7</v>
      </c>
      <c r="O578" s="18">
        <f>SUMPRODUCT(P578:AI578,Sheet2!$B$3:$U$3)</f>
        <v>115106</v>
      </c>
      <c r="P578" s="18">
        <f>CEILING(INDEX([1]系统模型!$VD:$VD,MATCH(C578,[1]系统模型!$A:$A,0))*POWER(C578/220,3.8)-50+(1000-A578),1)</f>
        <v>2110</v>
      </c>
      <c r="Q578" s="18">
        <f>CEILING(INDEX([1]系统模型!$VE:$VE,MATCH(C578,[1]系统模型!$A:$A,0))*POWER(C578/220,4),1)</f>
        <v>236</v>
      </c>
      <c r="R578" s="18">
        <f>INT(INDEX([1]系统模型!$VF:$VF,MATCH(C578,[1]系统模型!$A:$A,0))*MAX(POWER(C578/180,4),0.5))</f>
        <v>15356</v>
      </c>
      <c r="S578" s="5">
        <v>1000</v>
      </c>
      <c r="T578" s="25">
        <v>0</v>
      </c>
      <c r="U578" s="25">
        <v>0</v>
      </c>
      <c r="V578" s="25">
        <v>0</v>
      </c>
      <c r="W578" s="25">
        <v>0</v>
      </c>
      <c r="X578" s="25">
        <f t="shared" si="93"/>
        <v>767</v>
      </c>
      <c r="Y578" s="12">
        <v>0</v>
      </c>
      <c r="Z578" s="25">
        <v>100</v>
      </c>
      <c r="AA578" s="25">
        <v>150</v>
      </c>
      <c r="AB578" s="25">
        <v>0</v>
      </c>
      <c r="AC578" s="25">
        <v>0</v>
      </c>
      <c r="AD578" s="25">
        <v>0</v>
      </c>
      <c r="AE578" s="25">
        <f t="shared" si="94"/>
        <v>328</v>
      </c>
      <c r="AF578" s="25">
        <f t="shared" si="95"/>
        <v>328</v>
      </c>
      <c r="AG578" s="25">
        <v>0</v>
      </c>
      <c r="AH578" s="25">
        <f t="shared" si="96"/>
        <v>3550</v>
      </c>
      <c r="AI578" s="25">
        <f t="shared" si="97"/>
        <v>28</v>
      </c>
      <c r="AJ578" s="25">
        <v>1</v>
      </c>
      <c r="AK578" s="25">
        <v>1000</v>
      </c>
      <c r="AL578" s="25">
        <v>100</v>
      </c>
      <c r="AM578" s="26">
        <v>10</v>
      </c>
      <c r="AN578" s="26">
        <v>10</v>
      </c>
      <c r="AO578" s="22" t="s">
        <v>2211</v>
      </c>
      <c r="AP578" s="26">
        <v>0</v>
      </c>
      <c r="AQ578" s="26">
        <f t="shared" si="98"/>
        <v>420</v>
      </c>
      <c r="AR578" s="18" t="str">
        <f ca="1">CONCATENATE(OFFSET(Sheet1!$A$2,RANDBETWEEN(2,500),0,1,1),OFFSET(Sheet1!$A$2,RANDBETWEEN(2,500),RANDBETWEEN(1,5),1,1))</f>
        <v>伊齐基尔</v>
      </c>
      <c r="AS578">
        <f>SUMPRODUCT(P578:AI578,Sheet2!$B$3:$U$3)</f>
        <v>115106</v>
      </c>
    </row>
    <row r="579" spans="1:45" x14ac:dyDescent="0.15">
      <c r="A579" s="18">
        <v>578</v>
      </c>
      <c r="B579" s="18" t="s">
        <v>232</v>
      </c>
      <c r="C579" s="18">
        <f t="shared" ref="C579:C642" si="99">INT(250-(150-2)/1000*A579)</f>
        <v>164</v>
      </c>
      <c r="D579" s="19">
        <f t="shared" ref="D579:D642" si="100">MOD(A579,2)+2</f>
        <v>2</v>
      </c>
      <c r="E579" s="19">
        <f>VLOOKUP(MOD(A579,4),各职业基础配置!C$32:D$35,2,FALSE)</f>
        <v>6</v>
      </c>
      <c r="F579" s="19">
        <f>IF(A579&lt;900,INDEX(各职业基础配置!C$23:C$28,MOD(ROW(A579),4)+1),0)</f>
        <v>16</v>
      </c>
      <c r="G579" s="19">
        <f t="shared" ref="G579:G642" si="101">INT(C579*POWER(C579/250,5))</f>
        <v>19</v>
      </c>
      <c r="H579" s="27">
        <f t="shared" ref="H579:H642" si="102">CEILING(C579/75,1)-1</f>
        <v>2</v>
      </c>
      <c r="I579" s="6" t="s">
        <v>164</v>
      </c>
      <c r="J579" s="23" t="str">
        <f>VLOOKUP(E579,各职业基础配置!$B$9:$C$12,2,FALSE)</f>
        <v>111|112|113|4201|115</v>
      </c>
      <c r="K579" s="18" t="str">
        <f>VLOOKUP(E579,各职业基础配置!$B$15:$C$18,2,FALSE)</f>
        <v>32|33|34</v>
      </c>
      <c r="L579" s="18" t="str">
        <f>VLOOKUP(E579,各职业基础配置!B:C,2,FALSE)</f>
        <v>[{32,1,1},{33,1,1},{34,1,1},{35,1,1},{7,1,1},{8,1,1},{9,1,1}]</v>
      </c>
      <c r="M579" s="18">
        <v>0</v>
      </c>
      <c r="N579" s="18">
        <f t="shared" ref="N579:N642" si="103">IF(OR(E579=3,E579=6),7,3)</f>
        <v>7</v>
      </c>
      <c r="O579" s="18">
        <f>SUMPRODUCT(P579:AI579,Sheet2!$B$3:$U$3)</f>
        <v>115081</v>
      </c>
      <c r="P579" s="18">
        <f>CEILING(INDEX([1]系统模型!$VD:$VD,MATCH(C579,[1]系统模型!$A:$A,0))*POWER(C579/220,3.8)-50+(1000-A579),1)</f>
        <v>2109</v>
      </c>
      <c r="Q579" s="18">
        <f>CEILING(INDEX([1]系统模型!$VE:$VE,MATCH(C579,[1]系统模型!$A:$A,0))*POWER(C579/220,4),1)</f>
        <v>236</v>
      </c>
      <c r="R579" s="18">
        <f>INT(INDEX([1]系统模型!$VF:$VF,MATCH(C579,[1]系统模型!$A:$A,0))*MAX(POWER(C579/180,4),0.5))</f>
        <v>15356</v>
      </c>
      <c r="S579" s="5">
        <v>1000</v>
      </c>
      <c r="T579" s="25">
        <v>0</v>
      </c>
      <c r="U579" s="25">
        <v>0</v>
      </c>
      <c r="V579" s="25">
        <v>0</v>
      </c>
      <c r="W579" s="25">
        <v>0</v>
      </c>
      <c r="X579" s="25">
        <f t="shared" ref="X579:X642" si="104">INT(R579/20)</f>
        <v>767</v>
      </c>
      <c r="Y579" s="12">
        <v>0</v>
      </c>
      <c r="Z579" s="25">
        <v>100</v>
      </c>
      <c r="AA579" s="25">
        <v>150</v>
      </c>
      <c r="AB579" s="25">
        <v>0</v>
      </c>
      <c r="AC579" s="25">
        <v>0</v>
      </c>
      <c r="AD579" s="25">
        <v>0</v>
      </c>
      <c r="AE579" s="25">
        <f t="shared" ref="AE579:AE642" si="105">C579*2</f>
        <v>328</v>
      </c>
      <c r="AF579" s="25">
        <f t="shared" ref="AF579:AF642" si="106">C579*2</f>
        <v>328</v>
      </c>
      <c r="AG579" s="25">
        <v>0</v>
      </c>
      <c r="AH579" s="25">
        <f t="shared" ref="AH579:AH642" si="107">MAX(10000-(250-C579)*75,0)</f>
        <v>3550</v>
      </c>
      <c r="AI579" s="25">
        <f t="shared" ref="AI579:AI642" si="108">INT(P579/75)</f>
        <v>28</v>
      </c>
      <c r="AJ579" s="25">
        <v>1</v>
      </c>
      <c r="AK579" s="25">
        <v>1000</v>
      </c>
      <c r="AL579" s="25">
        <v>100</v>
      </c>
      <c r="AM579" s="26">
        <v>10</v>
      </c>
      <c r="AN579" s="26">
        <v>10</v>
      </c>
      <c r="AO579" s="22" t="s">
        <v>2211</v>
      </c>
      <c r="AP579" s="26">
        <v>0</v>
      </c>
      <c r="AQ579" s="26">
        <f t="shared" ref="AQ579:AQ642" si="109">MAX(CEILING(1000-A579*1.02,10),0)</f>
        <v>420</v>
      </c>
      <c r="AR579" s="18" t="str">
        <f ca="1">CONCATENATE(OFFSET(Sheet1!$A$2,RANDBETWEEN(2,500),0,1,1),OFFSET(Sheet1!$A$2,RANDBETWEEN(2,500),RANDBETWEEN(1,5),1,1))</f>
        <v>杜邦</v>
      </c>
      <c r="AS579">
        <f>SUMPRODUCT(P579:AI579,Sheet2!$B$3:$U$3)</f>
        <v>115081</v>
      </c>
    </row>
    <row r="580" spans="1:45" x14ac:dyDescent="0.15">
      <c r="A580" s="23">
        <v>579</v>
      </c>
      <c r="B580" s="18" t="s">
        <v>2051</v>
      </c>
      <c r="C580" s="18">
        <f t="shared" si="99"/>
        <v>164</v>
      </c>
      <c r="D580" s="19">
        <f t="shared" si="100"/>
        <v>3</v>
      </c>
      <c r="E580" s="19">
        <f>VLOOKUP(MOD(A580,4),各职业基础配置!C$32:D$35,2,FALSE)</f>
        <v>9</v>
      </c>
      <c r="F580" s="19">
        <f>IF(A580&lt;900,INDEX(各职业基础配置!C$23:C$28,MOD(ROW(A580),4)+1),0)</f>
        <v>8</v>
      </c>
      <c r="G580" s="19">
        <f t="shared" si="101"/>
        <v>19</v>
      </c>
      <c r="H580" s="27">
        <f t="shared" si="102"/>
        <v>2</v>
      </c>
      <c r="I580" s="6" t="s">
        <v>164</v>
      </c>
      <c r="J580" s="23" t="str">
        <f>VLOOKUP(E580,各职业基础配置!$B$9:$C$12,2,FALSE)</f>
        <v>116|117|118|4201|120</v>
      </c>
      <c r="K580" s="18" t="str">
        <f>VLOOKUP(E580,各职业基础配置!$B$15:$C$18,2,FALSE)</f>
        <v>28|29|30|31</v>
      </c>
      <c r="L580" s="18" t="str">
        <f>VLOOKUP(E580,各职业基础配置!B:C,2,FALSE)</f>
        <v>[{28,1,1},{29,1,1},{30,1,1},{31,1,1},{10,1,1},{11,1,1},{12,1,1}]</v>
      </c>
      <c r="M580" s="18">
        <v>0</v>
      </c>
      <c r="N580" s="18">
        <f t="shared" si="103"/>
        <v>3</v>
      </c>
      <c r="O580" s="18">
        <f>SUMPRODUCT(P580:AI580,Sheet2!$B$3:$U$3)</f>
        <v>115056</v>
      </c>
      <c r="P580" s="18">
        <f>CEILING(INDEX([1]系统模型!$VD:$VD,MATCH(C580,[1]系统模型!$A:$A,0))*POWER(C580/220,3.8)-50+(1000-A580),1)</f>
        <v>2108</v>
      </c>
      <c r="Q580" s="18">
        <f>CEILING(INDEX([1]系统模型!$VE:$VE,MATCH(C580,[1]系统模型!$A:$A,0))*POWER(C580/220,4),1)</f>
        <v>236</v>
      </c>
      <c r="R580" s="18">
        <f>INT(INDEX([1]系统模型!$VF:$VF,MATCH(C580,[1]系统模型!$A:$A,0))*MAX(POWER(C580/180,4),0.5))</f>
        <v>15356</v>
      </c>
      <c r="S580" s="5">
        <v>1000</v>
      </c>
      <c r="T580" s="25">
        <v>0</v>
      </c>
      <c r="U580" s="25">
        <v>0</v>
      </c>
      <c r="V580" s="25">
        <v>0</v>
      </c>
      <c r="W580" s="25">
        <v>0</v>
      </c>
      <c r="X580" s="25">
        <f t="shared" si="104"/>
        <v>767</v>
      </c>
      <c r="Y580" s="12">
        <v>0</v>
      </c>
      <c r="Z580" s="25">
        <v>100</v>
      </c>
      <c r="AA580" s="25">
        <v>150</v>
      </c>
      <c r="AB580" s="25">
        <v>0</v>
      </c>
      <c r="AC580" s="25">
        <v>0</v>
      </c>
      <c r="AD580" s="25">
        <v>0</v>
      </c>
      <c r="AE580" s="25">
        <f t="shared" si="105"/>
        <v>328</v>
      </c>
      <c r="AF580" s="25">
        <f t="shared" si="106"/>
        <v>328</v>
      </c>
      <c r="AG580" s="25">
        <v>0</v>
      </c>
      <c r="AH580" s="25">
        <f t="shared" si="107"/>
        <v>3550</v>
      </c>
      <c r="AI580" s="25">
        <f t="shared" si="108"/>
        <v>28</v>
      </c>
      <c r="AJ580" s="25">
        <v>1</v>
      </c>
      <c r="AK580" s="25">
        <v>1000</v>
      </c>
      <c r="AL580" s="25">
        <v>100</v>
      </c>
      <c r="AM580" s="26">
        <v>10</v>
      </c>
      <c r="AN580" s="26">
        <v>10</v>
      </c>
      <c r="AO580" s="22" t="s">
        <v>2211</v>
      </c>
      <c r="AP580" s="26">
        <v>0</v>
      </c>
      <c r="AQ580" s="26">
        <f t="shared" si="109"/>
        <v>410</v>
      </c>
      <c r="AR580" s="18" t="str">
        <f ca="1">CONCATENATE(OFFSET(Sheet1!$A$2,RANDBETWEEN(2,500),0,1,1),OFFSET(Sheet1!$A$2,RANDBETWEEN(2,500),RANDBETWEEN(1,5),1,1))</f>
        <v>艾登莎洛姆</v>
      </c>
      <c r="AS580">
        <f>SUMPRODUCT(P580:AI580,Sheet2!$B$3:$U$3)</f>
        <v>115056</v>
      </c>
    </row>
    <row r="581" spans="1:45" x14ac:dyDescent="0.15">
      <c r="A581" s="18">
        <v>580</v>
      </c>
      <c r="B581" s="18" t="s">
        <v>2052</v>
      </c>
      <c r="C581" s="18">
        <f t="shared" si="99"/>
        <v>164</v>
      </c>
      <c r="D581" s="19">
        <f t="shared" si="100"/>
        <v>2</v>
      </c>
      <c r="E581" s="19">
        <f>VLOOKUP(MOD(A581,4),各职业基础配置!C$32:D$35,2,FALSE)</f>
        <v>1</v>
      </c>
      <c r="F581" s="19">
        <f>IF(A581&lt;900,INDEX(各职业基础配置!C$23:C$28,MOD(ROW(A581),4)+1),0)</f>
        <v>13</v>
      </c>
      <c r="G581" s="19">
        <f t="shared" si="101"/>
        <v>19</v>
      </c>
      <c r="H581" s="27">
        <f t="shared" si="102"/>
        <v>2</v>
      </c>
      <c r="I581" s="6" t="s">
        <v>164</v>
      </c>
      <c r="J581" s="23" t="str">
        <f>VLOOKUP(E581,各职业基础配置!$B$9:$C$12,2,FALSE)</f>
        <v>101|102|103|4201|105</v>
      </c>
      <c r="K581" s="18" t="str">
        <f>VLOOKUP(E581,各职业基础配置!$B$15:$C$18,2,FALSE)</f>
        <v>24|25|26|27</v>
      </c>
      <c r="L581" s="18" t="str">
        <f>VLOOKUP(E581,各职业基础配置!B:C,2,FALSE)</f>
        <v>[{24,1,1},{25,1,1},{26,1,1},{27,1,1},{1,1,1},{2,1,1},{3,1,1}]</v>
      </c>
      <c r="M581" s="18">
        <v>0</v>
      </c>
      <c r="N581" s="18">
        <f t="shared" si="103"/>
        <v>3</v>
      </c>
      <c r="O581" s="18">
        <f>SUMPRODUCT(P581:AI581,Sheet2!$B$3:$U$3)</f>
        <v>115031</v>
      </c>
      <c r="P581" s="18">
        <f>CEILING(INDEX([1]系统模型!$VD:$VD,MATCH(C581,[1]系统模型!$A:$A,0))*POWER(C581/220,3.8)-50+(1000-A581),1)</f>
        <v>2107</v>
      </c>
      <c r="Q581" s="18">
        <f>CEILING(INDEX([1]系统模型!$VE:$VE,MATCH(C581,[1]系统模型!$A:$A,0))*POWER(C581/220,4),1)</f>
        <v>236</v>
      </c>
      <c r="R581" s="18">
        <f>INT(INDEX([1]系统模型!$VF:$VF,MATCH(C581,[1]系统模型!$A:$A,0))*MAX(POWER(C581/180,4),0.5))</f>
        <v>15356</v>
      </c>
      <c r="S581" s="5">
        <v>1000</v>
      </c>
      <c r="T581" s="25">
        <v>0</v>
      </c>
      <c r="U581" s="25">
        <v>0</v>
      </c>
      <c r="V581" s="25">
        <v>0</v>
      </c>
      <c r="W581" s="25">
        <v>0</v>
      </c>
      <c r="X581" s="25">
        <f t="shared" si="104"/>
        <v>767</v>
      </c>
      <c r="Y581" s="12">
        <v>0</v>
      </c>
      <c r="Z581" s="25">
        <v>100</v>
      </c>
      <c r="AA581" s="25">
        <v>150</v>
      </c>
      <c r="AB581" s="25">
        <v>0</v>
      </c>
      <c r="AC581" s="25">
        <v>0</v>
      </c>
      <c r="AD581" s="25">
        <v>0</v>
      </c>
      <c r="AE581" s="25">
        <f t="shared" si="105"/>
        <v>328</v>
      </c>
      <c r="AF581" s="25">
        <f t="shared" si="106"/>
        <v>328</v>
      </c>
      <c r="AG581" s="25">
        <v>0</v>
      </c>
      <c r="AH581" s="25">
        <f t="shared" si="107"/>
        <v>3550</v>
      </c>
      <c r="AI581" s="25">
        <f t="shared" si="108"/>
        <v>28</v>
      </c>
      <c r="AJ581" s="25">
        <v>1</v>
      </c>
      <c r="AK581" s="25">
        <v>1000</v>
      </c>
      <c r="AL581" s="25">
        <v>100</v>
      </c>
      <c r="AM581" s="26">
        <v>10</v>
      </c>
      <c r="AN581" s="26">
        <v>10</v>
      </c>
      <c r="AO581" s="22" t="s">
        <v>2211</v>
      </c>
      <c r="AP581" s="26">
        <v>0</v>
      </c>
      <c r="AQ581" s="26">
        <f t="shared" si="109"/>
        <v>410</v>
      </c>
      <c r="AR581" s="18" t="str">
        <f ca="1">CONCATENATE(OFFSET(Sheet1!$A$2,RANDBETWEEN(2,500),0,1,1),OFFSET(Sheet1!$A$2,RANDBETWEEN(2,500),RANDBETWEEN(1,5),1,1))</f>
        <v>阿瑟</v>
      </c>
      <c r="AS581">
        <f>SUMPRODUCT(P581:AI581,Sheet2!$B$3:$U$3)</f>
        <v>115031</v>
      </c>
    </row>
    <row r="582" spans="1:45" x14ac:dyDescent="0.15">
      <c r="A582" s="18">
        <v>581</v>
      </c>
      <c r="B582" s="18" t="s">
        <v>2053</v>
      </c>
      <c r="C582" s="18">
        <f t="shared" si="99"/>
        <v>164</v>
      </c>
      <c r="D582" s="19">
        <f t="shared" si="100"/>
        <v>3</v>
      </c>
      <c r="E582" s="19">
        <f>VLOOKUP(MOD(A582,4),各职业基础配置!C$32:D$35,2,FALSE)</f>
        <v>3</v>
      </c>
      <c r="F582" s="19">
        <f>IF(A582&lt;900,INDEX(各职业基础配置!C$23:C$28,MOD(ROW(A582),4)+1),0)</f>
        <v>14</v>
      </c>
      <c r="G582" s="19">
        <f t="shared" si="101"/>
        <v>19</v>
      </c>
      <c r="H582" s="27">
        <f t="shared" si="102"/>
        <v>2</v>
      </c>
      <c r="I582" s="6" t="s">
        <v>164</v>
      </c>
      <c r="J582" s="23" t="str">
        <f>VLOOKUP(E582,各职业基础配置!$B$9:$C$12,2,FALSE)</f>
        <v>106|107|108|4201|110</v>
      </c>
      <c r="K582" s="18" t="str">
        <f>VLOOKUP(E582,各职业基础配置!$B$15:$C$18,2,FALSE)</f>
        <v>20|21|22|23</v>
      </c>
      <c r="L582" s="18" t="str">
        <f>VLOOKUP(E582,各职业基础配置!B:C,2,FALSE)</f>
        <v>[{20,1,1},{21,1,1},{22,1,1},{23,1,1},{4,1,1},{5,1,1},{6,1,1}]</v>
      </c>
      <c r="M582" s="18">
        <v>0</v>
      </c>
      <c r="N582" s="18">
        <f t="shared" si="103"/>
        <v>7</v>
      </c>
      <c r="O582" s="18">
        <f>SUMPRODUCT(P582:AI582,Sheet2!$B$3:$U$3)</f>
        <v>115006</v>
      </c>
      <c r="P582" s="18">
        <f>CEILING(INDEX([1]系统模型!$VD:$VD,MATCH(C582,[1]系统模型!$A:$A,0))*POWER(C582/220,3.8)-50+(1000-A582),1)</f>
        <v>2106</v>
      </c>
      <c r="Q582" s="18">
        <f>CEILING(INDEX([1]系统模型!$VE:$VE,MATCH(C582,[1]系统模型!$A:$A,0))*POWER(C582/220,4),1)</f>
        <v>236</v>
      </c>
      <c r="R582" s="18">
        <f>INT(INDEX([1]系统模型!$VF:$VF,MATCH(C582,[1]系统模型!$A:$A,0))*MAX(POWER(C582/180,4),0.5))</f>
        <v>15356</v>
      </c>
      <c r="S582" s="5">
        <v>1000</v>
      </c>
      <c r="T582" s="25">
        <v>0</v>
      </c>
      <c r="U582" s="25">
        <v>0</v>
      </c>
      <c r="V582" s="25">
        <v>0</v>
      </c>
      <c r="W582" s="25">
        <v>0</v>
      </c>
      <c r="X582" s="25">
        <f t="shared" si="104"/>
        <v>767</v>
      </c>
      <c r="Y582" s="12">
        <v>0</v>
      </c>
      <c r="Z582" s="25">
        <v>100</v>
      </c>
      <c r="AA582" s="25">
        <v>150</v>
      </c>
      <c r="AB582" s="25">
        <v>0</v>
      </c>
      <c r="AC582" s="25">
        <v>0</v>
      </c>
      <c r="AD582" s="25">
        <v>0</v>
      </c>
      <c r="AE582" s="25">
        <f t="shared" si="105"/>
        <v>328</v>
      </c>
      <c r="AF582" s="25">
        <f t="shared" si="106"/>
        <v>328</v>
      </c>
      <c r="AG582" s="25">
        <v>0</v>
      </c>
      <c r="AH582" s="25">
        <f t="shared" si="107"/>
        <v>3550</v>
      </c>
      <c r="AI582" s="25">
        <f t="shared" si="108"/>
        <v>28</v>
      </c>
      <c r="AJ582" s="25">
        <v>1</v>
      </c>
      <c r="AK582" s="25">
        <v>1000</v>
      </c>
      <c r="AL582" s="25">
        <v>100</v>
      </c>
      <c r="AM582" s="26">
        <v>10</v>
      </c>
      <c r="AN582" s="26">
        <v>10</v>
      </c>
      <c r="AO582" s="22" t="s">
        <v>2211</v>
      </c>
      <c r="AP582" s="26">
        <v>0</v>
      </c>
      <c r="AQ582" s="26">
        <f t="shared" si="109"/>
        <v>410</v>
      </c>
      <c r="AR582" s="18" t="str">
        <f ca="1">CONCATENATE(OFFSET(Sheet1!$A$2,RANDBETWEEN(2,500),0,1,1),OFFSET(Sheet1!$A$2,RANDBETWEEN(2,500),RANDBETWEEN(1,5),1,1))</f>
        <v>本瑟姆</v>
      </c>
      <c r="AS582">
        <f>SUMPRODUCT(P582:AI582,Sheet2!$B$3:$U$3)</f>
        <v>115006</v>
      </c>
    </row>
    <row r="583" spans="1:45" x14ac:dyDescent="0.15">
      <c r="A583" s="23">
        <v>582</v>
      </c>
      <c r="B583" s="18" t="s">
        <v>1206</v>
      </c>
      <c r="C583" s="18">
        <f t="shared" si="99"/>
        <v>163</v>
      </c>
      <c r="D583" s="19">
        <f t="shared" si="100"/>
        <v>2</v>
      </c>
      <c r="E583" s="19">
        <f>VLOOKUP(MOD(A583,4),各职业基础配置!C$32:D$35,2,FALSE)</f>
        <v>6</v>
      </c>
      <c r="F583" s="19">
        <f>IF(A583&lt;900,INDEX(各职业基础配置!C$23:C$28,MOD(ROW(A583),4)+1),0)</f>
        <v>16</v>
      </c>
      <c r="G583" s="19">
        <f t="shared" si="101"/>
        <v>19</v>
      </c>
      <c r="H583" s="27">
        <f t="shared" si="102"/>
        <v>2</v>
      </c>
      <c r="I583" s="6" t="s">
        <v>164</v>
      </c>
      <c r="J583" s="23" t="str">
        <f>VLOOKUP(E583,各职业基础配置!$B$9:$C$12,2,FALSE)</f>
        <v>111|112|113|4201|115</v>
      </c>
      <c r="K583" s="18" t="str">
        <f>VLOOKUP(E583,各职业基础配置!$B$15:$C$18,2,FALSE)</f>
        <v>32|33|34</v>
      </c>
      <c r="L583" s="18" t="str">
        <f>VLOOKUP(E583,各职业基础配置!B:C,2,FALSE)</f>
        <v>[{32,1,1},{33,1,1},{34,1,1},{35,1,1},{7,1,1},{8,1,1},{9,1,1}]</v>
      </c>
      <c r="M583" s="18">
        <v>0</v>
      </c>
      <c r="N583" s="18">
        <f t="shared" si="103"/>
        <v>7</v>
      </c>
      <c r="O583" s="18">
        <f>SUMPRODUCT(P583:AI583,Sheet2!$B$3:$U$3)</f>
        <v>112300</v>
      </c>
      <c r="P583" s="18">
        <f>CEILING(INDEX([1]系统模型!$VD:$VD,MATCH(C583,[1]系统模型!$A:$A,0))*POWER(C583/220,3.8)-50+(1000-A583),1)</f>
        <v>2046</v>
      </c>
      <c r="Q583" s="18">
        <f>CEILING(INDEX([1]系统模型!$VE:$VE,MATCH(C583,[1]系统模型!$A:$A,0))*POWER(C583/220,4),1)</f>
        <v>228</v>
      </c>
      <c r="R583" s="18">
        <f>INT(INDEX([1]系统模型!$VF:$VF,MATCH(C583,[1]系统模型!$A:$A,0))*MAX(POWER(C583/180,4),0.5))</f>
        <v>14850</v>
      </c>
      <c r="S583" s="5">
        <v>1000</v>
      </c>
      <c r="T583" s="25">
        <v>0</v>
      </c>
      <c r="U583" s="25">
        <v>0</v>
      </c>
      <c r="V583" s="25">
        <v>0</v>
      </c>
      <c r="W583" s="25">
        <v>0</v>
      </c>
      <c r="X583" s="25">
        <f t="shared" si="104"/>
        <v>742</v>
      </c>
      <c r="Y583" s="12">
        <v>0</v>
      </c>
      <c r="Z583" s="25">
        <v>100</v>
      </c>
      <c r="AA583" s="25">
        <v>150</v>
      </c>
      <c r="AB583" s="25">
        <v>0</v>
      </c>
      <c r="AC583" s="25">
        <v>0</v>
      </c>
      <c r="AD583" s="25">
        <v>0</v>
      </c>
      <c r="AE583" s="25">
        <f t="shared" si="105"/>
        <v>326</v>
      </c>
      <c r="AF583" s="25">
        <f t="shared" si="106"/>
        <v>326</v>
      </c>
      <c r="AG583" s="25">
        <v>0</v>
      </c>
      <c r="AH583" s="25">
        <f t="shared" si="107"/>
        <v>3475</v>
      </c>
      <c r="AI583" s="25">
        <f t="shared" si="108"/>
        <v>27</v>
      </c>
      <c r="AJ583" s="25">
        <v>1</v>
      </c>
      <c r="AK583" s="25">
        <v>1000</v>
      </c>
      <c r="AL583" s="25">
        <v>100</v>
      </c>
      <c r="AM583" s="26">
        <v>10</v>
      </c>
      <c r="AN583" s="26">
        <v>10</v>
      </c>
      <c r="AO583" s="22" t="s">
        <v>2211</v>
      </c>
      <c r="AP583" s="26">
        <v>0</v>
      </c>
      <c r="AQ583" s="26">
        <f t="shared" si="109"/>
        <v>410</v>
      </c>
      <c r="AR583" s="18" t="str">
        <f ca="1">CONCATENATE(OFFSET(Sheet1!$A$2,RANDBETWEEN(2,500),0,1,1),OFFSET(Sheet1!$A$2,RANDBETWEEN(2,500),RANDBETWEEN(1,5),1,1))</f>
        <v>多伊尔</v>
      </c>
      <c r="AS583">
        <f>SUMPRODUCT(P583:AI583,Sheet2!$B$3:$U$3)</f>
        <v>112300</v>
      </c>
    </row>
    <row r="584" spans="1:45" x14ac:dyDescent="0.15">
      <c r="A584" s="18">
        <v>583</v>
      </c>
      <c r="B584" s="18" t="s">
        <v>569</v>
      </c>
      <c r="C584" s="18">
        <f t="shared" si="99"/>
        <v>163</v>
      </c>
      <c r="D584" s="19">
        <f t="shared" si="100"/>
        <v>3</v>
      </c>
      <c r="E584" s="19">
        <f>VLOOKUP(MOD(A584,4),各职业基础配置!C$32:D$35,2,FALSE)</f>
        <v>9</v>
      </c>
      <c r="F584" s="19">
        <f>IF(A584&lt;900,INDEX(各职业基础配置!C$23:C$28,MOD(ROW(A584),4)+1),0)</f>
        <v>8</v>
      </c>
      <c r="G584" s="19">
        <f t="shared" si="101"/>
        <v>19</v>
      </c>
      <c r="H584" s="27">
        <f t="shared" si="102"/>
        <v>2</v>
      </c>
      <c r="I584" s="6" t="s">
        <v>164</v>
      </c>
      <c r="J584" s="23" t="str">
        <f>VLOOKUP(E584,各职业基础配置!$B$9:$C$12,2,FALSE)</f>
        <v>116|117|118|4201|120</v>
      </c>
      <c r="K584" s="18" t="str">
        <f>VLOOKUP(E584,各职业基础配置!$B$15:$C$18,2,FALSE)</f>
        <v>28|29|30|31</v>
      </c>
      <c r="L584" s="18" t="str">
        <f>VLOOKUP(E584,各职业基础配置!B:C,2,FALSE)</f>
        <v>[{28,1,1},{29,1,1},{30,1,1},{31,1,1},{10,1,1},{11,1,1},{12,1,1}]</v>
      </c>
      <c r="M584" s="18">
        <v>0</v>
      </c>
      <c r="N584" s="18">
        <f t="shared" si="103"/>
        <v>3</v>
      </c>
      <c r="O584" s="18">
        <f>SUMPRODUCT(P584:AI584,Sheet2!$B$3:$U$3)</f>
        <v>112275</v>
      </c>
      <c r="P584" s="18">
        <f>CEILING(INDEX([1]系统模型!$VD:$VD,MATCH(C584,[1]系统模型!$A:$A,0))*POWER(C584/220,3.8)-50+(1000-A584),1)</f>
        <v>2045</v>
      </c>
      <c r="Q584" s="18">
        <f>CEILING(INDEX([1]系统模型!$VE:$VE,MATCH(C584,[1]系统模型!$A:$A,0))*POWER(C584/220,4),1)</f>
        <v>228</v>
      </c>
      <c r="R584" s="18">
        <f>INT(INDEX([1]系统模型!$VF:$VF,MATCH(C584,[1]系统模型!$A:$A,0))*MAX(POWER(C584/180,4),0.5))</f>
        <v>14850</v>
      </c>
      <c r="S584" s="5">
        <v>1000</v>
      </c>
      <c r="T584" s="25">
        <v>0</v>
      </c>
      <c r="U584" s="25">
        <v>0</v>
      </c>
      <c r="V584" s="25">
        <v>0</v>
      </c>
      <c r="W584" s="25">
        <v>0</v>
      </c>
      <c r="X584" s="25">
        <f t="shared" si="104"/>
        <v>742</v>
      </c>
      <c r="Y584" s="12">
        <v>0</v>
      </c>
      <c r="Z584" s="25">
        <v>100</v>
      </c>
      <c r="AA584" s="25">
        <v>150</v>
      </c>
      <c r="AB584" s="25">
        <v>0</v>
      </c>
      <c r="AC584" s="25">
        <v>0</v>
      </c>
      <c r="AD584" s="25">
        <v>0</v>
      </c>
      <c r="AE584" s="25">
        <f t="shared" si="105"/>
        <v>326</v>
      </c>
      <c r="AF584" s="25">
        <f t="shared" si="106"/>
        <v>326</v>
      </c>
      <c r="AG584" s="25">
        <v>0</v>
      </c>
      <c r="AH584" s="25">
        <f t="shared" si="107"/>
        <v>3475</v>
      </c>
      <c r="AI584" s="25">
        <f t="shared" si="108"/>
        <v>27</v>
      </c>
      <c r="AJ584" s="25">
        <v>1</v>
      </c>
      <c r="AK584" s="25">
        <v>1000</v>
      </c>
      <c r="AL584" s="25">
        <v>100</v>
      </c>
      <c r="AM584" s="26">
        <v>10</v>
      </c>
      <c r="AN584" s="26">
        <v>10</v>
      </c>
      <c r="AO584" s="22" t="s">
        <v>2211</v>
      </c>
      <c r="AP584" s="26">
        <v>0</v>
      </c>
      <c r="AQ584" s="26">
        <f t="shared" si="109"/>
        <v>410</v>
      </c>
      <c r="AR584" s="18" t="str">
        <f ca="1">CONCATENATE(OFFSET(Sheet1!$A$2,RANDBETWEEN(2,500),0,1,1),OFFSET(Sheet1!$A$2,RANDBETWEEN(2,500),RANDBETWEEN(1,5),1,1))</f>
        <v>昆西多拉</v>
      </c>
      <c r="AS584">
        <f>SUMPRODUCT(P584:AI584,Sheet2!$B$3:$U$3)</f>
        <v>112275</v>
      </c>
    </row>
    <row r="585" spans="1:45" x14ac:dyDescent="0.15">
      <c r="A585" s="18">
        <v>584</v>
      </c>
      <c r="B585" s="18" t="s">
        <v>1253</v>
      </c>
      <c r="C585" s="18">
        <f t="shared" si="99"/>
        <v>163</v>
      </c>
      <c r="D585" s="19">
        <f t="shared" si="100"/>
        <v>2</v>
      </c>
      <c r="E585" s="19">
        <f>VLOOKUP(MOD(A585,4),各职业基础配置!C$32:D$35,2,FALSE)</f>
        <v>1</v>
      </c>
      <c r="F585" s="19">
        <f>IF(A585&lt;900,INDEX(各职业基础配置!C$23:C$28,MOD(ROW(A585),4)+1),0)</f>
        <v>13</v>
      </c>
      <c r="G585" s="19">
        <f t="shared" si="101"/>
        <v>19</v>
      </c>
      <c r="H585" s="27">
        <f t="shared" si="102"/>
        <v>2</v>
      </c>
      <c r="I585" s="6" t="s">
        <v>164</v>
      </c>
      <c r="J585" s="23" t="str">
        <f>VLOOKUP(E585,各职业基础配置!$B$9:$C$12,2,FALSE)</f>
        <v>101|102|103|4201|105</v>
      </c>
      <c r="K585" s="18" t="str">
        <f>VLOOKUP(E585,各职业基础配置!$B$15:$C$18,2,FALSE)</f>
        <v>24|25|26|27</v>
      </c>
      <c r="L585" s="18" t="str">
        <f>VLOOKUP(E585,各职业基础配置!B:C,2,FALSE)</f>
        <v>[{24,1,1},{25,1,1},{26,1,1},{27,1,1},{1,1,1},{2,1,1},{3,1,1}]</v>
      </c>
      <c r="M585" s="18">
        <v>0</v>
      </c>
      <c r="N585" s="18">
        <f t="shared" si="103"/>
        <v>3</v>
      </c>
      <c r="O585" s="18">
        <f>SUMPRODUCT(P585:AI585,Sheet2!$B$3:$U$3)</f>
        <v>112250</v>
      </c>
      <c r="P585" s="18">
        <f>CEILING(INDEX([1]系统模型!$VD:$VD,MATCH(C585,[1]系统模型!$A:$A,0))*POWER(C585/220,3.8)-50+(1000-A585),1)</f>
        <v>2044</v>
      </c>
      <c r="Q585" s="18">
        <f>CEILING(INDEX([1]系统模型!$VE:$VE,MATCH(C585,[1]系统模型!$A:$A,0))*POWER(C585/220,4),1)</f>
        <v>228</v>
      </c>
      <c r="R585" s="18">
        <f>INT(INDEX([1]系统模型!$VF:$VF,MATCH(C585,[1]系统模型!$A:$A,0))*MAX(POWER(C585/180,4),0.5))</f>
        <v>14850</v>
      </c>
      <c r="S585" s="5">
        <v>1000</v>
      </c>
      <c r="T585" s="25">
        <v>0</v>
      </c>
      <c r="U585" s="25">
        <v>0</v>
      </c>
      <c r="V585" s="25">
        <v>0</v>
      </c>
      <c r="W585" s="25">
        <v>0</v>
      </c>
      <c r="X585" s="25">
        <f t="shared" si="104"/>
        <v>742</v>
      </c>
      <c r="Y585" s="12">
        <v>0</v>
      </c>
      <c r="Z585" s="25">
        <v>100</v>
      </c>
      <c r="AA585" s="25">
        <v>150</v>
      </c>
      <c r="AB585" s="25">
        <v>0</v>
      </c>
      <c r="AC585" s="25">
        <v>0</v>
      </c>
      <c r="AD585" s="25">
        <v>0</v>
      </c>
      <c r="AE585" s="25">
        <f t="shared" si="105"/>
        <v>326</v>
      </c>
      <c r="AF585" s="25">
        <f t="shared" si="106"/>
        <v>326</v>
      </c>
      <c r="AG585" s="25">
        <v>0</v>
      </c>
      <c r="AH585" s="25">
        <f t="shared" si="107"/>
        <v>3475</v>
      </c>
      <c r="AI585" s="25">
        <f t="shared" si="108"/>
        <v>27</v>
      </c>
      <c r="AJ585" s="25">
        <v>1</v>
      </c>
      <c r="AK585" s="25">
        <v>1000</v>
      </c>
      <c r="AL585" s="25">
        <v>100</v>
      </c>
      <c r="AM585" s="26">
        <v>10</v>
      </c>
      <c r="AN585" s="26">
        <v>10</v>
      </c>
      <c r="AO585" s="22" t="s">
        <v>2211</v>
      </c>
      <c r="AP585" s="26">
        <v>0</v>
      </c>
      <c r="AQ585" s="26">
        <f t="shared" si="109"/>
        <v>410</v>
      </c>
      <c r="AR585" s="18" t="str">
        <f ca="1">CONCATENATE(OFFSET(Sheet1!$A$2,RANDBETWEEN(2,500),0,1,1),OFFSET(Sheet1!$A$2,RANDBETWEEN(2,500),RANDBETWEEN(1,5),1,1))</f>
        <v>博福特</v>
      </c>
      <c r="AS585">
        <f>SUMPRODUCT(P585:AI585,Sheet2!$B$3:$U$3)</f>
        <v>112250</v>
      </c>
    </row>
    <row r="586" spans="1:45" x14ac:dyDescent="0.15">
      <c r="A586" s="23">
        <v>585</v>
      </c>
      <c r="B586" s="18" t="s">
        <v>1086</v>
      </c>
      <c r="C586" s="18">
        <f t="shared" si="99"/>
        <v>163</v>
      </c>
      <c r="D586" s="19">
        <f t="shared" si="100"/>
        <v>3</v>
      </c>
      <c r="E586" s="19">
        <f>VLOOKUP(MOD(A586,4),各职业基础配置!C$32:D$35,2,FALSE)</f>
        <v>3</v>
      </c>
      <c r="F586" s="19">
        <f>IF(A586&lt;900,INDEX(各职业基础配置!C$23:C$28,MOD(ROW(A586),4)+1),0)</f>
        <v>14</v>
      </c>
      <c r="G586" s="19">
        <f t="shared" si="101"/>
        <v>19</v>
      </c>
      <c r="H586" s="27">
        <f t="shared" si="102"/>
        <v>2</v>
      </c>
      <c r="I586" s="6" t="s">
        <v>164</v>
      </c>
      <c r="J586" s="23" t="str">
        <f>VLOOKUP(E586,各职业基础配置!$B$9:$C$12,2,FALSE)</f>
        <v>106|107|108|4201|110</v>
      </c>
      <c r="K586" s="18" t="str">
        <f>VLOOKUP(E586,各职业基础配置!$B$15:$C$18,2,FALSE)</f>
        <v>20|21|22|23</v>
      </c>
      <c r="L586" s="18" t="str">
        <f>VLOOKUP(E586,各职业基础配置!B:C,2,FALSE)</f>
        <v>[{20,1,1},{21,1,1},{22,1,1},{23,1,1},{4,1,1},{5,1,1},{6,1,1}]</v>
      </c>
      <c r="M586" s="18">
        <v>0</v>
      </c>
      <c r="N586" s="18">
        <f t="shared" si="103"/>
        <v>7</v>
      </c>
      <c r="O586" s="18">
        <f>SUMPRODUCT(P586:AI586,Sheet2!$B$3:$U$3)</f>
        <v>112225</v>
      </c>
      <c r="P586" s="18">
        <f>CEILING(INDEX([1]系统模型!$VD:$VD,MATCH(C586,[1]系统模型!$A:$A,0))*POWER(C586/220,3.8)-50+(1000-A586),1)</f>
        <v>2043</v>
      </c>
      <c r="Q586" s="18">
        <f>CEILING(INDEX([1]系统模型!$VE:$VE,MATCH(C586,[1]系统模型!$A:$A,0))*POWER(C586/220,4),1)</f>
        <v>228</v>
      </c>
      <c r="R586" s="18">
        <f>INT(INDEX([1]系统模型!$VF:$VF,MATCH(C586,[1]系统模型!$A:$A,0))*MAX(POWER(C586/180,4),0.5))</f>
        <v>14850</v>
      </c>
      <c r="S586" s="5">
        <v>1000</v>
      </c>
      <c r="T586" s="25">
        <v>0</v>
      </c>
      <c r="U586" s="25">
        <v>0</v>
      </c>
      <c r="V586" s="25">
        <v>0</v>
      </c>
      <c r="W586" s="25">
        <v>0</v>
      </c>
      <c r="X586" s="25">
        <f t="shared" si="104"/>
        <v>742</v>
      </c>
      <c r="Y586" s="12">
        <v>0</v>
      </c>
      <c r="Z586" s="25">
        <v>100</v>
      </c>
      <c r="AA586" s="25">
        <v>150</v>
      </c>
      <c r="AB586" s="25">
        <v>0</v>
      </c>
      <c r="AC586" s="25">
        <v>0</v>
      </c>
      <c r="AD586" s="25">
        <v>0</v>
      </c>
      <c r="AE586" s="25">
        <f t="shared" si="105"/>
        <v>326</v>
      </c>
      <c r="AF586" s="25">
        <f t="shared" si="106"/>
        <v>326</v>
      </c>
      <c r="AG586" s="25">
        <v>0</v>
      </c>
      <c r="AH586" s="25">
        <f t="shared" si="107"/>
        <v>3475</v>
      </c>
      <c r="AI586" s="25">
        <f t="shared" si="108"/>
        <v>27</v>
      </c>
      <c r="AJ586" s="25">
        <v>1</v>
      </c>
      <c r="AK586" s="25">
        <v>1000</v>
      </c>
      <c r="AL586" s="25">
        <v>100</v>
      </c>
      <c r="AM586" s="26">
        <v>10</v>
      </c>
      <c r="AN586" s="26">
        <v>10</v>
      </c>
      <c r="AO586" s="22" t="s">
        <v>2211</v>
      </c>
      <c r="AP586" s="26">
        <v>0</v>
      </c>
      <c r="AQ586" s="26">
        <f t="shared" si="109"/>
        <v>410</v>
      </c>
      <c r="AR586" s="18" t="str">
        <f ca="1">CONCATENATE(OFFSET(Sheet1!$A$2,RANDBETWEEN(2,500),0,1,1),OFFSET(Sheet1!$A$2,RANDBETWEEN(2,500),RANDBETWEEN(1,5),1,1))</f>
        <v>赫斯特</v>
      </c>
      <c r="AS586">
        <f>SUMPRODUCT(P586:AI586,Sheet2!$B$3:$U$3)</f>
        <v>112225</v>
      </c>
    </row>
    <row r="587" spans="1:45" x14ac:dyDescent="0.15">
      <c r="A587" s="18">
        <v>586</v>
      </c>
      <c r="B587" s="18" t="s">
        <v>457</v>
      </c>
      <c r="C587" s="18">
        <f t="shared" si="99"/>
        <v>163</v>
      </c>
      <c r="D587" s="19">
        <f t="shared" si="100"/>
        <v>2</v>
      </c>
      <c r="E587" s="19">
        <f>VLOOKUP(MOD(A587,4),各职业基础配置!C$32:D$35,2,FALSE)</f>
        <v>6</v>
      </c>
      <c r="F587" s="19">
        <f>IF(A587&lt;900,INDEX(各职业基础配置!C$23:C$28,MOD(ROW(A587),4)+1),0)</f>
        <v>16</v>
      </c>
      <c r="G587" s="19">
        <f t="shared" si="101"/>
        <v>19</v>
      </c>
      <c r="H587" s="27">
        <f t="shared" si="102"/>
        <v>2</v>
      </c>
      <c r="I587" s="6" t="s">
        <v>164</v>
      </c>
      <c r="J587" s="23" t="str">
        <f>VLOOKUP(E587,各职业基础配置!$B$9:$C$12,2,FALSE)</f>
        <v>111|112|113|4201|115</v>
      </c>
      <c r="K587" s="18" t="str">
        <f>VLOOKUP(E587,各职业基础配置!$B$15:$C$18,2,FALSE)</f>
        <v>32|33|34</v>
      </c>
      <c r="L587" s="18" t="str">
        <f>VLOOKUP(E587,各职业基础配置!B:C,2,FALSE)</f>
        <v>[{32,1,1},{33,1,1},{34,1,1},{35,1,1},{7,1,1},{8,1,1},{9,1,1}]</v>
      </c>
      <c r="M587" s="18">
        <v>0</v>
      </c>
      <c r="N587" s="18">
        <f t="shared" si="103"/>
        <v>7</v>
      </c>
      <c r="O587" s="18">
        <f>SUMPRODUCT(P587:AI587,Sheet2!$B$3:$U$3)</f>
        <v>112200</v>
      </c>
      <c r="P587" s="18">
        <f>CEILING(INDEX([1]系统模型!$VD:$VD,MATCH(C587,[1]系统模型!$A:$A,0))*POWER(C587/220,3.8)-50+(1000-A587),1)</f>
        <v>2042</v>
      </c>
      <c r="Q587" s="18">
        <f>CEILING(INDEX([1]系统模型!$VE:$VE,MATCH(C587,[1]系统模型!$A:$A,0))*POWER(C587/220,4),1)</f>
        <v>228</v>
      </c>
      <c r="R587" s="18">
        <f>INT(INDEX([1]系统模型!$VF:$VF,MATCH(C587,[1]系统模型!$A:$A,0))*MAX(POWER(C587/180,4),0.5))</f>
        <v>14850</v>
      </c>
      <c r="S587" s="5">
        <v>1000</v>
      </c>
      <c r="T587" s="25">
        <v>0</v>
      </c>
      <c r="U587" s="25">
        <v>0</v>
      </c>
      <c r="V587" s="25">
        <v>0</v>
      </c>
      <c r="W587" s="25">
        <v>0</v>
      </c>
      <c r="X587" s="25">
        <f t="shared" si="104"/>
        <v>742</v>
      </c>
      <c r="Y587" s="12">
        <v>0</v>
      </c>
      <c r="Z587" s="25">
        <v>100</v>
      </c>
      <c r="AA587" s="25">
        <v>150</v>
      </c>
      <c r="AB587" s="25">
        <v>0</v>
      </c>
      <c r="AC587" s="25">
        <v>0</v>
      </c>
      <c r="AD587" s="25">
        <v>0</v>
      </c>
      <c r="AE587" s="25">
        <f t="shared" si="105"/>
        <v>326</v>
      </c>
      <c r="AF587" s="25">
        <f t="shared" si="106"/>
        <v>326</v>
      </c>
      <c r="AG587" s="25">
        <v>0</v>
      </c>
      <c r="AH587" s="25">
        <f t="shared" si="107"/>
        <v>3475</v>
      </c>
      <c r="AI587" s="25">
        <f t="shared" si="108"/>
        <v>27</v>
      </c>
      <c r="AJ587" s="25">
        <v>1</v>
      </c>
      <c r="AK587" s="25">
        <v>1000</v>
      </c>
      <c r="AL587" s="25">
        <v>100</v>
      </c>
      <c r="AM587" s="26">
        <v>10</v>
      </c>
      <c r="AN587" s="26">
        <v>10</v>
      </c>
      <c r="AO587" s="22" t="s">
        <v>2211</v>
      </c>
      <c r="AP587" s="26">
        <v>0</v>
      </c>
      <c r="AQ587" s="26">
        <f t="shared" si="109"/>
        <v>410</v>
      </c>
      <c r="AR587" s="18" t="str">
        <f ca="1">CONCATENATE(OFFSET(Sheet1!$A$2,RANDBETWEEN(2,500),0,1,1),OFFSET(Sheet1!$A$2,RANDBETWEEN(2,500),RANDBETWEEN(1,5),1,1))</f>
        <v>布鲁克</v>
      </c>
      <c r="AS587">
        <f>SUMPRODUCT(P587:AI587,Sheet2!$B$3:$U$3)</f>
        <v>112200</v>
      </c>
    </row>
    <row r="588" spans="1:45" x14ac:dyDescent="0.15">
      <c r="A588" s="18">
        <v>587</v>
      </c>
      <c r="B588" s="18" t="s">
        <v>1147</v>
      </c>
      <c r="C588" s="18">
        <f t="shared" si="99"/>
        <v>163</v>
      </c>
      <c r="D588" s="19">
        <f t="shared" si="100"/>
        <v>3</v>
      </c>
      <c r="E588" s="19">
        <f>VLOOKUP(MOD(A588,4),各职业基础配置!C$32:D$35,2,FALSE)</f>
        <v>9</v>
      </c>
      <c r="F588" s="19">
        <f>IF(A588&lt;900,INDEX(各职业基础配置!C$23:C$28,MOD(ROW(A588),4)+1),0)</f>
        <v>8</v>
      </c>
      <c r="G588" s="19">
        <f t="shared" si="101"/>
        <v>19</v>
      </c>
      <c r="H588" s="27">
        <f t="shared" si="102"/>
        <v>2</v>
      </c>
      <c r="I588" s="6" t="s">
        <v>164</v>
      </c>
      <c r="J588" s="23" t="str">
        <f>VLOOKUP(E588,各职业基础配置!$B$9:$C$12,2,FALSE)</f>
        <v>116|117|118|4201|120</v>
      </c>
      <c r="K588" s="18" t="str">
        <f>VLOOKUP(E588,各职业基础配置!$B$15:$C$18,2,FALSE)</f>
        <v>28|29|30|31</v>
      </c>
      <c r="L588" s="18" t="str">
        <f>VLOOKUP(E588,各职业基础配置!B:C,2,FALSE)</f>
        <v>[{28,1,1},{29,1,1},{30,1,1},{31,1,1},{10,1,1},{11,1,1},{12,1,1}]</v>
      </c>
      <c r="M588" s="18">
        <v>0</v>
      </c>
      <c r="N588" s="18">
        <f t="shared" si="103"/>
        <v>3</v>
      </c>
      <c r="O588" s="18">
        <f>SUMPRODUCT(P588:AI588,Sheet2!$B$3:$U$3)</f>
        <v>112175</v>
      </c>
      <c r="P588" s="18">
        <f>CEILING(INDEX([1]系统模型!$VD:$VD,MATCH(C588,[1]系统模型!$A:$A,0))*POWER(C588/220,3.8)-50+(1000-A588),1)</f>
        <v>2041</v>
      </c>
      <c r="Q588" s="18">
        <f>CEILING(INDEX([1]系统模型!$VE:$VE,MATCH(C588,[1]系统模型!$A:$A,0))*POWER(C588/220,4),1)</f>
        <v>228</v>
      </c>
      <c r="R588" s="18">
        <f>INT(INDEX([1]系统模型!$VF:$VF,MATCH(C588,[1]系统模型!$A:$A,0))*MAX(POWER(C588/180,4),0.5))</f>
        <v>14850</v>
      </c>
      <c r="S588" s="5">
        <v>1000</v>
      </c>
      <c r="T588" s="25">
        <v>0</v>
      </c>
      <c r="U588" s="25">
        <v>0</v>
      </c>
      <c r="V588" s="25">
        <v>0</v>
      </c>
      <c r="W588" s="25">
        <v>0</v>
      </c>
      <c r="X588" s="25">
        <f t="shared" si="104"/>
        <v>742</v>
      </c>
      <c r="Y588" s="12">
        <v>0</v>
      </c>
      <c r="Z588" s="25">
        <v>100</v>
      </c>
      <c r="AA588" s="25">
        <v>150</v>
      </c>
      <c r="AB588" s="25">
        <v>0</v>
      </c>
      <c r="AC588" s="25">
        <v>0</v>
      </c>
      <c r="AD588" s="25">
        <v>0</v>
      </c>
      <c r="AE588" s="25">
        <f t="shared" si="105"/>
        <v>326</v>
      </c>
      <c r="AF588" s="25">
        <f t="shared" si="106"/>
        <v>326</v>
      </c>
      <c r="AG588" s="25">
        <v>0</v>
      </c>
      <c r="AH588" s="25">
        <f t="shared" si="107"/>
        <v>3475</v>
      </c>
      <c r="AI588" s="25">
        <f t="shared" si="108"/>
        <v>27</v>
      </c>
      <c r="AJ588" s="25">
        <v>1</v>
      </c>
      <c r="AK588" s="25">
        <v>1000</v>
      </c>
      <c r="AL588" s="25">
        <v>100</v>
      </c>
      <c r="AM588" s="26">
        <v>10</v>
      </c>
      <c r="AN588" s="26">
        <v>10</v>
      </c>
      <c r="AO588" s="22" t="s">
        <v>2211</v>
      </c>
      <c r="AP588" s="26">
        <v>0</v>
      </c>
      <c r="AQ588" s="26">
        <f t="shared" si="109"/>
        <v>410</v>
      </c>
      <c r="AR588" s="18" t="str">
        <f ca="1">CONCATENATE(OFFSET(Sheet1!$A$2,RANDBETWEEN(2,500),0,1,1),OFFSET(Sheet1!$A$2,RANDBETWEEN(2,500),RANDBETWEEN(1,5),1,1))</f>
        <v>霍索恩丹丹</v>
      </c>
      <c r="AS588">
        <f>SUMPRODUCT(P588:AI588,Sheet2!$B$3:$U$3)</f>
        <v>112175</v>
      </c>
    </row>
    <row r="589" spans="1:45" x14ac:dyDescent="0.15">
      <c r="A589" s="23">
        <v>588</v>
      </c>
      <c r="B589" s="18" t="s">
        <v>868</v>
      </c>
      <c r="C589" s="18">
        <f t="shared" si="99"/>
        <v>162</v>
      </c>
      <c r="D589" s="19">
        <f t="shared" si="100"/>
        <v>2</v>
      </c>
      <c r="E589" s="19">
        <f>VLOOKUP(MOD(A589,4),各职业基础配置!C$32:D$35,2,FALSE)</f>
        <v>1</v>
      </c>
      <c r="F589" s="19">
        <f>IF(A589&lt;900,INDEX(各职业基础配置!C$23:C$28,MOD(ROW(A589),4)+1),0)</f>
        <v>13</v>
      </c>
      <c r="G589" s="19">
        <f t="shared" si="101"/>
        <v>18</v>
      </c>
      <c r="H589" s="27">
        <f t="shared" si="102"/>
        <v>2</v>
      </c>
      <c r="I589" s="6" t="s">
        <v>164</v>
      </c>
      <c r="J589" s="23" t="str">
        <f>VLOOKUP(E589,各职业基础配置!$B$9:$C$12,2,FALSE)</f>
        <v>101|102|103|4201|105</v>
      </c>
      <c r="K589" s="18" t="str">
        <f>VLOOKUP(E589,各职业基础配置!$B$15:$C$18,2,FALSE)</f>
        <v>24|25|26|27</v>
      </c>
      <c r="L589" s="18" t="str">
        <f>VLOOKUP(E589,各职业基础配置!B:C,2,FALSE)</f>
        <v>[{24,1,1},{25,1,1},{26,1,1},{27,1,1},{1,1,1},{2,1,1},{3,1,1}]</v>
      </c>
      <c r="M589" s="18">
        <v>0</v>
      </c>
      <c r="N589" s="18">
        <f t="shared" si="103"/>
        <v>3</v>
      </c>
      <c r="O589" s="18">
        <f>SUMPRODUCT(P589:AI589,Sheet2!$B$3:$U$3)</f>
        <v>109462</v>
      </c>
      <c r="P589" s="18">
        <f>CEILING(INDEX([1]系统模型!$VD:$VD,MATCH(C589,[1]系统模型!$A:$A,0))*POWER(C589/220,3.8)-50+(1000-A589),1)</f>
        <v>1981</v>
      </c>
      <c r="Q589" s="18">
        <f>CEILING(INDEX([1]系统模型!$VE:$VE,MATCH(C589,[1]系统模型!$A:$A,0))*POWER(C589/220,4),1)</f>
        <v>220</v>
      </c>
      <c r="R589" s="18">
        <f>INT(INDEX([1]系统模型!$VF:$VF,MATCH(C589,[1]系统模型!$A:$A,0))*MAX(POWER(C589/180,4),0.5))</f>
        <v>14337</v>
      </c>
      <c r="S589" s="5">
        <v>1000</v>
      </c>
      <c r="T589" s="25">
        <v>0</v>
      </c>
      <c r="U589" s="25">
        <v>0</v>
      </c>
      <c r="V589" s="25">
        <v>0</v>
      </c>
      <c r="W589" s="25">
        <v>0</v>
      </c>
      <c r="X589" s="25">
        <f t="shared" si="104"/>
        <v>716</v>
      </c>
      <c r="Y589" s="12">
        <v>0</v>
      </c>
      <c r="Z589" s="25">
        <v>100</v>
      </c>
      <c r="AA589" s="25">
        <v>150</v>
      </c>
      <c r="AB589" s="25">
        <v>0</v>
      </c>
      <c r="AC589" s="25">
        <v>0</v>
      </c>
      <c r="AD589" s="25">
        <v>0</v>
      </c>
      <c r="AE589" s="25">
        <f t="shared" si="105"/>
        <v>324</v>
      </c>
      <c r="AF589" s="25">
        <f t="shared" si="106"/>
        <v>324</v>
      </c>
      <c r="AG589" s="25">
        <v>0</v>
      </c>
      <c r="AH589" s="25">
        <f t="shared" si="107"/>
        <v>3400</v>
      </c>
      <c r="AI589" s="25">
        <f t="shared" si="108"/>
        <v>26</v>
      </c>
      <c r="AJ589" s="25">
        <v>1</v>
      </c>
      <c r="AK589" s="25">
        <v>1000</v>
      </c>
      <c r="AL589" s="25">
        <v>100</v>
      </c>
      <c r="AM589" s="26">
        <v>10</v>
      </c>
      <c r="AN589" s="26">
        <v>10</v>
      </c>
      <c r="AO589" s="22" t="s">
        <v>2211</v>
      </c>
      <c r="AP589" s="26">
        <v>0</v>
      </c>
      <c r="AQ589" s="26">
        <f t="shared" si="109"/>
        <v>410</v>
      </c>
      <c r="AR589" s="18" t="str">
        <f ca="1">CONCATENATE(OFFSET(Sheet1!$A$2,RANDBETWEEN(2,500),0,1,1),OFFSET(Sheet1!$A$2,RANDBETWEEN(2,500),RANDBETWEEN(1,5),1,1))</f>
        <v>巴特利特</v>
      </c>
      <c r="AS589">
        <f>SUMPRODUCT(P589:AI589,Sheet2!$B$3:$U$3)</f>
        <v>109462</v>
      </c>
    </row>
    <row r="590" spans="1:45" x14ac:dyDescent="0.15">
      <c r="A590" s="18">
        <v>589</v>
      </c>
      <c r="B590" s="18" t="s">
        <v>1355</v>
      </c>
      <c r="C590" s="18">
        <f t="shared" si="99"/>
        <v>162</v>
      </c>
      <c r="D590" s="19">
        <f t="shared" si="100"/>
        <v>3</v>
      </c>
      <c r="E590" s="19">
        <f>VLOOKUP(MOD(A590,4),各职业基础配置!C$32:D$35,2,FALSE)</f>
        <v>3</v>
      </c>
      <c r="F590" s="19">
        <f>IF(A590&lt;900,INDEX(各职业基础配置!C$23:C$28,MOD(ROW(A590),4)+1),0)</f>
        <v>14</v>
      </c>
      <c r="G590" s="19">
        <f t="shared" si="101"/>
        <v>18</v>
      </c>
      <c r="H590" s="27">
        <f t="shared" si="102"/>
        <v>2</v>
      </c>
      <c r="I590" s="6" t="s">
        <v>164</v>
      </c>
      <c r="J590" s="23" t="str">
        <f>VLOOKUP(E590,各职业基础配置!$B$9:$C$12,2,FALSE)</f>
        <v>106|107|108|4201|110</v>
      </c>
      <c r="K590" s="18" t="str">
        <f>VLOOKUP(E590,各职业基础配置!$B$15:$C$18,2,FALSE)</f>
        <v>20|21|22|23</v>
      </c>
      <c r="L590" s="18" t="str">
        <f>VLOOKUP(E590,各职业基础配置!B:C,2,FALSE)</f>
        <v>[{20,1,1},{21,1,1},{22,1,1},{23,1,1},{4,1,1},{5,1,1},{6,1,1}]</v>
      </c>
      <c r="M590" s="18">
        <v>0</v>
      </c>
      <c r="N590" s="18">
        <f t="shared" si="103"/>
        <v>7</v>
      </c>
      <c r="O590" s="18">
        <f>SUMPRODUCT(P590:AI590,Sheet2!$B$3:$U$3)</f>
        <v>109437</v>
      </c>
      <c r="P590" s="18">
        <f>CEILING(INDEX([1]系统模型!$VD:$VD,MATCH(C590,[1]系统模型!$A:$A,0))*POWER(C590/220,3.8)-50+(1000-A590),1)</f>
        <v>1980</v>
      </c>
      <c r="Q590" s="18">
        <f>CEILING(INDEX([1]系统模型!$VE:$VE,MATCH(C590,[1]系统模型!$A:$A,0))*POWER(C590/220,4),1)</f>
        <v>220</v>
      </c>
      <c r="R590" s="18">
        <f>INT(INDEX([1]系统模型!$VF:$VF,MATCH(C590,[1]系统模型!$A:$A,0))*MAX(POWER(C590/180,4),0.5))</f>
        <v>14337</v>
      </c>
      <c r="S590" s="5">
        <v>1000</v>
      </c>
      <c r="T590" s="25">
        <v>0</v>
      </c>
      <c r="U590" s="25">
        <v>0</v>
      </c>
      <c r="V590" s="25">
        <v>0</v>
      </c>
      <c r="W590" s="25">
        <v>0</v>
      </c>
      <c r="X590" s="25">
        <f t="shared" si="104"/>
        <v>716</v>
      </c>
      <c r="Y590" s="12">
        <v>0</v>
      </c>
      <c r="Z590" s="25">
        <v>100</v>
      </c>
      <c r="AA590" s="25">
        <v>150</v>
      </c>
      <c r="AB590" s="25">
        <v>0</v>
      </c>
      <c r="AC590" s="25">
        <v>0</v>
      </c>
      <c r="AD590" s="25">
        <v>0</v>
      </c>
      <c r="AE590" s="25">
        <f t="shared" si="105"/>
        <v>324</v>
      </c>
      <c r="AF590" s="25">
        <f t="shared" si="106"/>
        <v>324</v>
      </c>
      <c r="AG590" s="25">
        <v>0</v>
      </c>
      <c r="AH590" s="25">
        <f t="shared" si="107"/>
        <v>3400</v>
      </c>
      <c r="AI590" s="25">
        <f t="shared" si="108"/>
        <v>26</v>
      </c>
      <c r="AJ590" s="25">
        <v>1</v>
      </c>
      <c r="AK590" s="25">
        <v>1000</v>
      </c>
      <c r="AL590" s="25">
        <v>100</v>
      </c>
      <c r="AM590" s="26">
        <v>10</v>
      </c>
      <c r="AN590" s="26">
        <v>10</v>
      </c>
      <c r="AO590" s="22" t="s">
        <v>2211</v>
      </c>
      <c r="AP590" s="26">
        <v>0</v>
      </c>
      <c r="AQ590" s="26">
        <f t="shared" si="109"/>
        <v>400</v>
      </c>
      <c r="AR590" s="18" t="str">
        <f ca="1">CONCATENATE(OFFSET(Sheet1!$A$2,RANDBETWEEN(2,500),0,1,1),OFFSET(Sheet1!$A$2,RANDBETWEEN(2,500),RANDBETWEEN(1,5),1,1))</f>
        <v>多德</v>
      </c>
      <c r="AS590">
        <f>SUMPRODUCT(P590:AI590,Sheet2!$B$3:$U$3)</f>
        <v>109437</v>
      </c>
    </row>
    <row r="591" spans="1:45" x14ac:dyDescent="0.15">
      <c r="A591" s="18">
        <v>590</v>
      </c>
      <c r="B591" s="18" t="s">
        <v>2054</v>
      </c>
      <c r="C591" s="18">
        <f t="shared" si="99"/>
        <v>162</v>
      </c>
      <c r="D591" s="19">
        <f t="shared" si="100"/>
        <v>2</v>
      </c>
      <c r="E591" s="19">
        <f>VLOOKUP(MOD(A591,4),各职业基础配置!C$32:D$35,2,FALSE)</f>
        <v>6</v>
      </c>
      <c r="F591" s="19">
        <f>IF(A591&lt;900,INDEX(各职业基础配置!C$23:C$28,MOD(ROW(A591),4)+1),0)</f>
        <v>16</v>
      </c>
      <c r="G591" s="19">
        <f t="shared" si="101"/>
        <v>18</v>
      </c>
      <c r="H591" s="27">
        <f t="shared" si="102"/>
        <v>2</v>
      </c>
      <c r="I591" s="6" t="s">
        <v>164</v>
      </c>
      <c r="J591" s="23" t="str">
        <f>VLOOKUP(E591,各职业基础配置!$B$9:$C$12,2,FALSE)</f>
        <v>111|112|113|4201|115</v>
      </c>
      <c r="K591" s="18" t="str">
        <f>VLOOKUP(E591,各职业基础配置!$B$15:$C$18,2,FALSE)</f>
        <v>32|33|34</v>
      </c>
      <c r="L591" s="18" t="str">
        <f>VLOOKUP(E591,各职业基础配置!B:C,2,FALSE)</f>
        <v>[{32,1,1},{33,1,1},{34,1,1},{35,1,1},{7,1,1},{8,1,1},{9,1,1}]</v>
      </c>
      <c r="M591" s="18">
        <v>0</v>
      </c>
      <c r="N591" s="18">
        <f t="shared" si="103"/>
        <v>7</v>
      </c>
      <c r="O591" s="18">
        <f>SUMPRODUCT(P591:AI591,Sheet2!$B$3:$U$3)</f>
        <v>109412</v>
      </c>
      <c r="P591" s="18">
        <f>CEILING(INDEX([1]系统模型!$VD:$VD,MATCH(C591,[1]系统模型!$A:$A,0))*POWER(C591/220,3.8)-50+(1000-A591),1)</f>
        <v>1979</v>
      </c>
      <c r="Q591" s="18">
        <f>CEILING(INDEX([1]系统模型!$VE:$VE,MATCH(C591,[1]系统模型!$A:$A,0))*POWER(C591/220,4),1)</f>
        <v>220</v>
      </c>
      <c r="R591" s="18">
        <f>INT(INDEX([1]系统模型!$VF:$VF,MATCH(C591,[1]系统模型!$A:$A,0))*MAX(POWER(C591/180,4),0.5))</f>
        <v>14337</v>
      </c>
      <c r="S591" s="5">
        <v>1000</v>
      </c>
      <c r="T591" s="25">
        <v>0</v>
      </c>
      <c r="U591" s="25">
        <v>0</v>
      </c>
      <c r="V591" s="25">
        <v>0</v>
      </c>
      <c r="W591" s="25">
        <v>0</v>
      </c>
      <c r="X591" s="25">
        <f t="shared" si="104"/>
        <v>716</v>
      </c>
      <c r="Y591" s="12">
        <v>0</v>
      </c>
      <c r="Z591" s="25">
        <v>100</v>
      </c>
      <c r="AA591" s="25">
        <v>150</v>
      </c>
      <c r="AB591" s="25">
        <v>0</v>
      </c>
      <c r="AC591" s="25">
        <v>0</v>
      </c>
      <c r="AD591" s="25">
        <v>0</v>
      </c>
      <c r="AE591" s="25">
        <f t="shared" si="105"/>
        <v>324</v>
      </c>
      <c r="AF591" s="25">
        <f t="shared" si="106"/>
        <v>324</v>
      </c>
      <c r="AG591" s="25">
        <v>0</v>
      </c>
      <c r="AH591" s="25">
        <f t="shared" si="107"/>
        <v>3400</v>
      </c>
      <c r="AI591" s="25">
        <f t="shared" si="108"/>
        <v>26</v>
      </c>
      <c r="AJ591" s="25">
        <v>1</v>
      </c>
      <c r="AK591" s="25">
        <v>1000</v>
      </c>
      <c r="AL591" s="25">
        <v>100</v>
      </c>
      <c r="AM591" s="26">
        <v>10</v>
      </c>
      <c r="AN591" s="26">
        <v>10</v>
      </c>
      <c r="AO591" s="22" t="s">
        <v>2211</v>
      </c>
      <c r="AP591" s="26">
        <v>0</v>
      </c>
      <c r="AQ591" s="26">
        <f t="shared" si="109"/>
        <v>400</v>
      </c>
      <c r="AR591" s="18" t="str">
        <f ca="1">CONCATENATE(OFFSET(Sheet1!$A$2,RANDBETWEEN(2,500),0,1,1),OFFSET(Sheet1!$A$2,RANDBETWEEN(2,500),RANDBETWEEN(1,5),1,1))</f>
        <v>凯瑟琳伊迪丝</v>
      </c>
      <c r="AS591">
        <f>SUMPRODUCT(P591:AI591,Sheet2!$B$3:$U$3)</f>
        <v>109412</v>
      </c>
    </row>
    <row r="592" spans="1:45" x14ac:dyDescent="0.15">
      <c r="A592" s="23">
        <v>591</v>
      </c>
      <c r="B592" s="18" t="s">
        <v>2055</v>
      </c>
      <c r="C592" s="18">
        <f t="shared" si="99"/>
        <v>162</v>
      </c>
      <c r="D592" s="19">
        <f t="shared" si="100"/>
        <v>3</v>
      </c>
      <c r="E592" s="19">
        <f>VLOOKUP(MOD(A592,4),各职业基础配置!C$32:D$35,2,FALSE)</f>
        <v>9</v>
      </c>
      <c r="F592" s="19">
        <f>IF(A592&lt;900,INDEX(各职业基础配置!C$23:C$28,MOD(ROW(A592),4)+1),0)</f>
        <v>8</v>
      </c>
      <c r="G592" s="19">
        <f t="shared" si="101"/>
        <v>18</v>
      </c>
      <c r="H592" s="27">
        <f t="shared" si="102"/>
        <v>2</v>
      </c>
      <c r="I592" s="6" t="s">
        <v>164</v>
      </c>
      <c r="J592" s="23" t="str">
        <f>VLOOKUP(E592,各职业基础配置!$B$9:$C$12,2,FALSE)</f>
        <v>116|117|118|4201|120</v>
      </c>
      <c r="K592" s="18" t="str">
        <f>VLOOKUP(E592,各职业基础配置!$B$15:$C$18,2,FALSE)</f>
        <v>28|29|30|31</v>
      </c>
      <c r="L592" s="18" t="str">
        <f>VLOOKUP(E592,各职业基础配置!B:C,2,FALSE)</f>
        <v>[{28,1,1},{29,1,1},{30,1,1},{31,1,1},{10,1,1},{11,1,1},{12,1,1}]</v>
      </c>
      <c r="M592" s="18">
        <v>0</v>
      </c>
      <c r="N592" s="18">
        <f t="shared" si="103"/>
        <v>3</v>
      </c>
      <c r="O592" s="18">
        <f>SUMPRODUCT(P592:AI592,Sheet2!$B$3:$U$3)</f>
        <v>109387</v>
      </c>
      <c r="P592" s="18">
        <f>CEILING(INDEX([1]系统模型!$VD:$VD,MATCH(C592,[1]系统模型!$A:$A,0))*POWER(C592/220,3.8)-50+(1000-A592),1)</f>
        <v>1978</v>
      </c>
      <c r="Q592" s="18">
        <f>CEILING(INDEX([1]系统模型!$VE:$VE,MATCH(C592,[1]系统模型!$A:$A,0))*POWER(C592/220,4),1)</f>
        <v>220</v>
      </c>
      <c r="R592" s="18">
        <f>INT(INDEX([1]系统模型!$VF:$VF,MATCH(C592,[1]系统模型!$A:$A,0))*MAX(POWER(C592/180,4),0.5))</f>
        <v>14337</v>
      </c>
      <c r="S592" s="5">
        <v>1000</v>
      </c>
      <c r="T592" s="25">
        <v>0</v>
      </c>
      <c r="U592" s="25">
        <v>0</v>
      </c>
      <c r="V592" s="25">
        <v>0</v>
      </c>
      <c r="W592" s="25">
        <v>0</v>
      </c>
      <c r="X592" s="25">
        <f t="shared" si="104"/>
        <v>716</v>
      </c>
      <c r="Y592" s="12">
        <v>0</v>
      </c>
      <c r="Z592" s="25">
        <v>100</v>
      </c>
      <c r="AA592" s="25">
        <v>150</v>
      </c>
      <c r="AB592" s="25">
        <v>0</v>
      </c>
      <c r="AC592" s="25">
        <v>0</v>
      </c>
      <c r="AD592" s="25">
        <v>0</v>
      </c>
      <c r="AE592" s="25">
        <f t="shared" si="105"/>
        <v>324</v>
      </c>
      <c r="AF592" s="25">
        <f t="shared" si="106"/>
        <v>324</v>
      </c>
      <c r="AG592" s="25">
        <v>0</v>
      </c>
      <c r="AH592" s="25">
        <f t="shared" si="107"/>
        <v>3400</v>
      </c>
      <c r="AI592" s="25">
        <f t="shared" si="108"/>
        <v>26</v>
      </c>
      <c r="AJ592" s="25">
        <v>1</v>
      </c>
      <c r="AK592" s="25">
        <v>1000</v>
      </c>
      <c r="AL592" s="25">
        <v>100</v>
      </c>
      <c r="AM592" s="26">
        <v>10</v>
      </c>
      <c r="AN592" s="26">
        <v>10</v>
      </c>
      <c r="AO592" s="22" t="s">
        <v>2211</v>
      </c>
      <c r="AP592" s="26">
        <v>0</v>
      </c>
      <c r="AQ592" s="26">
        <f t="shared" si="109"/>
        <v>400</v>
      </c>
      <c r="AR592" s="18" t="str">
        <f ca="1">CONCATENATE(OFFSET(Sheet1!$A$2,RANDBETWEEN(2,500),0,1,1),OFFSET(Sheet1!$A$2,RANDBETWEEN(2,500),RANDBETWEEN(1,5),1,1))</f>
        <v>阿奇博尔德</v>
      </c>
      <c r="AS592">
        <f>SUMPRODUCT(P592:AI592,Sheet2!$B$3:$U$3)</f>
        <v>109387</v>
      </c>
    </row>
    <row r="593" spans="1:45" x14ac:dyDescent="0.15">
      <c r="A593" s="18">
        <v>592</v>
      </c>
      <c r="B593" s="18" t="s">
        <v>944</v>
      </c>
      <c r="C593" s="18">
        <f t="shared" si="99"/>
        <v>162</v>
      </c>
      <c r="D593" s="19">
        <f t="shared" si="100"/>
        <v>2</v>
      </c>
      <c r="E593" s="19">
        <f>VLOOKUP(MOD(A593,4),各职业基础配置!C$32:D$35,2,FALSE)</f>
        <v>1</v>
      </c>
      <c r="F593" s="19">
        <f>IF(A593&lt;900,INDEX(各职业基础配置!C$23:C$28,MOD(ROW(A593),4)+1),0)</f>
        <v>13</v>
      </c>
      <c r="G593" s="19">
        <f t="shared" si="101"/>
        <v>18</v>
      </c>
      <c r="H593" s="27">
        <f t="shared" si="102"/>
        <v>2</v>
      </c>
      <c r="I593" s="6" t="s">
        <v>164</v>
      </c>
      <c r="J593" s="23" t="str">
        <f>VLOOKUP(E593,各职业基础配置!$B$9:$C$12,2,FALSE)</f>
        <v>101|102|103|4201|105</v>
      </c>
      <c r="K593" s="18" t="str">
        <f>VLOOKUP(E593,各职业基础配置!$B$15:$C$18,2,FALSE)</f>
        <v>24|25|26|27</v>
      </c>
      <c r="L593" s="18" t="str">
        <f>VLOOKUP(E593,各职业基础配置!B:C,2,FALSE)</f>
        <v>[{24,1,1},{25,1,1},{26,1,1},{27,1,1},{1,1,1},{2,1,1},{3,1,1}]</v>
      </c>
      <c r="M593" s="18">
        <v>0</v>
      </c>
      <c r="N593" s="18">
        <f t="shared" si="103"/>
        <v>3</v>
      </c>
      <c r="O593" s="18">
        <f>SUMPRODUCT(P593:AI593,Sheet2!$B$3:$U$3)</f>
        <v>109362</v>
      </c>
      <c r="P593" s="18">
        <f>CEILING(INDEX([1]系统模型!$VD:$VD,MATCH(C593,[1]系统模型!$A:$A,0))*POWER(C593/220,3.8)-50+(1000-A593),1)</f>
        <v>1977</v>
      </c>
      <c r="Q593" s="18">
        <f>CEILING(INDEX([1]系统模型!$VE:$VE,MATCH(C593,[1]系统模型!$A:$A,0))*POWER(C593/220,4),1)</f>
        <v>220</v>
      </c>
      <c r="R593" s="18">
        <f>INT(INDEX([1]系统模型!$VF:$VF,MATCH(C593,[1]系统模型!$A:$A,0))*MAX(POWER(C593/180,4),0.5))</f>
        <v>14337</v>
      </c>
      <c r="S593" s="5">
        <v>1000</v>
      </c>
      <c r="T593" s="25">
        <v>0</v>
      </c>
      <c r="U593" s="25">
        <v>0</v>
      </c>
      <c r="V593" s="25">
        <v>0</v>
      </c>
      <c r="W593" s="25">
        <v>0</v>
      </c>
      <c r="X593" s="25">
        <f t="shared" si="104"/>
        <v>716</v>
      </c>
      <c r="Y593" s="12">
        <v>0</v>
      </c>
      <c r="Z593" s="25">
        <v>100</v>
      </c>
      <c r="AA593" s="25">
        <v>150</v>
      </c>
      <c r="AB593" s="25">
        <v>0</v>
      </c>
      <c r="AC593" s="25">
        <v>0</v>
      </c>
      <c r="AD593" s="25">
        <v>0</v>
      </c>
      <c r="AE593" s="25">
        <f t="shared" si="105"/>
        <v>324</v>
      </c>
      <c r="AF593" s="25">
        <f t="shared" si="106"/>
        <v>324</v>
      </c>
      <c r="AG593" s="25">
        <v>0</v>
      </c>
      <c r="AH593" s="25">
        <f t="shared" si="107"/>
        <v>3400</v>
      </c>
      <c r="AI593" s="25">
        <f t="shared" si="108"/>
        <v>26</v>
      </c>
      <c r="AJ593" s="25">
        <v>1</v>
      </c>
      <c r="AK593" s="25">
        <v>1000</v>
      </c>
      <c r="AL593" s="25">
        <v>100</v>
      </c>
      <c r="AM593" s="26">
        <v>10</v>
      </c>
      <c r="AN593" s="26">
        <v>10</v>
      </c>
      <c r="AO593" s="22" t="s">
        <v>2211</v>
      </c>
      <c r="AP593" s="26">
        <v>0</v>
      </c>
      <c r="AQ593" s="26">
        <f t="shared" si="109"/>
        <v>400</v>
      </c>
      <c r="AR593" s="18" t="str">
        <f ca="1">CONCATENATE(OFFSET(Sheet1!$A$2,RANDBETWEEN(2,500),0,1,1),OFFSET(Sheet1!$A$2,RANDBETWEEN(2,500),RANDBETWEEN(1,5),1,1))</f>
        <v>埃文罗丝</v>
      </c>
      <c r="AS593">
        <f>SUMPRODUCT(P593:AI593,Sheet2!$B$3:$U$3)</f>
        <v>109362</v>
      </c>
    </row>
    <row r="594" spans="1:45" x14ac:dyDescent="0.15">
      <c r="A594" s="18">
        <v>593</v>
      </c>
      <c r="B594" s="18" t="s">
        <v>2056</v>
      </c>
      <c r="C594" s="18">
        <f t="shared" si="99"/>
        <v>162</v>
      </c>
      <c r="D594" s="19">
        <f t="shared" si="100"/>
        <v>3</v>
      </c>
      <c r="E594" s="19">
        <f>VLOOKUP(MOD(A594,4),各职业基础配置!C$32:D$35,2,FALSE)</f>
        <v>3</v>
      </c>
      <c r="F594" s="19">
        <f>IF(A594&lt;900,INDEX(各职业基础配置!C$23:C$28,MOD(ROW(A594),4)+1),0)</f>
        <v>14</v>
      </c>
      <c r="G594" s="19">
        <f t="shared" si="101"/>
        <v>18</v>
      </c>
      <c r="H594" s="27">
        <f t="shared" si="102"/>
        <v>2</v>
      </c>
      <c r="I594" s="6" t="s">
        <v>164</v>
      </c>
      <c r="J594" s="23" t="str">
        <f>VLOOKUP(E594,各职业基础配置!$B$9:$C$12,2,FALSE)</f>
        <v>106|107|108|4201|110</v>
      </c>
      <c r="K594" s="18" t="str">
        <f>VLOOKUP(E594,各职业基础配置!$B$15:$C$18,2,FALSE)</f>
        <v>20|21|22|23</v>
      </c>
      <c r="L594" s="18" t="str">
        <f>VLOOKUP(E594,各职业基础配置!B:C,2,FALSE)</f>
        <v>[{20,1,1},{21,1,1},{22,1,1},{23,1,1},{4,1,1},{5,1,1},{6,1,1}]</v>
      </c>
      <c r="M594" s="18">
        <v>0</v>
      </c>
      <c r="N594" s="18">
        <f t="shared" si="103"/>
        <v>7</v>
      </c>
      <c r="O594" s="18">
        <f>SUMPRODUCT(P594:AI594,Sheet2!$B$3:$U$3)</f>
        <v>109337</v>
      </c>
      <c r="P594" s="18">
        <f>CEILING(INDEX([1]系统模型!$VD:$VD,MATCH(C594,[1]系统模型!$A:$A,0))*POWER(C594/220,3.8)-50+(1000-A594),1)</f>
        <v>1976</v>
      </c>
      <c r="Q594" s="18">
        <f>CEILING(INDEX([1]系统模型!$VE:$VE,MATCH(C594,[1]系统模型!$A:$A,0))*POWER(C594/220,4),1)</f>
        <v>220</v>
      </c>
      <c r="R594" s="18">
        <f>INT(INDEX([1]系统模型!$VF:$VF,MATCH(C594,[1]系统模型!$A:$A,0))*MAX(POWER(C594/180,4),0.5))</f>
        <v>14337</v>
      </c>
      <c r="S594" s="5">
        <v>1000</v>
      </c>
      <c r="T594" s="25">
        <v>0</v>
      </c>
      <c r="U594" s="25">
        <v>0</v>
      </c>
      <c r="V594" s="25">
        <v>0</v>
      </c>
      <c r="W594" s="25">
        <v>0</v>
      </c>
      <c r="X594" s="25">
        <f t="shared" si="104"/>
        <v>716</v>
      </c>
      <c r="Y594" s="12">
        <v>0</v>
      </c>
      <c r="Z594" s="25">
        <v>100</v>
      </c>
      <c r="AA594" s="25">
        <v>150</v>
      </c>
      <c r="AB594" s="25">
        <v>0</v>
      </c>
      <c r="AC594" s="25">
        <v>0</v>
      </c>
      <c r="AD594" s="25">
        <v>0</v>
      </c>
      <c r="AE594" s="25">
        <f t="shared" si="105"/>
        <v>324</v>
      </c>
      <c r="AF594" s="25">
        <f t="shared" si="106"/>
        <v>324</v>
      </c>
      <c r="AG594" s="25">
        <v>0</v>
      </c>
      <c r="AH594" s="25">
        <f t="shared" si="107"/>
        <v>3400</v>
      </c>
      <c r="AI594" s="25">
        <f t="shared" si="108"/>
        <v>26</v>
      </c>
      <c r="AJ594" s="25">
        <v>1</v>
      </c>
      <c r="AK594" s="25">
        <v>1000</v>
      </c>
      <c r="AL594" s="25">
        <v>100</v>
      </c>
      <c r="AM594" s="26">
        <v>10</v>
      </c>
      <c r="AN594" s="26">
        <v>10</v>
      </c>
      <c r="AO594" s="22" t="s">
        <v>2211</v>
      </c>
      <c r="AP594" s="26">
        <v>0</v>
      </c>
      <c r="AQ594" s="26">
        <f t="shared" si="109"/>
        <v>400</v>
      </c>
      <c r="AR594" s="18" t="str">
        <f ca="1">CONCATENATE(OFFSET(Sheet1!$A$2,RANDBETWEEN(2,500),0,1,1),OFFSET(Sheet1!$A$2,RANDBETWEEN(2,500),RANDBETWEEN(1,5),1,1))</f>
        <v>霍勒斯晨曦</v>
      </c>
      <c r="AS594">
        <f>SUMPRODUCT(P594:AI594,Sheet2!$B$3:$U$3)</f>
        <v>109337</v>
      </c>
    </row>
    <row r="595" spans="1:45" x14ac:dyDescent="0.15">
      <c r="A595" s="23">
        <v>594</v>
      </c>
      <c r="B595" s="18" t="s">
        <v>1226</v>
      </c>
      <c r="C595" s="18">
        <f t="shared" si="99"/>
        <v>162</v>
      </c>
      <c r="D595" s="19">
        <f t="shared" si="100"/>
        <v>2</v>
      </c>
      <c r="E595" s="19">
        <f>VLOOKUP(MOD(A595,4),各职业基础配置!C$32:D$35,2,FALSE)</f>
        <v>6</v>
      </c>
      <c r="F595" s="19">
        <f>IF(A595&lt;900,INDEX(各职业基础配置!C$23:C$28,MOD(ROW(A595),4)+1),0)</f>
        <v>16</v>
      </c>
      <c r="G595" s="19">
        <f t="shared" si="101"/>
        <v>18</v>
      </c>
      <c r="H595" s="27">
        <f t="shared" si="102"/>
        <v>2</v>
      </c>
      <c r="I595" s="6" t="s">
        <v>164</v>
      </c>
      <c r="J595" s="23" t="str">
        <f>VLOOKUP(E595,各职业基础配置!$B$9:$C$12,2,FALSE)</f>
        <v>111|112|113|4201|115</v>
      </c>
      <c r="K595" s="18" t="str">
        <f>VLOOKUP(E595,各职业基础配置!$B$15:$C$18,2,FALSE)</f>
        <v>32|33|34</v>
      </c>
      <c r="L595" s="18" t="str">
        <f>VLOOKUP(E595,各职业基础配置!B:C,2,FALSE)</f>
        <v>[{32,1,1},{33,1,1},{34,1,1},{35,1,1},{7,1,1},{8,1,1},{9,1,1}]</v>
      </c>
      <c r="M595" s="18">
        <v>0</v>
      </c>
      <c r="N595" s="18">
        <f t="shared" si="103"/>
        <v>7</v>
      </c>
      <c r="O595" s="18">
        <f>SUMPRODUCT(P595:AI595,Sheet2!$B$3:$U$3)</f>
        <v>109312</v>
      </c>
      <c r="P595" s="18">
        <f>CEILING(INDEX([1]系统模型!$VD:$VD,MATCH(C595,[1]系统模型!$A:$A,0))*POWER(C595/220,3.8)-50+(1000-A595),1)</f>
        <v>1975</v>
      </c>
      <c r="Q595" s="18">
        <f>CEILING(INDEX([1]系统模型!$VE:$VE,MATCH(C595,[1]系统模型!$A:$A,0))*POWER(C595/220,4),1)</f>
        <v>220</v>
      </c>
      <c r="R595" s="18">
        <f>INT(INDEX([1]系统模型!$VF:$VF,MATCH(C595,[1]系统模型!$A:$A,0))*MAX(POWER(C595/180,4),0.5))</f>
        <v>14337</v>
      </c>
      <c r="S595" s="5">
        <v>1000</v>
      </c>
      <c r="T595" s="25">
        <v>0</v>
      </c>
      <c r="U595" s="25">
        <v>0</v>
      </c>
      <c r="V595" s="25">
        <v>0</v>
      </c>
      <c r="W595" s="25">
        <v>0</v>
      </c>
      <c r="X595" s="25">
        <f t="shared" si="104"/>
        <v>716</v>
      </c>
      <c r="Y595" s="12">
        <v>0</v>
      </c>
      <c r="Z595" s="25">
        <v>100</v>
      </c>
      <c r="AA595" s="25">
        <v>150</v>
      </c>
      <c r="AB595" s="25">
        <v>0</v>
      </c>
      <c r="AC595" s="25">
        <v>0</v>
      </c>
      <c r="AD595" s="25">
        <v>0</v>
      </c>
      <c r="AE595" s="25">
        <f t="shared" si="105"/>
        <v>324</v>
      </c>
      <c r="AF595" s="25">
        <f t="shared" si="106"/>
        <v>324</v>
      </c>
      <c r="AG595" s="25">
        <v>0</v>
      </c>
      <c r="AH595" s="25">
        <f t="shared" si="107"/>
        <v>3400</v>
      </c>
      <c r="AI595" s="25">
        <f t="shared" si="108"/>
        <v>26</v>
      </c>
      <c r="AJ595" s="25">
        <v>1</v>
      </c>
      <c r="AK595" s="25">
        <v>1000</v>
      </c>
      <c r="AL595" s="25">
        <v>100</v>
      </c>
      <c r="AM595" s="26">
        <v>10</v>
      </c>
      <c r="AN595" s="26">
        <v>10</v>
      </c>
      <c r="AO595" s="22" t="s">
        <v>2211</v>
      </c>
      <c r="AP595" s="26">
        <v>0</v>
      </c>
      <c r="AQ595" s="26">
        <f t="shared" si="109"/>
        <v>400</v>
      </c>
      <c r="AR595" s="18" t="str">
        <f ca="1">CONCATENATE(OFFSET(Sheet1!$A$2,RANDBETWEEN(2,500),0,1,1),OFFSET(Sheet1!$A$2,RANDBETWEEN(2,500),RANDBETWEEN(1,5),1,1))</f>
        <v>凯瑟琳莉达</v>
      </c>
      <c r="AS595">
        <f>SUMPRODUCT(P595:AI595,Sheet2!$B$3:$U$3)</f>
        <v>109312</v>
      </c>
    </row>
    <row r="596" spans="1:45" x14ac:dyDescent="0.15">
      <c r="A596" s="18">
        <v>595</v>
      </c>
      <c r="B596" s="18" t="s">
        <v>1014</v>
      </c>
      <c r="C596" s="18">
        <f t="shared" si="99"/>
        <v>161</v>
      </c>
      <c r="D596" s="19">
        <f t="shared" si="100"/>
        <v>3</v>
      </c>
      <c r="E596" s="19">
        <f>VLOOKUP(MOD(A596,4),各职业基础配置!C$32:D$35,2,FALSE)</f>
        <v>9</v>
      </c>
      <c r="F596" s="19">
        <f>IF(A596&lt;900,INDEX(各职业基础配置!C$23:C$28,MOD(ROW(A596),4)+1),0)</f>
        <v>8</v>
      </c>
      <c r="G596" s="19">
        <f t="shared" si="101"/>
        <v>17</v>
      </c>
      <c r="H596" s="27">
        <f t="shared" si="102"/>
        <v>2</v>
      </c>
      <c r="I596" s="6" t="s">
        <v>164</v>
      </c>
      <c r="J596" s="23" t="str">
        <f>VLOOKUP(E596,各职业基础配置!$B$9:$C$12,2,FALSE)</f>
        <v>116|117|118|4201|120</v>
      </c>
      <c r="K596" s="18" t="str">
        <f>VLOOKUP(E596,各职业基础配置!$B$15:$C$18,2,FALSE)</f>
        <v>28|29|30|31</v>
      </c>
      <c r="L596" s="18" t="str">
        <f>VLOOKUP(E596,各职业基础配置!B:C,2,FALSE)</f>
        <v>[{28,1,1},{29,1,1},{30,1,1},{31,1,1},{10,1,1},{11,1,1},{12,1,1}]</v>
      </c>
      <c r="M596" s="18">
        <v>0</v>
      </c>
      <c r="N596" s="18">
        <f t="shared" si="103"/>
        <v>3</v>
      </c>
      <c r="O596" s="18">
        <f>SUMPRODUCT(P596:AI596,Sheet2!$B$3:$U$3)</f>
        <v>107078</v>
      </c>
      <c r="P596" s="18">
        <f>CEILING(INDEX([1]系统模型!$VD:$VD,MATCH(C596,[1]系统模型!$A:$A,0))*POWER(C596/220,3.8)-50+(1000-A596),1)</f>
        <v>1932</v>
      </c>
      <c r="Q596" s="18">
        <f>CEILING(INDEX([1]系统模型!$VE:$VE,MATCH(C596,[1]系统模型!$A:$A,0))*POWER(C596/220,4),1)</f>
        <v>213</v>
      </c>
      <c r="R596" s="18">
        <f>INT(INDEX([1]系统模型!$VF:$VF,MATCH(C596,[1]系统模型!$A:$A,0))*MAX(POWER(C596/180,4),0.5))</f>
        <v>13853</v>
      </c>
      <c r="S596" s="5">
        <v>1000</v>
      </c>
      <c r="T596" s="25">
        <v>0</v>
      </c>
      <c r="U596" s="25">
        <v>0</v>
      </c>
      <c r="V596" s="25">
        <v>0</v>
      </c>
      <c r="W596" s="25">
        <v>0</v>
      </c>
      <c r="X596" s="25">
        <f t="shared" si="104"/>
        <v>692</v>
      </c>
      <c r="Y596" s="12">
        <v>0</v>
      </c>
      <c r="Z596" s="25">
        <v>100</v>
      </c>
      <c r="AA596" s="25">
        <v>150</v>
      </c>
      <c r="AB596" s="25">
        <v>0</v>
      </c>
      <c r="AC596" s="25">
        <v>0</v>
      </c>
      <c r="AD596" s="25">
        <v>0</v>
      </c>
      <c r="AE596" s="25">
        <f t="shared" si="105"/>
        <v>322</v>
      </c>
      <c r="AF596" s="25">
        <f t="shared" si="106"/>
        <v>322</v>
      </c>
      <c r="AG596" s="25">
        <v>0</v>
      </c>
      <c r="AH596" s="25">
        <f t="shared" si="107"/>
        <v>3325</v>
      </c>
      <c r="AI596" s="25">
        <f t="shared" si="108"/>
        <v>25</v>
      </c>
      <c r="AJ596" s="25">
        <v>1</v>
      </c>
      <c r="AK596" s="25">
        <v>1000</v>
      </c>
      <c r="AL596" s="25">
        <v>100</v>
      </c>
      <c r="AM596" s="26">
        <v>10</v>
      </c>
      <c r="AN596" s="26">
        <v>10</v>
      </c>
      <c r="AO596" s="22" t="s">
        <v>2211</v>
      </c>
      <c r="AP596" s="26">
        <v>0</v>
      </c>
      <c r="AQ596" s="26">
        <f t="shared" si="109"/>
        <v>400</v>
      </c>
      <c r="AR596" s="18" t="str">
        <f ca="1">CONCATENATE(OFFSET(Sheet1!$A$2,RANDBETWEEN(2,500),0,1,1),OFFSET(Sheet1!$A$2,RANDBETWEEN(2,500),RANDBETWEEN(1,5),1,1))</f>
        <v>艾迪生凯丝</v>
      </c>
      <c r="AS596">
        <f>SUMPRODUCT(P596:AI596,Sheet2!$B$3:$U$3)</f>
        <v>107078</v>
      </c>
    </row>
    <row r="597" spans="1:45" x14ac:dyDescent="0.15">
      <c r="A597" s="18">
        <v>596</v>
      </c>
      <c r="B597" s="18" t="s">
        <v>1360</v>
      </c>
      <c r="C597" s="18">
        <f t="shared" si="99"/>
        <v>161</v>
      </c>
      <c r="D597" s="19">
        <f t="shared" si="100"/>
        <v>2</v>
      </c>
      <c r="E597" s="19">
        <f>VLOOKUP(MOD(A597,4),各职业基础配置!C$32:D$35,2,FALSE)</f>
        <v>1</v>
      </c>
      <c r="F597" s="19">
        <f>IF(A597&lt;900,INDEX(各职业基础配置!C$23:C$28,MOD(ROW(A597),4)+1),0)</f>
        <v>13</v>
      </c>
      <c r="G597" s="19">
        <f t="shared" si="101"/>
        <v>17</v>
      </c>
      <c r="H597" s="27">
        <f t="shared" si="102"/>
        <v>2</v>
      </c>
      <c r="I597" s="6" t="s">
        <v>164</v>
      </c>
      <c r="J597" s="23" t="str">
        <f>VLOOKUP(E597,各职业基础配置!$B$9:$C$12,2,FALSE)</f>
        <v>101|102|103|4201|105</v>
      </c>
      <c r="K597" s="18" t="str">
        <f>VLOOKUP(E597,各职业基础配置!$B$15:$C$18,2,FALSE)</f>
        <v>24|25|26|27</v>
      </c>
      <c r="L597" s="18" t="str">
        <f>VLOOKUP(E597,各职业基础配置!B:C,2,FALSE)</f>
        <v>[{24,1,1},{25,1,1},{26,1,1},{27,1,1},{1,1,1},{2,1,1},{3,1,1}]</v>
      </c>
      <c r="M597" s="18">
        <v>0</v>
      </c>
      <c r="N597" s="18">
        <f t="shared" si="103"/>
        <v>3</v>
      </c>
      <c r="O597" s="18">
        <f>SUMPRODUCT(P597:AI597,Sheet2!$B$3:$U$3)</f>
        <v>107053</v>
      </c>
      <c r="P597" s="18">
        <f>CEILING(INDEX([1]系统模型!$VD:$VD,MATCH(C597,[1]系统模型!$A:$A,0))*POWER(C597/220,3.8)-50+(1000-A597),1)</f>
        <v>1931</v>
      </c>
      <c r="Q597" s="18">
        <f>CEILING(INDEX([1]系统模型!$VE:$VE,MATCH(C597,[1]系统模型!$A:$A,0))*POWER(C597/220,4),1)</f>
        <v>213</v>
      </c>
      <c r="R597" s="18">
        <f>INT(INDEX([1]系统模型!$VF:$VF,MATCH(C597,[1]系统模型!$A:$A,0))*MAX(POWER(C597/180,4),0.5))</f>
        <v>13853</v>
      </c>
      <c r="S597" s="5">
        <v>1000</v>
      </c>
      <c r="T597" s="25">
        <v>0</v>
      </c>
      <c r="U597" s="25">
        <v>0</v>
      </c>
      <c r="V597" s="25">
        <v>0</v>
      </c>
      <c r="W597" s="25">
        <v>0</v>
      </c>
      <c r="X597" s="25">
        <f t="shared" si="104"/>
        <v>692</v>
      </c>
      <c r="Y597" s="12">
        <v>0</v>
      </c>
      <c r="Z597" s="25">
        <v>100</v>
      </c>
      <c r="AA597" s="25">
        <v>150</v>
      </c>
      <c r="AB597" s="25">
        <v>0</v>
      </c>
      <c r="AC597" s="25">
        <v>0</v>
      </c>
      <c r="AD597" s="25">
        <v>0</v>
      </c>
      <c r="AE597" s="25">
        <f t="shared" si="105"/>
        <v>322</v>
      </c>
      <c r="AF597" s="25">
        <f t="shared" si="106"/>
        <v>322</v>
      </c>
      <c r="AG597" s="25">
        <v>0</v>
      </c>
      <c r="AH597" s="25">
        <f t="shared" si="107"/>
        <v>3325</v>
      </c>
      <c r="AI597" s="25">
        <f t="shared" si="108"/>
        <v>25</v>
      </c>
      <c r="AJ597" s="25">
        <v>1</v>
      </c>
      <c r="AK597" s="25">
        <v>1000</v>
      </c>
      <c r="AL597" s="25">
        <v>100</v>
      </c>
      <c r="AM597" s="26">
        <v>10</v>
      </c>
      <c r="AN597" s="26">
        <v>10</v>
      </c>
      <c r="AO597" s="22" t="s">
        <v>2211</v>
      </c>
      <c r="AP597" s="26">
        <v>0</v>
      </c>
      <c r="AQ597" s="26">
        <f t="shared" si="109"/>
        <v>400</v>
      </c>
      <c r="AR597" s="18" t="str">
        <f ca="1">CONCATENATE(OFFSET(Sheet1!$A$2,RANDBETWEEN(2,500),0,1,1),OFFSET(Sheet1!$A$2,RANDBETWEEN(2,500),RANDBETWEEN(1,5),1,1))</f>
        <v>柯林斯丽莲</v>
      </c>
      <c r="AS597">
        <f>SUMPRODUCT(P597:AI597,Sheet2!$B$3:$U$3)</f>
        <v>107053</v>
      </c>
    </row>
    <row r="598" spans="1:45" x14ac:dyDescent="0.15">
      <c r="A598" s="23">
        <v>597</v>
      </c>
      <c r="B598" s="18" t="s">
        <v>429</v>
      </c>
      <c r="C598" s="18">
        <f t="shared" si="99"/>
        <v>161</v>
      </c>
      <c r="D598" s="19">
        <f t="shared" si="100"/>
        <v>3</v>
      </c>
      <c r="E598" s="19">
        <f>VLOOKUP(MOD(A598,4),各职业基础配置!C$32:D$35,2,FALSE)</f>
        <v>3</v>
      </c>
      <c r="F598" s="19">
        <f>IF(A598&lt;900,INDEX(各职业基础配置!C$23:C$28,MOD(ROW(A598),4)+1),0)</f>
        <v>14</v>
      </c>
      <c r="G598" s="19">
        <f t="shared" si="101"/>
        <v>17</v>
      </c>
      <c r="H598" s="27">
        <f t="shared" si="102"/>
        <v>2</v>
      </c>
      <c r="I598" s="6" t="s">
        <v>164</v>
      </c>
      <c r="J598" s="23" t="str">
        <f>VLOOKUP(E598,各职业基础配置!$B$9:$C$12,2,FALSE)</f>
        <v>106|107|108|4201|110</v>
      </c>
      <c r="K598" s="18" t="str">
        <f>VLOOKUP(E598,各职业基础配置!$B$15:$C$18,2,FALSE)</f>
        <v>20|21|22|23</v>
      </c>
      <c r="L598" s="18" t="str">
        <f>VLOOKUP(E598,各职业基础配置!B:C,2,FALSE)</f>
        <v>[{20,1,1},{21,1,1},{22,1,1},{23,1,1},{4,1,1},{5,1,1},{6,1,1}]</v>
      </c>
      <c r="M598" s="18">
        <v>0</v>
      </c>
      <c r="N598" s="18">
        <f t="shared" si="103"/>
        <v>7</v>
      </c>
      <c r="O598" s="18">
        <f>SUMPRODUCT(P598:AI598,Sheet2!$B$3:$U$3)</f>
        <v>107028</v>
      </c>
      <c r="P598" s="18">
        <f>CEILING(INDEX([1]系统模型!$VD:$VD,MATCH(C598,[1]系统模型!$A:$A,0))*POWER(C598/220,3.8)-50+(1000-A598),1)</f>
        <v>1930</v>
      </c>
      <c r="Q598" s="18">
        <f>CEILING(INDEX([1]系统模型!$VE:$VE,MATCH(C598,[1]系统模型!$A:$A,0))*POWER(C598/220,4),1)</f>
        <v>213</v>
      </c>
      <c r="R598" s="18">
        <f>INT(INDEX([1]系统模型!$VF:$VF,MATCH(C598,[1]系统模型!$A:$A,0))*MAX(POWER(C598/180,4),0.5))</f>
        <v>13853</v>
      </c>
      <c r="S598" s="5">
        <v>1000</v>
      </c>
      <c r="T598" s="25">
        <v>0</v>
      </c>
      <c r="U598" s="25">
        <v>0</v>
      </c>
      <c r="V598" s="25">
        <v>0</v>
      </c>
      <c r="W598" s="25">
        <v>0</v>
      </c>
      <c r="X598" s="25">
        <f t="shared" si="104"/>
        <v>692</v>
      </c>
      <c r="Y598" s="12">
        <v>0</v>
      </c>
      <c r="Z598" s="25">
        <v>100</v>
      </c>
      <c r="AA598" s="25">
        <v>150</v>
      </c>
      <c r="AB598" s="25">
        <v>0</v>
      </c>
      <c r="AC598" s="25">
        <v>0</v>
      </c>
      <c r="AD598" s="25">
        <v>0</v>
      </c>
      <c r="AE598" s="25">
        <f t="shared" si="105"/>
        <v>322</v>
      </c>
      <c r="AF598" s="25">
        <f t="shared" si="106"/>
        <v>322</v>
      </c>
      <c r="AG598" s="25">
        <v>0</v>
      </c>
      <c r="AH598" s="25">
        <f t="shared" si="107"/>
        <v>3325</v>
      </c>
      <c r="AI598" s="25">
        <f t="shared" si="108"/>
        <v>25</v>
      </c>
      <c r="AJ598" s="25">
        <v>1</v>
      </c>
      <c r="AK598" s="25">
        <v>1000</v>
      </c>
      <c r="AL598" s="25">
        <v>100</v>
      </c>
      <c r="AM598" s="26">
        <v>10</v>
      </c>
      <c r="AN598" s="26">
        <v>10</v>
      </c>
      <c r="AO598" s="22" t="s">
        <v>2211</v>
      </c>
      <c r="AP598" s="26">
        <v>0</v>
      </c>
      <c r="AQ598" s="26">
        <f t="shared" si="109"/>
        <v>400</v>
      </c>
      <c r="AR598" s="18" t="str">
        <f ca="1">CONCATENATE(OFFSET(Sheet1!$A$2,RANDBETWEEN(2,500),0,1,1),OFFSET(Sheet1!$A$2,RANDBETWEEN(2,500),RANDBETWEEN(1,5),1,1))</f>
        <v>亨利丝柏凌</v>
      </c>
      <c r="AS598">
        <f>SUMPRODUCT(P598:AI598,Sheet2!$B$3:$U$3)</f>
        <v>107028</v>
      </c>
    </row>
    <row r="599" spans="1:45" x14ac:dyDescent="0.15">
      <c r="A599" s="18">
        <v>598</v>
      </c>
      <c r="B599" s="18" t="s">
        <v>2057</v>
      </c>
      <c r="C599" s="18">
        <f t="shared" si="99"/>
        <v>161</v>
      </c>
      <c r="D599" s="19">
        <f t="shared" si="100"/>
        <v>2</v>
      </c>
      <c r="E599" s="19">
        <f>VLOOKUP(MOD(A599,4),各职业基础配置!C$32:D$35,2,FALSE)</f>
        <v>6</v>
      </c>
      <c r="F599" s="19">
        <f>IF(A599&lt;900,INDEX(各职业基础配置!C$23:C$28,MOD(ROW(A599),4)+1),0)</f>
        <v>16</v>
      </c>
      <c r="G599" s="19">
        <f t="shared" si="101"/>
        <v>17</v>
      </c>
      <c r="H599" s="27">
        <f t="shared" si="102"/>
        <v>2</v>
      </c>
      <c r="I599" s="6" t="s">
        <v>164</v>
      </c>
      <c r="J599" s="23" t="str">
        <f>VLOOKUP(E599,各职业基础配置!$B$9:$C$12,2,FALSE)</f>
        <v>111|112|113|4201|115</v>
      </c>
      <c r="K599" s="18" t="str">
        <f>VLOOKUP(E599,各职业基础配置!$B$15:$C$18,2,FALSE)</f>
        <v>32|33|34</v>
      </c>
      <c r="L599" s="18" t="str">
        <f>VLOOKUP(E599,各职业基础配置!B:C,2,FALSE)</f>
        <v>[{32,1,1},{33,1,1},{34,1,1},{35,1,1},{7,1,1},{8,1,1},{9,1,1}]</v>
      </c>
      <c r="M599" s="18">
        <v>0</v>
      </c>
      <c r="N599" s="18">
        <f t="shared" si="103"/>
        <v>7</v>
      </c>
      <c r="O599" s="18">
        <f>SUMPRODUCT(P599:AI599,Sheet2!$B$3:$U$3)</f>
        <v>107003</v>
      </c>
      <c r="P599" s="18">
        <f>CEILING(INDEX([1]系统模型!$VD:$VD,MATCH(C599,[1]系统模型!$A:$A,0))*POWER(C599/220,3.8)-50+(1000-A599),1)</f>
        <v>1929</v>
      </c>
      <c r="Q599" s="18">
        <f>CEILING(INDEX([1]系统模型!$VE:$VE,MATCH(C599,[1]系统模型!$A:$A,0))*POWER(C599/220,4),1)</f>
        <v>213</v>
      </c>
      <c r="R599" s="18">
        <f>INT(INDEX([1]系统模型!$VF:$VF,MATCH(C599,[1]系统模型!$A:$A,0))*MAX(POWER(C599/180,4),0.5))</f>
        <v>13853</v>
      </c>
      <c r="S599" s="5">
        <v>1000</v>
      </c>
      <c r="T599" s="25">
        <v>0</v>
      </c>
      <c r="U599" s="25">
        <v>0</v>
      </c>
      <c r="V599" s="25">
        <v>0</v>
      </c>
      <c r="W599" s="25">
        <v>0</v>
      </c>
      <c r="X599" s="25">
        <f t="shared" si="104"/>
        <v>692</v>
      </c>
      <c r="Y599" s="12">
        <v>0</v>
      </c>
      <c r="Z599" s="25">
        <v>100</v>
      </c>
      <c r="AA599" s="25">
        <v>150</v>
      </c>
      <c r="AB599" s="25">
        <v>0</v>
      </c>
      <c r="AC599" s="25">
        <v>0</v>
      </c>
      <c r="AD599" s="25">
        <v>0</v>
      </c>
      <c r="AE599" s="25">
        <f t="shared" si="105"/>
        <v>322</v>
      </c>
      <c r="AF599" s="25">
        <f t="shared" si="106"/>
        <v>322</v>
      </c>
      <c r="AG599" s="25">
        <v>0</v>
      </c>
      <c r="AH599" s="25">
        <f t="shared" si="107"/>
        <v>3325</v>
      </c>
      <c r="AI599" s="25">
        <f t="shared" si="108"/>
        <v>25</v>
      </c>
      <c r="AJ599" s="25">
        <v>1</v>
      </c>
      <c r="AK599" s="25">
        <v>1000</v>
      </c>
      <c r="AL599" s="25">
        <v>100</v>
      </c>
      <c r="AM599" s="26">
        <v>10</v>
      </c>
      <c r="AN599" s="26">
        <v>10</v>
      </c>
      <c r="AO599" s="22" t="s">
        <v>2211</v>
      </c>
      <c r="AP599" s="26">
        <v>0</v>
      </c>
      <c r="AQ599" s="26">
        <f t="shared" si="109"/>
        <v>400</v>
      </c>
      <c r="AR599" s="18" t="str">
        <f ca="1">CONCATENATE(OFFSET(Sheet1!$A$2,RANDBETWEEN(2,500),0,1,1),OFFSET(Sheet1!$A$2,RANDBETWEEN(2,500),RANDBETWEEN(1,5),1,1))</f>
        <v>汉森小白</v>
      </c>
      <c r="AS599">
        <f>SUMPRODUCT(P599:AI599,Sheet2!$B$3:$U$3)</f>
        <v>107003</v>
      </c>
    </row>
    <row r="600" spans="1:45" x14ac:dyDescent="0.15">
      <c r="A600" s="18">
        <v>599</v>
      </c>
      <c r="B600" s="18" t="s">
        <v>2058</v>
      </c>
      <c r="C600" s="18">
        <f t="shared" si="99"/>
        <v>161</v>
      </c>
      <c r="D600" s="19">
        <f t="shared" si="100"/>
        <v>3</v>
      </c>
      <c r="E600" s="19">
        <f>VLOOKUP(MOD(A600,4),各职业基础配置!C$32:D$35,2,FALSE)</f>
        <v>9</v>
      </c>
      <c r="F600" s="19">
        <f>IF(A600&lt;900,INDEX(各职业基础配置!C$23:C$28,MOD(ROW(A600),4)+1),0)</f>
        <v>8</v>
      </c>
      <c r="G600" s="19">
        <f t="shared" si="101"/>
        <v>17</v>
      </c>
      <c r="H600" s="27">
        <f t="shared" si="102"/>
        <v>2</v>
      </c>
      <c r="I600" s="6" t="s">
        <v>164</v>
      </c>
      <c r="J600" s="23" t="str">
        <f>VLOOKUP(E600,各职业基础配置!$B$9:$C$12,2,FALSE)</f>
        <v>116|117|118|4201|120</v>
      </c>
      <c r="K600" s="18" t="str">
        <f>VLOOKUP(E600,各职业基础配置!$B$15:$C$18,2,FALSE)</f>
        <v>28|29|30|31</v>
      </c>
      <c r="L600" s="18" t="str">
        <f>VLOOKUP(E600,各职业基础配置!B:C,2,FALSE)</f>
        <v>[{28,1,1},{29,1,1},{30,1,1},{31,1,1},{10,1,1},{11,1,1},{12,1,1}]</v>
      </c>
      <c r="M600" s="18">
        <v>0</v>
      </c>
      <c r="N600" s="18">
        <f t="shared" si="103"/>
        <v>3</v>
      </c>
      <c r="O600" s="18">
        <f>SUMPRODUCT(P600:AI600,Sheet2!$B$3:$U$3)</f>
        <v>106978</v>
      </c>
      <c r="P600" s="18">
        <f>CEILING(INDEX([1]系统模型!$VD:$VD,MATCH(C600,[1]系统模型!$A:$A,0))*POWER(C600/220,3.8)-50+(1000-A600),1)</f>
        <v>1928</v>
      </c>
      <c r="Q600" s="18">
        <f>CEILING(INDEX([1]系统模型!$VE:$VE,MATCH(C600,[1]系统模型!$A:$A,0))*POWER(C600/220,4),1)</f>
        <v>213</v>
      </c>
      <c r="R600" s="18">
        <f>INT(INDEX([1]系统模型!$VF:$VF,MATCH(C600,[1]系统模型!$A:$A,0))*MAX(POWER(C600/180,4),0.5))</f>
        <v>13853</v>
      </c>
      <c r="S600" s="5">
        <v>1000</v>
      </c>
      <c r="T600" s="25">
        <v>0</v>
      </c>
      <c r="U600" s="25">
        <v>0</v>
      </c>
      <c r="V600" s="25">
        <v>0</v>
      </c>
      <c r="W600" s="25">
        <v>0</v>
      </c>
      <c r="X600" s="25">
        <f t="shared" si="104"/>
        <v>692</v>
      </c>
      <c r="Y600" s="12">
        <v>0</v>
      </c>
      <c r="Z600" s="25">
        <v>100</v>
      </c>
      <c r="AA600" s="25">
        <v>150</v>
      </c>
      <c r="AB600" s="25">
        <v>0</v>
      </c>
      <c r="AC600" s="25">
        <v>0</v>
      </c>
      <c r="AD600" s="25">
        <v>0</v>
      </c>
      <c r="AE600" s="25">
        <f t="shared" si="105"/>
        <v>322</v>
      </c>
      <c r="AF600" s="25">
        <f t="shared" si="106"/>
        <v>322</v>
      </c>
      <c r="AG600" s="25">
        <v>0</v>
      </c>
      <c r="AH600" s="25">
        <f t="shared" si="107"/>
        <v>3325</v>
      </c>
      <c r="AI600" s="25">
        <f t="shared" si="108"/>
        <v>25</v>
      </c>
      <c r="AJ600" s="25">
        <v>1</v>
      </c>
      <c r="AK600" s="25">
        <v>1000</v>
      </c>
      <c r="AL600" s="25">
        <v>100</v>
      </c>
      <c r="AM600" s="26">
        <v>10</v>
      </c>
      <c r="AN600" s="26">
        <v>10</v>
      </c>
      <c r="AO600" s="22" t="s">
        <v>2211</v>
      </c>
      <c r="AP600" s="26">
        <v>0</v>
      </c>
      <c r="AQ600" s="26">
        <f t="shared" si="109"/>
        <v>390</v>
      </c>
      <c r="AR600" s="18" t="str">
        <f ca="1">CONCATENATE(OFFSET(Sheet1!$A$2,RANDBETWEEN(2,500),0,1,1),OFFSET(Sheet1!$A$2,RANDBETWEEN(2,500),RANDBETWEEN(1,5),1,1))</f>
        <v>杰弗里</v>
      </c>
      <c r="AS600">
        <f>SUMPRODUCT(P600:AI600,Sheet2!$B$3:$U$3)</f>
        <v>106978</v>
      </c>
    </row>
    <row r="601" spans="1:45" x14ac:dyDescent="0.15">
      <c r="A601" s="23">
        <v>600</v>
      </c>
      <c r="B601" s="18" t="s">
        <v>315</v>
      </c>
      <c r="C601" s="18">
        <f t="shared" si="99"/>
        <v>161</v>
      </c>
      <c r="D601" s="19">
        <f t="shared" si="100"/>
        <v>2</v>
      </c>
      <c r="E601" s="19">
        <f>VLOOKUP(MOD(A601,4),各职业基础配置!C$32:D$35,2,FALSE)</f>
        <v>1</v>
      </c>
      <c r="F601" s="19">
        <f>IF(A601&lt;900,INDEX(各职业基础配置!C$23:C$28,MOD(ROW(A601),4)+1),0)</f>
        <v>13</v>
      </c>
      <c r="G601" s="19">
        <f t="shared" si="101"/>
        <v>17</v>
      </c>
      <c r="H601" s="27">
        <f t="shared" si="102"/>
        <v>2</v>
      </c>
      <c r="I601" s="6" t="s">
        <v>164</v>
      </c>
      <c r="J601" s="23" t="str">
        <f>VLOOKUP(E601,各职业基础配置!$B$9:$C$12,2,FALSE)</f>
        <v>101|102|103|4201|105</v>
      </c>
      <c r="K601" s="18" t="str">
        <f>VLOOKUP(E601,各职业基础配置!$B$15:$C$18,2,FALSE)</f>
        <v>24|25|26|27</v>
      </c>
      <c r="L601" s="18" t="str">
        <f>VLOOKUP(E601,各职业基础配置!B:C,2,FALSE)</f>
        <v>[{24,1,1},{25,1,1},{26,1,1},{27,1,1},{1,1,1},{2,1,1},{3,1,1}]</v>
      </c>
      <c r="M601" s="18">
        <v>0</v>
      </c>
      <c r="N601" s="18">
        <f t="shared" si="103"/>
        <v>3</v>
      </c>
      <c r="O601" s="18">
        <f>SUMPRODUCT(P601:AI601,Sheet2!$B$3:$U$3)</f>
        <v>106953</v>
      </c>
      <c r="P601" s="18">
        <f>CEILING(INDEX([1]系统模型!$VD:$VD,MATCH(C601,[1]系统模型!$A:$A,0))*POWER(C601/220,3.8)-50+(1000-A601),1)</f>
        <v>1927</v>
      </c>
      <c r="Q601" s="18">
        <f>CEILING(INDEX([1]系统模型!$VE:$VE,MATCH(C601,[1]系统模型!$A:$A,0))*POWER(C601/220,4),1)</f>
        <v>213</v>
      </c>
      <c r="R601" s="18">
        <f>INT(INDEX([1]系统模型!$VF:$VF,MATCH(C601,[1]系统模型!$A:$A,0))*MAX(POWER(C601/180,4),0.5))</f>
        <v>13853</v>
      </c>
      <c r="S601" s="5">
        <v>1000</v>
      </c>
      <c r="T601" s="25">
        <v>0</v>
      </c>
      <c r="U601" s="25">
        <v>0</v>
      </c>
      <c r="V601" s="25">
        <v>0</v>
      </c>
      <c r="W601" s="25">
        <v>0</v>
      </c>
      <c r="X601" s="25">
        <f t="shared" si="104"/>
        <v>692</v>
      </c>
      <c r="Y601" s="12">
        <v>0</v>
      </c>
      <c r="Z601" s="25">
        <v>100</v>
      </c>
      <c r="AA601" s="25">
        <v>150</v>
      </c>
      <c r="AB601" s="25">
        <v>0</v>
      </c>
      <c r="AC601" s="25">
        <v>0</v>
      </c>
      <c r="AD601" s="25">
        <v>0</v>
      </c>
      <c r="AE601" s="25">
        <f t="shared" si="105"/>
        <v>322</v>
      </c>
      <c r="AF601" s="25">
        <f t="shared" si="106"/>
        <v>322</v>
      </c>
      <c r="AG601" s="25">
        <v>0</v>
      </c>
      <c r="AH601" s="25">
        <f t="shared" si="107"/>
        <v>3325</v>
      </c>
      <c r="AI601" s="25">
        <f t="shared" si="108"/>
        <v>25</v>
      </c>
      <c r="AJ601" s="25">
        <v>1</v>
      </c>
      <c r="AK601" s="25">
        <v>1000</v>
      </c>
      <c r="AL601" s="25">
        <v>100</v>
      </c>
      <c r="AM601" s="26">
        <v>10</v>
      </c>
      <c r="AN601" s="26">
        <v>10</v>
      </c>
      <c r="AO601" s="22" t="s">
        <v>2211</v>
      </c>
      <c r="AP601" s="26">
        <v>0</v>
      </c>
      <c r="AQ601" s="26">
        <f t="shared" si="109"/>
        <v>390</v>
      </c>
      <c r="AR601" s="18" t="str">
        <f ca="1">CONCATENATE(OFFSET(Sheet1!$A$2,RANDBETWEEN(2,500),0,1,1),OFFSET(Sheet1!$A$2,RANDBETWEEN(2,500),RANDBETWEEN(1,5),1,1))</f>
        <v>拜耳</v>
      </c>
      <c r="AS601">
        <f>SUMPRODUCT(P601:AI601,Sheet2!$B$3:$U$3)</f>
        <v>106953</v>
      </c>
    </row>
    <row r="602" spans="1:45" x14ac:dyDescent="0.15">
      <c r="A602" s="18">
        <v>601</v>
      </c>
      <c r="B602" s="18" t="s">
        <v>1088</v>
      </c>
      <c r="C602" s="18">
        <f t="shared" si="99"/>
        <v>161</v>
      </c>
      <c r="D602" s="19">
        <f t="shared" si="100"/>
        <v>3</v>
      </c>
      <c r="E602" s="19">
        <f>VLOOKUP(MOD(A602,4),各职业基础配置!C$32:D$35,2,FALSE)</f>
        <v>3</v>
      </c>
      <c r="F602" s="19">
        <f>IF(A602&lt;900,INDEX(各职业基础配置!C$23:C$28,MOD(ROW(A602),4)+1),0)</f>
        <v>14</v>
      </c>
      <c r="G602" s="19">
        <f t="shared" si="101"/>
        <v>17</v>
      </c>
      <c r="H602" s="27">
        <f t="shared" si="102"/>
        <v>2</v>
      </c>
      <c r="I602" s="6" t="s">
        <v>164</v>
      </c>
      <c r="J602" s="23" t="str">
        <f>VLOOKUP(E602,各职业基础配置!$B$9:$C$12,2,FALSE)</f>
        <v>106|107|108|4201|110</v>
      </c>
      <c r="K602" s="18" t="str">
        <f>VLOOKUP(E602,各职业基础配置!$B$15:$C$18,2,FALSE)</f>
        <v>20|21|22|23</v>
      </c>
      <c r="L602" s="18" t="str">
        <f>VLOOKUP(E602,各职业基础配置!B:C,2,FALSE)</f>
        <v>[{20,1,1},{21,1,1},{22,1,1},{23,1,1},{4,1,1},{5,1,1},{6,1,1}]</v>
      </c>
      <c r="M602" s="18">
        <v>0</v>
      </c>
      <c r="N602" s="18">
        <f t="shared" si="103"/>
        <v>7</v>
      </c>
      <c r="O602" s="18">
        <f>SUMPRODUCT(P602:AI602,Sheet2!$B$3:$U$3)</f>
        <v>106928</v>
      </c>
      <c r="P602" s="18">
        <f>CEILING(INDEX([1]系统模型!$VD:$VD,MATCH(C602,[1]系统模型!$A:$A,0))*POWER(C602/220,3.8)-50+(1000-A602),1)</f>
        <v>1926</v>
      </c>
      <c r="Q602" s="18">
        <f>CEILING(INDEX([1]系统模型!$VE:$VE,MATCH(C602,[1]系统模型!$A:$A,0))*POWER(C602/220,4),1)</f>
        <v>213</v>
      </c>
      <c r="R602" s="18">
        <f>INT(INDEX([1]系统模型!$VF:$VF,MATCH(C602,[1]系统模型!$A:$A,0))*MAX(POWER(C602/180,4),0.5))</f>
        <v>13853</v>
      </c>
      <c r="S602" s="5">
        <v>1000</v>
      </c>
      <c r="T602" s="25">
        <v>0</v>
      </c>
      <c r="U602" s="25">
        <v>0</v>
      </c>
      <c r="V602" s="25">
        <v>0</v>
      </c>
      <c r="W602" s="25">
        <v>0</v>
      </c>
      <c r="X602" s="25">
        <f t="shared" si="104"/>
        <v>692</v>
      </c>
      <c r="Y602" s="12">
        <v>0</v>
      </c>
      <c r="Z602" s="25">
        <v>100</v>
      </c>
      <c r="AA602" s="25">
        <v>150</v>
      </c>
      <c r="AB602" s="25">
        <v>0</v>
      </c>
      <c r="AC602" s="25">
        <v>0</v>
      </c>
      <c r="AD602" s="25">
        <v>0</v>
      </c>
      <c r="AE602" s="25">
        <f t="shared" si="105"/>
        <v>322</v>
      </c>
      <c r="AF602" s="25">
        <f t="shared" si="106"/>
        <v>322</v>
      </c>
      <c r="AG602" s="25">
        <v>0</v>
      </c>
      <c r="AH602" s="25">
        <f t="shared" si="107"/>
        <v>3325</v>
      </c>
      <c r="AI602" s="25">
        <f t="shared" si="108"/>
        <v>25</v>
      </c>
      <c r="AJ602" s="25">
        <v>1</v>
      </c>
      <c r="AK602" s="25">
        <v>1000</v>
      </c>
      <c r="AL602" s="25">
        <v>100</v>
      </c>
      <c r="AM602" s="26">
        <v>10</v>
      </c>
      <c r="AN602" s="26">
        <v>10</v>
      </c>
      <c r="AO602" s="22" t="s">
        <v>2211</v>
      </c>
      <c r="AP602" s="26">
        <v>0</v>
      </c>
      <c r="AQ602" s="26">
        <f t="shared" si="109"/>
        <v>390</v>
      </c>
      <c r="AR602" s="18" t="str">
        <f ca="1">CONCATENATE(OFFSET(Sheet1!$A$2,RANDBETWEEN(2,500),0,1,1),OFFSET(Sheet1!$A$2,RANDBETWEEN(2,500),RANDBETWEEN(1,5),1,1))</f>
        <v>贝洛克</v>
      </c>
      <c r="AS602">
        <f>SUMPRODUCT(P602:AI602,Sheet2!$B$3:$U$3)</f>
        <v>106928</v>
      </c>
    </row>
    <row r="603" spans="1:45" x14ac:dyDescent="0.15">
      <c r="A603" s="18">
        <v>602</v>
      </c>
      <c r="B603" s="18" t="s">
        <v>1147</v>
      </c>
      <c r="C603" s="18">
        <f t="shared" si="99"/>
        <v>160</v>
      </c>
      <c r="D603" s="19">
        <f t="shared" si="100"/>
        <v>2</v>
      </c>
      <c r="E603" s="19">
        <f>VLOOKUP(MOD(A603,4),各职业基础配置!C$32:D$35,2,FALSE)</f>
        <v>6</v>
      </c>
      <c r="F603" s="19">
        <f>IF(A603&lt;900,INDEX(各职业基础配置!C$23:C$28,MOD(ROW(A603),4)+1),0)</f>
        <v>16</v>
      </c>
      <c r="G603" s="19">
        <f t="shared" si="101"/>
        <v>17</v>
      </c>
      <c r="H603" s="27">
        <f t="shared" si="102"/>
        <v>2</v>
      </c>
      <c r="I603" s="6" t="s">
        <v>164</v>
      </c>
      <c r="J603" s="23" t="str">
        <f>VLOOKUP(E603,各职业基础配置!$B$9:$C$12,2,FALSE)</f>
        <v>111|112|113|4201|115</v>
      </c>
      <c r="K603" s="18" t="str">
        <f>VLOOKUP(E603,各职业基础配置!$B$15:$C$18,2,FALSE)</f>
        <v>32|33|34</v>
      </c>
      <c r="L603" s="18" t="str">
        <f>VLOOKUP(E603,各职业基础配置!B:C,2,FALSE)</f>
        <v>[{32,1,1},{33,1,1},{34,1,1},{35,1,1},{7,1,1},{8,1,1},{9,1,1}]</v>
      </c>
      <c r="M603" s="18">
        <v>0</v>
      </c>
      <c r="N603" s="18">
        <f t="shared" si="103"/>
        <v>7</v>
      </c>
      <c r="O603" s="18">
        <f>SUMPRODUCT(P603:AI603,Sheet2!$B$3:$U$3)</f>
        <v>104518</v>
      </c>
      <c r="P603" s="18">
        <f>CEILING(INDEX([1]系统模型!$VD:$VD,MATCH(C603,[1]系统模型!$A:$A,0))*POWER(C603/220,3.8)-50+(1000-A603),1)</f>
        <v>1881</v>
      </c>
      <c r="Q603" s="18">
        <f>CEILING(INDEX([1]系统模型!$VE:$VE,MATCH(C603,[1]系统模型!$A:$A,0))*POWER(C603/220,4),1)</f>
        <v>204</v>
      </c>
      <c r="R603" s="18">
        <f>INT(INDEX([1]系统模型!$VF:$VF,MATCH(C603,[1]系统模型!$A:$A,0))*MAX(POWER(C603/180,4),0.5))</f>
        <v>13268</v>
      </c>
      <c r="S603" s="5">
        <v>1000</v>
      </c>
      <c r="T603" s="25">
        <v>0</v>
      </c>
      <c r="U603" s="25">
        <v>0</v>
      </c>
      <c r="V603" s="25">
        <v>0</v>
      </c>
      <c r="W603" s="25">
        <v>0</v>
      </c>
      <c r="X603" s="25">
        <f t="shared" si="104"/>
        <v>663</v>
      </c>
      <c r="Y603" s="12">
        <v>0</v>
      </c>
      <c r="Z603" s="25">
        <v>100</v>
      </c>
      <c r="AA603" s="25">
        <v>150</v>
      </c>
      <c r="AB603" s="25">
        <v>0</v>
      </c>
      <c r="AC603" s="25">
        <v>0</v>
      </c>
      <c r="AD603" s="25">
        <v>0</v>
      </c>
      <c r="AE603" s="25">
        <f t="shared" si="105"/>
        <v>320</v>
      </c>
      <c r="AF603" s="25">
        <f t="shared" si="106"/>
        <v>320</v>
      </c>
      <c r="AG603" s="25">
        <v>0</v>
      </c>
      <c r="AH603" s="25">
        <f t="shared" si="107"/>
        <v>3250</v>
      </c>
      <c r="AI603" s="25">
        <f t="shared" si="108"/>
        <v>25</v>
      </c>
      <c r="AJ603" s="25">
        <v>1</v>
      </c>
      <c r="AK603" s="25">
        <v>1000</v>
      </c>
      <c r="AL603" s="25">
        <v>100</v>
      </c>
      <c r="AM603" s="26">
        <v>10</v>
      </c>
      <c r="AN603" s="26">
        <v>10</v>
      </c>
      <c r="AO603" s="22" t="s">
        <v>2211</v>
      </c>
      <c r="AP603" s="26">
        <v>0</v>
      </c>
      <c r="AQ603" s="26">
        <f t="shared" si="109"/>
        <v>390</v>
      </c>
      <c r="AR603" s="18" t="str">
        <f ca="1">CONCATENATE(OFFSET(Sheet1!$A$2,RANDBETWEEN(2,500),0,1,1),OFFSET(Sheet1!$A$2,RANDBETWEEN(2,500),RANDBETWEEN(1,5),1,1))</f>
        <v>哈林顿精英</v>
      </c>
      <c r="AS603">
        <f>SUMPRODUCT(P603:AI603,Sheet2!$B$3:$U$3)</f>
        <v>104518</v>
      </c>
    </row>
    <row r="604" spans="1:45" x14ac:dyDescent="0.15">
      <c r="A604" s="23">
        <v>603</v>
      </c>
      <c r="B604" s="18" t="s">
        <v>1358</v>
      </c>
      <c r="C604" s="18">
        <f t="shared" si="99"/>
        <v>160</v>
      </c>
      <c r="D604" s="19">
        <f t="shared" si="100"/>
        <v>3</v>
      </c>
      <c r="E604" s="19">
        <f>VLOOKUP(MOD(A604,4),各职业基础配置!C$32:D$35,2,FALSE)</f>
        <v>9</v>
      </c>
      <c r="F604" s="19">
        <f>IF(A604&lt;900,INDEX(各职业基础配置!C$23:C$28,MOD(ROW(A604),4)+1),0)</f>
        <v>8</v>
      </c>
      <c r="G604" s="19">
        <f t="shared" si="101"/>
        <v>17</v>
      </c>
      <c r="H604" s="27">
        <f t="shared" si="102"/>
        <v>2</v>
      </c>
      <c r="I604" s="6" t="s">
        <v>164</v>
      </c>
      <c r="J604" s="23" t="str">
        <f>VLOOKUP(E604,各职业基础配置!$B$9:$C$12,2,FALSE)</f>
        <v>116|117|118|4201|120</v>
      </c>
      <c r="K604" s="18" t="str">
        <f>VLOOKUP(E604,各职业基础配置!$B$15:$C$18,2,FALSE)</f>
        <v>28|29|30|31</v>
      </c>
      <c r="L604" s="18" t="str">
        <f>VLOOKUP(E604,各职业基础配置!B:C,2,FALSE)</f>
        <v>[{28,1,1},{29,1,1},{30,1,1},{31,1,1},{10,1,1},{11,1,1},{12,1,1}]</v>
      </c>
      <c r="M604" s="18">
        <v>0</v>
      </c>
      <c r="N604" s="18">
        <f t="shared" si="103"/>
        <v>3</v>
      </c>
      <c r="O604" s="18">
        <f>SUMPRODUCT(P604:AI604,Sheet2!$B$3:$U$3)</f>
        <v>104493</v>
      </c>
      <c r="P604" s="18">
        <f>CEILING(INDEX([1]系统模型!$VD:$VD,MATCH(C604,[1]系统模型!$A:$A,0))*POWER(C604/220,3.8)-50+(1000-A604),1)</f>
        <v>1880</v>
      </c>
      <c r="Q604" s="18">
        <f>CEILING(INDEX([1]系统模型!$VE:$VE,MATCH(C604,[1]系统模型!$A:$A,0))*POWER(C604/220,4),1)</f>
        <v>204</v>
      </c>
      <c r="R604" s="18">
        <f>INT(INDEX([1]系统模型!$VF:$VF,MATCH(C604,[1]系统模型!$A:$A,0))*MAX(POWER(C604/180,4),0.5))</f>
        <v>13268</v>
      </c>
      <c r="S604" s="5">
        <v>1000</v>
      </c>
      <c r="T604" s="25">
        <v>0</v>
      </c>
      <c r="U604" s="25">
        <v>0</v>
      </c>
      <c r="V604" s="25">
        <v>0</v>
      </c>
      <c r="W604" s="25">
        <v>0</v>
      </c>
      <c r="X604" s="25">
        <f t="shared" si="104"/>
        <v>663</v>
      </c>
      <c r="Y604" s="12">
        <v>0</v>
      </c>
      <c r="Z604" s="25">
        <v>100</v>
      </c>
      <c r="AA604" s="25">
        <v>150</v>
      </c>
      <c r="AB604" s="25">
        <v>0</v>
      </c>
      <c r="AC604" s="25">
        <v>0</v>
      </c>
      <c r="AD604" s="25">
        <v>0</v>
      </c>
      <c r="AE604" s="25">
        <f t="shared" si="105"/>
        <v>320</v>
      </c>
      <c r="AF604" s="25">
        <f t="shared" si="106"/>
        <v>320</v>
      </c>
      <c r="AG604" s="25">
        <v>0</v>
      </c>
      <c r="AH604" s="25">
        <f t="shared" si="107"/>
        <v>3250</v>
      </c>
      <c r="AI604" s="25">
        <f t="shared" si="108"/>
        <v>25</v>
      </c>
      <c r="AJ604" s="25">
        <v>1</v>
      </c>
      <c r="AK604" s="25">
        <v>1000</v>
      </c>
      <c r="AL604" s="25">
        <v>100</v>
      </c>
      <c r="AM604" s="26">
        <v>10</v>
      </c>
      <c r="AN604" s="26">
        <v>10</v>
      </c>
      <c r="AO604" s="22" t="s">
        <v>2211</v>
      </c>
      <c r="AP604" s="26">
        <v>0</v>
      </c>
      <c r="AQ604" s="26">
        <f t="shared" si="109"/>
        <v>390</v>
      </c>
      <c r="AR604" s="18" t="str">
        <f ca="1">CONCATENATE(OFFSET(Sheet1!$A$2,RANDBETWEEN(2,500),0,1,1),OFFSET(Sheet1!$A$2,RANDBETWEEN(2,500),RANDBETWEEN(1,5),1,1))</f>
        <v>希尔</v>
      </c>
      <c r="AS604">
        <f>SUMPRODUCT(P604:AI604,Sheet2!$B$3:$U$3)</f>
        <v>104493</v>
      </c>
    </row>
    <row r="605" spans="1:45" x14ac:dyDescent="0.15">
      <c r="A605" s="18">
        <v>604</v>
      </c>
      <c r="B605" s="18" t="s">
        <v>1836</v>
      </c>
      <c r="C605" s="18">
        <f t="shared" si="99"/>
        <v>160</v>
      </c>
      <c r="D605" s="19">
        <f t="shared" si="100"/>
        <v>2</v>
      </c>
      <c r="E605" s="19">
        <f>VLOOKUP(MOD(A605,4),各职业基础配置!C$32:D$35,2,FALSE)</f>
        <v>1</v>
      </c>
      <c r="F605" s="19">
        <f>IF(A605&lt;900,INDEX(各职业基础配置!C$23:C$28,MOD(ROW(A605),4)+1),0)</f>
        <v>13</v>
      </c>
      <c r="G605" s="19">
        <f t="shared" si="101"/>
        <v>17</v>
      </c>
      <c r="H605" s="27">
        <f t="shared" si="102"/>
        <v>2</v>
      </c>
      <c r="I605" s="6" t="s">
        <v>164</v>
      </c>
      <c r="J605" s="23" t="str">
        <f>VLOOKUP(E605,各职业基础配置!$B$9:$C$12,2,FALSE)</f>
        <v>101|102|103|4201|105</v>
      </c>
      <c r="K605" s="18" t="str">
        <f>VLOOKUP(E605,各职业基础配置!$B$15:$C$18,2,FALSE)</f>
        <v>24|25|26|27</v>
      </c>
      <c r="L605" s="18" t="str">
        <f>VLOOKUP(E605,各职业基础配置!B:C,2,FALSE)</f>
        <v>[{24,1,1},{25,1,1},{26,1,1},{27,1,1},{1,1,1},{2,1,1},{3,1,1}]</v>
      </c>
      <c r="M605" s="18">
        <v>0</v>
      </c>
      <c r="N605" s="18">
        <f t="shared" si="103"/>
        <v>3</v>
      </c>
      <c r="O605" s="18">
        <f>SUMPRODUCT(P605:AI605,Sheet2!$B$3:$U$3)</f>
        <v>104468</v>
      </c>
      <c r="P605" s="18">
        <f>CEILING(INDEX([1]系统模型!$VD:$VD,MATCH(C605,[1]系统模型!$A:$A,0))*POWER(C605/220,3.8)-50+(1000-A605),1)</f>
        <v>1879</v>
      </c>
      <c r="Q605" s="18">
        <f>CEILING(INDEX([1]系统模型!$VE:$VE,MATCH(C605,[1]系统模型!$A:$A,0))*POWER(C605/220,4),1)</f>
        <v>204</v>
      </c>
      <c r="R605" s="18">
        <f>INT(INDEX([1]系统模型!$VF:$VF,MATCH(C605,[1]系统模型!$A:$A,0))*MAX(POWER(C605/180,4),0.5))</f>
        <v>13268</v>
      </c>
      <c r="S605" s="5">
        <v>1000</v>
      </c>
      <c r="T605" s="25">
        <v>0</v>
      </c>
      <c r="U605" s="25">
        <v>0</v>
      </c>
      <c r="V605" s="25">
        <v>0</v>
      </c>
      <c r="W605" s="25">
        <v>0</v>
      </c>
      <c r="X605" s="25">
        <f t="shared" si="104"/>
        <v>663</v>
      </c>
      <c r="Y605" s="12">
        <v>0</v>
      </c>
      <c r="Z605" s="25">
        <v>100</v>
      </c>
      <c r="AA605" s="25">
        <v>150</v>
      </c>
      <c r="AB605" s="25">
        <v>0</v>
      </c>
      <c r="AC605" s="25">
        <v>0</v>
      </c>
      <c r="AD605" s="25">
        <v>0</v>
      </c>
      <c r="AE605" s="25">
        <f t="shared" si="105"/>
        <v>320</v>
      </c>
      <c r="AF605" s="25">
        <f t="shared" si="106"/>
        <v>320</v>
      </c>
      <c r="AG605" s="25">
        <v>0</v>
      </c>
      <c r="AH605" s="25">
        <f t="shared" si="107"/>
        <v>3250</v>
      </c>
      <c r="AI605" s="25">
        <f t="shared" si="108"/>
        <v>25</v>
      </c>
      <c r="AJ605" s="25">
        <v>1</v>
      </c>
      <c r="AK605" s="25">
        <v>1000</v>
      </c>
      <c r="AL605" s="25">
        <v>100</v>
      </c>
      <c r="AM605" s="26">
        <v>10</v>
      </c>
      <c r="AN605" s="26">
        <v>10</v>
      </c>
      <c r="AO605" s="22" t="s">
        <v>2211</v>
      </c>
      <c r="AP605" s="26">
        <v>0</v>
      </c>
      <c r="AQ605" s="26">
        <f t="shared" si="109"/>
        <v>390</v>
      </c>
      <c r="AR605" s="18" t="str">
        <f ca="1">CONCATENATE(OFFSET(Sheet1!$A$2,RANDBETWEEN(2,500),0,1,1),OFFSET(Sheet1!$A$2,RANDBETWEEN(2,500),RANDBETWEEN(1,5),1,1))</f>
        <v>阿格尼丝莎柏琳娜</v>
      </c>
      <c r="AS605">
        <f>SUMPRODUCT(P605:AI605,Sheet2!$B$3:$U$3)</f>
        <v>104468</v>
      </c>
    </row>
    <row r="606" spans="1:45" x14ac:dyDescent="0.15">
      <c r="A606" s="18">
        <v>605</v>
      </c>
      <c r="B606" s="18" t="s">
        <v>229</v>
      </c>
      <c r="C606" s="18">
        <f t="shared" si="99"/>
        <v>160</v>
      </c>
      <c r="D606" s="19">
        <f t="shared" si="100"/>
        <v>3</v>
      </c>
      <c r="E606" s="19">
        <f>VLOOKUP(MOD(A606,4),各职业基础配置!C$32:D$35,2,FALSE)</f>
        <v>3</v>
      </c>
      <c r="F606" s="19">
        <f>IF(A606&lt;900,INDEX(各职业基础配置!C$23:C$28,MOD(ROW(A606),4)+1),0)</f>
        <v>14</v>
      </c>
      <c r="G606" s="19">
        <f t="shared" si="101"/>
        <v>17</v>
      </c>
      <c r="H606" s="27">
        <f t="shared" si="102"/>
        <v>2</v>
      </c>
      <c r="I606" s="6" t="s">
        <v>164</v>
      </c>
      <c r="J606" s="23" t="str">
        <f>VLOOKUP(E606,各职业基础配置!$B$9:$C$12,2,FALSE)</f>
        <v>106|107|108|4201|110</v>
      </c>
      <c r="K606" s="18" t="str">
        <f>VLOOKUP(E606,各职业基础配置!$B$15:$C$18,2,FALSE)</f>
        <v>20|21|22|23</v>
      </c>
      <c r="L606" s="18" t="str">
        <f>VLOOKUP(E606,各职业基础配置!B:C,2,FALSE)</f>
        <v>[{20,1,1},{21,1,1},{22,1,1},{23,1,1},{4,1,1},{5,1,1},{6,1,1}]</v>
      </c>
      <c r="M606" s="18">
        <v>0</v>
      </c>
      <c r="N606" s="18">
        <f t="shared" si="103"/>
        <v>7</v>
      </c>
      <c r="O606" s="18">
        <f>SUMPRODUCT(P606:AI606,Sheet2!$B$3:$U$3)</f>
        <v>104443</v>
      </c>
      <c r="P606" s="18">
        <f>CEILING(INDEX([1]系统模型!$VD:$VD,MATCH(C606,[1]系统模型!$A:$A,0))*POWER(C606/220,3.8)-50+(1000-A606),1)</f>
        <v>1878</v>
      </c>
      <c r="Q606" s="18">
        <f>CEILING(INDEX([1]系统模型!$VE:$VE,MATCH(C606,[1]系统模型!$A:$A,0))*POWER(C606/220,4),1)</f>
        <v>204</v>
      </c>
      <c r="R606" s="18">
        <f>INT(INDEX([1]系统模型!$VF:$VF,MATCH(C606,[1]系统模型!$A:$A,0))*MAX(POWER(C606/180,4),0.5))</f>
        <v>13268</v>
      </c>
      <c r="S606" s="5">
        <v>1000</v>
      </c>
      <c r="T606" s="25">
        <v>0</v>
      </c>
      <c r="U606" s="25">
        <v>0</v>
      </c>
      <c r="V606" s="25">
        <v>0</v>
      </c>
      <c r="W606" s="25">
        <v>0</v>
      </c>
      <c r="X606" s="25">
        <f t="shared" si="104"/>
        <v>663</v>
      </c>
      <c r="Y606" s="12">
        <v>0</v>
      </c>
      <c r="Z606" s="25">
        <v>100</v>
      </c>
      <c r="AA606" s="25">
        <v>150</v>
      </c>
      <c r="AB606" s="25">
        <v>0</v>
      </c>
      <c r="AC606" s="25">
        <v>0</v>
      </c>
      <c r="AD606" s="25">
        <v>0</v>
      </c>
      <c r="AE606" s="25">
        <f t="shared" si="105"/>
        <v>320</v>
      </c>
      <c r="AF606" s="25">
        <f t="shared" si="106"/>
        <v>320</v>
      </c>
      <c r="AG606" s="25">
        <v>0</v>
      </c>
      <c r="AH606" s="25">
        <f t="shared" si="107"/>
        <v>3250</v>
      </c>
      <c r="AI606" s="25">
        <f t="shared" si="108"/>
        <v>25</v>
      </c>
      <c r="AJ606" s="25">
        <v>1</v>
      </c>
      <c r="AK606" s="25">
        <v>1000</v>
      </c>
      <c r="AL606" s="25">
        <v>100</v>
      </c>
      <c r="AM606" s="26">
        <v>10</v>
      </c>
      <c r="AN606" s="26">
        <v>10</v>
      </c>
      <c r="AO606" s="22" t="s">
        <v>2211</v>
      </c>
      <c r="AP606" s="26">
        <v>0</v>
      </c>
      <c r="AQ606" s="26">
        <f t="shared" si="109"/>
        <v>390</v>
      </c>
      <c r="AR606" s="18" t="str">
        <f ca="1">CONCATENATE(OFFSET(Sheet1!$A$2,RANDBETWEEN(2,500),0,1,1),OFFSET(Sheet1!$A$2,RANDBETWEEN(2,500),RANDBETWEEN(1,5),1,1))</f>
        <v>哈尔婕咪</v>
      </c>
      <c r="AS606">
        <f>SUMPRODUCT(P606:AI606,Sheet2!$B$3:$U$3)</f>
        <v>104443</v>
      </c>
    </row>
    <row r="607" spans="1:45" x14ac:dyDescent="0.15">
      <c r="A607" s="23">
        <v>606</v>
      </c>
      <c r="B607" s="18" t="s">
        <v>343</v>
      </c>
      <c r="C607" s="18">
        <f t="shared" si="99"/>
        <v>160</v>
      </c>
      <c r="D607" s="19">
        <f t="shared" si="100"/>
        <v>2</v>
      </c>
      <c r="E607" s="19">
        <f>VLOOKUP(MOD(A607,4),各职业基础配置!C$32:D$35,2,FALSE)</f>
        <v>6</v>
      </c>
      <c r="F607" s="19">
        <f>IF(A607&lt;900,INDEX(各职业基础配置!C$23:C$28,MOD(ROW(A607),4)+1),0)</f>
        <v>16</v>
      </c>
      <c r="G607" s="19">
        <f t="shared" si="101"/>
        <v>17</v>
      </c>
      <c r="H607" s="27">
        <f t="shared" si="102"/>
        <v>2</v>
      </c>
      <c r="I607" s="6" t="s">
        <v>164</v>
      </c>
      <c r="J607" s="23" t="str">
        <f>VLOOKUP(E607,各职业基础配置!$B$9:$C$12,2,FALSE)</f>
        <v>111|112|113|4201|115</v>
      </c>
      <c r="K607" s="18" t="str">
        <f>VLOOKUP(E607,各职业基础配置!$B$15:$C$18,2,FALSE)</f>
        <v>32|33|34</v>
      </c>
      <c r="L607" s="18" t="str">
        <f>VLOOKUP(E607,各职业基础配置!B:C,2,FALSE)</f>
        <v>[{32,1,1},{33,1,1},{34,1,1},{35,1,1},{7,1,1},{8,1,1},{9,1,1}]</v>
      </c>
      <c r="M607" s="18">
        <v>0</v>
      </c>
      <c r="N607" s="18">
        <f t="shared" si="103"/>
        <v>7</v>
      </c>
      <c r="O607" s="18">
        <f>SUMPRODUCT(P607:AI607,Sheet2!$B$3:$U$3)</f>
        <v>104418</v>
      </c>
      <c r="P607" s="18">
        <f>CEILING(INDEX([1]系统模型!$VD:$VD,MATCH(C607,[1]系统模型!$A:$A,0))*POWER(C607/220,3.8)-50+(1000-A607),1)</f>
        <v>1877</v>
      </c>
      <c r="Q607" s="18">
        <f>CEILING(INDEX([1]系统模型!$VE:$VE,MATCH(C607,[1]系统模型!$A:$A,0))*POWER(C607/220,4),1)</f>
        <v>204</v>
      </c>
      <c r="R607" s="18">
        <f>INT(INDEX([1]系统模型!$VF:$VF,MATCH(C607,[1]系统模型!$A:$A,0))*MAX(POWER(C607/180,4),0.5))</f>
        <v>13268</v>
      </c>
      <c r="S607" s="5">
        <v>1000</v>
      </c>
      <c r="T607" s="25">
        <v>0</v>
      </c>
      <c r="U607" s="25">
        <v>0</v>
      </c>
      <c r="V607" s="25">
        <v>0</v>
      </c>
      <c r="W607" s="25">
        <v>0</v>
      </c>
      <c r="X607" s="25">
        <f t="shared" si="104"/>
        <v>663</v>
      </c>
      <c r="Y607" s="12">
        <v>0</v>
      </c>
      <c r="Z607" s="25">
        <v>100</v>
      </c>
      <c r="AA607" s="25">
        <v>150</v>
      </c>
      <c r="AB607" s="25">
        <v>0</v>
      </c>
      <c r="AC607" s="25">
        <v>0</v>
      </c>
      <c r="AD607" s="25">
        <v>0</v>
      </c>
      <c r="AE607" s="25">
        <f t="shared" si="105"/>
        <v>320</v>
      </c>
      <c r="AF607" s="25">
        <f t="shared" si="106"/>
        <v>320</v>
      </c>
      <c r="AG607" s="25">
        <v>0</v>
      </c>
      <c r="AH607" s="25">
        <f t="shared" si="107"/>
        <v>3250</v>
      </c>
      <c r="AI607" s="25">
        <f t="shared" si="108"/>
        <v>25</v>
      </c>
      <c r="AJ607" s="25">
        <v>1</v>
      </c>
      <c r="AK607" s="25">
        <v>1000</v>
      </c>
      <c r="AL607" s="25">
        <v>100</v>
      </c>
      <c r="AM607" s="26">
        <v>10</v>
      </c>
      <c r="AN607" s="26">
        <v>10</v>
      </c>
      <c r="AO607" s="22" t="s">
        <v>2211</v>
      </c>
      <c r="AP607" s="26">
        <v>0</v>
      </c>
      <c r="AQ607" s="26">
        <f t="shared" si="109"/>
        <v>390</v>
      </c>
      <c r="AR607" s="18" t="str">
        <f ca="1">CONCATENATE(OFFSET(Sheet1!$A$2,RANDBETWEEN(2,500),0,1,1),OFFSET(Sheet1!$A$2,RANDBETWEEN(2,500),RANDBETWEEN(1,5),1,1))</f>
        <v>张伯伦</v>
      </c>
      <c r="AS607">
        <f>SUMPRODUCT(P607:AI607,Sheet2!$B$3:$U$3)</f>
        <v>104418</v>
      </c>
    </row>
    <row r="608" spans="1:45" x14ac:dyDescent="0.15">
      <c r="A608" s="18">
        <v>607</v>
      </c>
      <c r="B608" s="18" t="s">
        <v>435</v>
      </c>
      <c r="C608" s="18">
        <f t="shared" si="99"/>
        <v>160</v>
      </c>
      <c r="D608" s="19">
        <f t="shared" si="100"/>
        <v>3</v>
      </c>
      <c r="E608" s="19">
        <f>VLOOKUP(MOD(A608,4),各职业基础配置!C$32:D$35,2,FALSE)</f>
        <v>9</v>
      </c>
      <c r="F608" s="19">
        <f>IF(A608&lt;900,INDEX(各职业基础配置!C$23:C$28,MOD(ROW(A608),4)+1),0)</f>
        <v>8</v>
      </c>
      <c r="G608" s="19">
        <f t="shared" si="101"/>
        <v>17</v>
      </c>
      <c r="H608" s="27">
        <f t="shared" si="102"/>
        <v>2</v>
      </c>
      <c r="I608" s="6" t="s">
        <v>164</v>
      </c>
      <c r="J608" s="23" t="str">
        <f>VLOOKUP(E608,各职业基础配置!$B$9:$C$12,2,FALSE)</f>
        <v>116|117|118|4201|120</v>
      </c>
      <c r="K608" s="18" t="str">
        <f>VLOOKUP(E608,各职业基础配置!$B$15:$C$18,2,FALSE)</f>
        <v>28|29|30|31</v>
      </c>
      <c r="L608" s="18" t="str">
        <f>VLOOKUP(E608,各职业基础配置!B:C,2,FALSE)</f>
        <v>[{28,1,1},{29,1,1},{30,1,1},{31,1,1},{10,1,1},{11,1,1},{12,1,1}]</v>
      </c>
      <c r="M608" s="18">
        <v>0</v>
      </c>
      <c r="N608" s="18">
        <f t="shared" si="103"/>
        <v>3</v>
      </c>
      <c r="O608" s="18">
        <f>SUMPRODUCT(P608:AI608,Sheet2!$B$3:$U$3)</f>
        <v>104393</v>
      </c>
      <c r="P608" s="18">
        <f>CEILING(INDEX([1]系统模型!$VD:$VD,MATCH(C608,[1]系统模型!$A:$A,0))*POWER(C608/220,3.8)-50+(1000-A608),1)</f>
        <v>1876</v>
      </c>
      <c r="Q608" s="18">
        <f>CEILING(INDEX([1]系统模型!$VE:$VE,MATCH(C608,[1]系统模型!$A:$A,0))*POWER(C608/220,4),1)</f>
        <v>204</v>
      </c>
      <c r="R608" s="18">
        <f>INT(INDEX([1]系统模型!$VF:$VF,MATCH(C608,[1]系统模型!$A:$A,0))*MAX(POWER(C608/180,4),0.5))</f>
        <v>13268</v>
      </c>
      <c r="S608" s="5">
        <v>1000</v>
      </c>
      <c r="T608" s="25">
        <v>0</v>
      </c>
      <c r="U608" s="25">
        <v>0</v>
      </c>
      <c r="V608" s="25">
        <v>0</v>
      </c>
      <c r="W608" s="25">
        <v>0</v>
      </c>
      <c r="X608" s="25">
        <f t="shared" si="104"/>
        <v>663</v>
      </c>
      <c r="Y608" s="12">
        <v>0</v>
      </c>
      <c r="Z608" s="25">
        <v>100</v>
      </c>
      <c r="AA608" s="25">
        <v>150</v>
      </c>
      <c r="AB608" s="25">
        <v>0</v>
      </c>
      <c r="AC608" s="25">
        <v>0</v>
      </c>
      <c r="AD608" s="25">
        <v>0</v>
      </c>
      <c r="AE608" s="25">
        <f t="shared" si="105"/>
        <v>320</v>
      </c>
      <c r="AF608" s="25">
        <f t="shared" si="106"/>
        <v>320</v>
      </c>
      <c r="AG608" s="25">
        <v>0</v>
      </c>
      <c r="AH608" s="25">
        <f t="shared" si="107"/>
        <v>3250</v>
      </c>
      <c r="AI608" s="25">
        <f t="shared" si="108"/>
        <v>25</v>
      </c>
      <c r="AJ608" s="25">
        <v>1</v>
      </c>
      <c r="AK608" s="25">
        <v>1000</v>
      </c>
      <c r="AL608" s="25">
        <v>100</v>
      </c>
      <c r="AM608" s="26">
        <v>10</v>
      </c>
      <c r="AN608" s="26">
        <v>10</v>
      </c>
      <c r="AO608" s="22" t="s">
        <v>2211</v>
      </c>
      <c r="AP608" s="26">
        <v>0</v>
      </c>
      <c r="AQ608" s="26">
        <f t="shared" si="109"/>
        <v>390</v>
      </c>
      <c r="AR608" s="18" t="str">
        <f ca="1">CONCATENATE(OFFSET(Sheet1!$A$2,RANDBETWEEN(2,500),0,1,1),OFFSET(Sheet1!$A$2,RANDBETWEEN(2,500),RANDBETWEEN(1,5),1,1))</f>
        <v>安妮</v>
      </c>
      <c r="AS608">
        <f>SUMPRODUCT(P608:AI608,Sheet2!$B$3:$U$3)</f>
        <v>104393</v>
      </c>
    </row>
    <row r="609" spans="1:45" x14ac:dyDescent="0.15">
      <c r="A609" s="18">
        <v>608</v>
      </c>
      <c r="B609" s="18" t="s">
        <v>1226</v>
      </c>
      <c r="C609" s="18">
        <f t="shared" si="99"/>
        <v>160</v>
      </c>
      <c r="D609" s="19">
        <f t="shared" si="100"/>
        <v>2</v>
      </c>
      <c r="E609" s="19">
        <f>VLOOKUP(MOD(A609,4),各职业基础配置!C$32:D$35,2,FALSE)</f>
        <v>1</v>
      </c>
      <c r="F609" s="19">
        <f>IF(A609&lt;900,INDEX(各职业基础配置!C$23:C$28,MOD(ROW(A609),4)+1),0)</f>
        <v>13</v>
      </c>
      <c r="G609" s="19">
        <f t="shared" si="101"/>
        <v>17</v>
      </c>
      <c r="H609" s="27">
        <f t="shared" si="102"/>
        <v>2</v>
      </c>
      <c r="I609" s="6" t="s">
        <v>164</v>
      </c>
      <c r="J609" s="23" t="str">
        <f>VLOOKUP(E609,各职业基础配置!$B$9:$C$12,2,FALSE)</f>
        <v>101|102|103|4201|105</v>
      </c>
      <c r="K609" s="18" t="str">
        <f>VLOOKUP(E609,各职业基础配置!$B$15:$C$18,2,FALSE)</f>
        <v>24|25|26|27</v>
      </c>
      <c r="L609" s="18" t="str">
        <f>VLOOKUP(E609,各职业基础配置!B:C,2,FALSE)</f>
        <v>[{24,1,1},{25,1,1},{26,1,1},{27,1,1},{1,1,1},{2,1,1},{3,1,1}]</v>
      </c>
      <c r="M609" s="18">
        <v>0</v>
      </c>
      <c r="N609" s="18">
        <f t="shared" si="103"/>
        <v>3</v>
      </c>
      <c r="O609" s="18">
        <f>SUMPRODUCT(P609:AI609,Sheet2!$B$3:$U$3)</f>
        <v>104368</v>
      </c>
      <c r="P609" s="18">
        <f>CEILING(INDEX([1]系统模型!$VD:$VD,MATCH(C609,[1]系统模型!$A:$A,0))*POWER(C609/220,3.8)-50+(1000-A609),1)</f>
        <v>1875</v>
      </c>
      <c r="Q609" s="18">
        <f>CEILING(INDEX([1]系统模型!$VE:$VE,MATCH(C609,[1]系统模型!$A:$A,0))*POWER(C609/220,4),1)</f>
        <v>204</v>
      </c>
      <c r="R609" s="18">
        <f>INT(INDEX([1]系统模型!$VF:$VF,MATCH(C609,[1]系统模型!$A:$A,0))*MAX(POWER(C609/180,4),0.5))</f>
        <v>13268</v>
      </c>
      <c r="S609" s="5">
        <v>1000</v>
      </c>
      <c r="T609" s="25">
        <v>0</v>
      </c>
      <c r="U609" s="25">
        <v>0</v>
      </c>
      <c r="V609" s="25">
        <v>0</v>
      </c>
      <c r="W609" s="25">
        <v>0</v>
      </c>
      <c r="X609" s="25">
        <f t="shared" si="104"/>
        <v>663</v>
      </c>
      <c r="Y609" s="12">
        <v>0</v>
      </c>
      <c r="Z609" s="25">
        <v>100</v>
      </c>
      <c r="AA609" s="25">
        <v>150</v>
      </c>
      <c r="AB609" s="25">
        <v>0</v>
      </c>
      <c r="AC609" s="25">
        <v>0</v>
      </c>
      <c r="AD609" s="25">
        <v>0</v>
      </c>
      <c r="AE609" s="25">
        <f t="shared" si="105"/>
        <v>320</v>
      </c>
      <c r="AF609" s="25">
        <f t="shared" si="106"/>
        <v>320</v>
      </c>
      <c r="AG609" s="25">
        <v>0</v>
      </c>
      <c r="AH609" s="25">
        <f t="shared" si="107"/>
        <v>3250</v>
      </c>
      <c r="AI609" s="25">
        <f t="shared" si="108"/>
        <v>25</v>
      </c>
      <c r="AJ609" s="25">
        <v>1</v>
      </c>
      <c r="AK609" s="25">
        <v>1000</v>
      </c>
      <c r="AL609" s="25">
        <v>100</v>
      </c>
      <c r="AM609" s="26">
        <v>10</v>
      </c>
      <c r="AN609" s="26">
        <v>10</v>
      </c>
      <c r="AO609" s="22" t="s">
        <v>2211</v>
      </c>
      <c r="AP609" s="26">
        <v>0</v>
      </c>
      <c r="AQ609" s="26">
        <f t="shared" si="109"/>
        <v>380</v>
      </c>
      <c r="AR609" s="18" t="str">
        <f ca="1">CONCATENATE(OFFSET(Sheet1!$A$2,RANDBETWEEN(2,500),0,1,1),OFFSET(Sheet1!$A$2,RANDBETWEEN(2,500),RANDBETWEEN(1,5),1,1))</f>
        <v>弗里曼</v>
      </c>
      <c r="AS609">
        <f>SUMPRODUCT(P609:AI609,Sheet2!$B$3:$U$3)</f>
        <v>104368</v>
      </c>
    </row>
    <row r="610" spans="1:45" x14ac:dyDescent="0.15">
      <c r="A610" s="23">
        <v>609</v>
      </c>
      <c r="B610" s="18" t="s">
        <v>2059</v>
      </c>
      <c r="C610" s="18">
        <f t="shared" si="99"/>
        <v>159</v>
      </c>
      <c r="D610" s="19">
        <f t="shared" si="100"/>
        <v>3</v>
      </c>
      <c r="E610" s="19">
        <f>VLOOKUP(MOD(A610,4),各职业基础配置!C$32:D$35,2,FALSE)</f>
        <v>3</v>
      </c>
      <c r="F610" s="19">
        <f>IF(A610&lt;900,INDEX(各职业基础配置!C$23:C$28,MOD(ROW(A610),4)+1),0)</f>
        <v>14</v>
      </c>
      <c r="G610" s="19">
        <f t="shared" si="101"/>
        <v>16</v>
      </c>
      <c r="H610" s="27">
        <f t="shared" si="102"/>
        <v>2</v>
      </c>
      <c r="I610" s="6" t="s">
        <v>164</v>
      </c>
      <c r="J610" s="23" t="str">
        <f>VLOOKUP(E610,各职业基础配置!$B$9:$C$12,2,FALSE)</f>
        <v>106|107|108|4201|110</v>
      </c>
      <c r="K610" s="18" t="str">
        <f>VLOOKUP(E610,各职业基础配置!$B$15:$C$18,2,FALSE)</f>
        <v>20|21|22|23</v>
      </c>
      <c r="L610" s="18" t="str">
        <f>VLOOKUP(E610,各职业基础配置!B:C,2,FALSE)</f>
        <v>[{20,1,1},{21,1,1},{22,1,1},{23,1,1},{4,1,1},{5,1,1},{6,1,1}]</v>
      </c>
      <c r="M610" s="18">
        <v>0</v>
      </c>
      <c r="N610" s="18">
        <f t="shared" si="103"/>
        <v>7</v>
      </c>
      <c r="O610" s="18">
        <f>SUMPRODUCT(P610:AI610,Sheet2!$B$3:$U$3)</f>
        <v>101740</v>
      </c>
      <c r="P610" s="18">
        <f>CEILING(INDEX([1]系统模型!$VD:$VD,MATCH(C610,[1]系统模型!$A:$A,0))*POWER(C610/220,3.8)-50+(1000-A610),1)</f>
        <v>1825</v>
      </c>
      <c r="Q610" s="18">
        <f>CEILING(INDEX([1]系统模型!$VE:$VE,MATCH(C610,[1]系统模型!$A:$A,0))*POWER(C610/220,4),1)</f>
        <v>193</v>
      </c>
      <c r="R610" s="18">
        <f>INT(INDEX([1]系统模型!$VF:$VF,MATCH(C610,[1]系统模型!$A:$A,0))*MAX(POWER(C610/180,4),0.5))</f>
        <v>12665</v>
      </c>
      <c r="S610" s="5">
        <v>1000</v>
      </c>
      <c r="T610" s="25">
        <v>0</v>
      </c>
      <c r="U610" s="25">
        <v>0</v>
      </c>
      <c r="V610" s="25">
        <v>0</v>
      </c>
      <c r="W610" s="25">
        <v>0</v>
      </c>
      <c r="X610" s="25">
        <f t="shared" si="104"/>
        <v>633</v>
      </c>
      <c r="Y610" s="12">
        <v>0</v>
      </c>
      <c r="Z610" s="25">
        <v>100</v>
      </c>
      <c r="AA610" s="25">
        <v>150</v>
      </c>
      <c r="AB610" s="25">
        <v>0</v>
      </c>
      <c r="AC610" s="25">
        <v>0</v>
      </c>
      <c r="AD610" s="25">
        <v>0</v>
      </c>
      <c r="AE610" s="25">
        <f t="shared" si="105"/>
        <v>318</v>
      </c>
      <c r="AF610" s="25">
        <f t="shared" si="106"/>
        <v>318</v>
      </c>
      <c r="AG610" s="25">
        <v>0</v>
      </c>
      <c r="AH610" s="25">
        <f t="shared" si="107"/>
        <v>3175</v>
      </c>
      <c r="AI610" s="25">
        <f t="shared" si="108"/>
        <v>24</v>
      </c>
      <c r="AJ610" s="25">
        <v>1</v>
      </c>
      <c r="AK610" s="25">
        <v>1000</v>
      </c>
      <c r="AL610" s="25">
        <v>100</v>
      </c>
      <c r="AM610" s="26">
        <v>10</v>
      </c>
      <c r="AN610" s="26">
        <v>10</v>
      </c>
      <c r="AO610" s="22" t="s">
        <v>2211</v>
      </c>
      <c r="AP610" s="26">
        <v>0</v>
      </c>
      <c r="AQ610" s="26">
        <f t="shared" si="109"/>
        <v>380</v>
      </c>
      <c r="AR610" s="18" t="str">
        <f ca="1">CONCATENATE(OFFSET(Sheet1!$A$2,RANDBETWEEN(2,500),0,1,1),OFFSET(Sheet1!$A$2,RANDBETWEEN(2,500),RANDBETWEEN(1,5),1,1))</f>
        <v>克赖顿</v>
      </c>
      <c r="AS610">
        <f>SUMPRODUCT(P610:AI610,Sheet2!$B$3:$U$3)</f>
        <v>101740</v>
      </c>
    </row>
    <row r="611" spans="1:45" x14ac:dyDescent="0.15">
      <c r="A611" s="18">
        <v>610</v>
      </c>
      <c r="B611" s="18" t="s">
        <v>1141</v>
      </c>
      <c r="C611" s="18">
        <f t="shared" si="99"/>
        <v>159</v>
      </c>
      <c r="D611" s="19">
        <f t="shared" si="100"/>
        <v>2</v>
      </c>
      <c r="E611" s="19">
        <f>VLOOKUP(MOD(A611,4),各职业基础配置!C$32:D$35,2,FALSE)</f>
        <v>6</v>
      </c>
      <c r="F611" s="19">
        <f>IF(A611&lt;900,INDEX(各职业基础配置!C$23:C$28,MOD(ROW(A611),4)+1),0)</f>
        <v>16</v>
      </c>
      <c r="G611" s="19">
        <f t="shared" si="101"/>
        <v>16</v>
      </c>
      <c r="H611" s="27">
        <f t="shared" si="102"/>
        <v>2</v>
      </c>
      <c r="I611" s="6" t="s">
        <v>164</v>
      </c>
      <c r="J611" s="23" t="str">
        <f>VLOOKUP(E611,各职业基础配置!$B$9:$C$12,2,FALSE)</f>
        <v>111|112|113|4201|115</v>
      </c>
      <c r="K611" s="18" t="str">
        <f>VLOOKUP(E611,各职业基础配置!$B$15:$C$18,2,FALSE)</f>
        <v>32|33|34</v>
      </c>
      <c r="L611" s="18" t="str">
        <f>VLOOKUP(E611,各职业基础配置!B:C,2,FALSE)</f>
        <v>[{32,1,1},{33,1,1},{34,1,1},{35,1,1},{7,1,1},{8,1,1},{9,1,1}]</v>
      </c>
      <c r="M611" s="18">
        <v>0</v>
      </c>
      <c r="N611" s="18">
        <f t="shared" si="103"/>
        <v>7</v>
      </c>
      <c r="O611" s="18">
        <f>SUMPRODUCT(P611:AI611,Sheet2!$B$3:$U$3)</f>
        <v>101715</v>
      </c>
      <c r="P611" s="18">
        <f>CEILING(INDEX([1]系统模型!$VD:$VD,MATCH(C611,[1]系统模型!$A:$A,0))*POWER(C611/220,3.8)-50+(1000-A611),1)</f>
        <v>1824</v>
      </c>
      <c r="Q611" s="18">
        <f>CEILING(INDEX([1]系统模型!$VE:$VE,MATCH(C611,[1]系统模型!$A:$A,0))*POWER(C611/220,4),1)</f>
        <v>193</v>
      </c>
      <c r="R611" s="18">
        <f>INT(INDEX([1]系统模型!$VF:$VF,MATCH(C611,[1]系统模型!$A:$A,0))*MAX(POWER(C611/180,4),0.5))</f>
        <v>12665</v>
      </c>
      <c r="S611" s="5">
        <v>1000</v>
      </c>
      <c r="T611" s="25">
        <v>0</v>
      </c>
      <c r="U611" s="25">
        <v>0</v>
      </c>
      <c r="V611" s="25">
        <v>0</v>
      </c>
      <c r="W611" s="25">
        <v>0</v>
      </c>
      <c r="X611" s="25">
        <f t="shared" si="104"/>
        <v>633</v>
      </c>
      <c r="Y611" s="12">
        <v>0</v>
      </c>
      <c r="Z611" s="25">
        <v>100</v>
      </c>
      <c r="AA611" s="25">
        <v>150</v>
      </c>
      <c r="AB611" s="25">
        <v>0</v>
      </c>
      <c r="AC611" s="25">
        <v>0</v>
      </c>
      <c r="AD611" s="25">
        <v>0</v>
      </c>
      <c r="AE611" s="25">
        <f t="shared" si="105"/>
        <v>318</v>
      </c>
      <c r="AF611" s="25">
        <f t="shared" si="106"/>
        <v>318</v>
      </c>
      <c r="AG611" s="25">
        <v>0</v>
      </c>
      <c r="AH611" s="25">
        <f t="shared" si="107"/>
        <v>3175</v>
      </c>
      <c r="AI611" s="25">
        <f t="shared" si="108"/>
        <v>24</v>
      </c>
      <c r="AJ611" s="25">
        <v>1</v>
      </c>
      <c r="AK611" s="25">
        <v>1000</v>
      </c>
      <c r="AL611" s="25">
        <v>100</v>
      </c>
      <c r="AM611" s="26">
        <v>10</v>
      </c>
      <c r="AN611" s="26">
        <v>10</v>
      </c>
      <c r="AO611" s="22" t="s">
        <v>2211</v>
      </c>
      <c r="AP611" s="26">
        <v>0</v>
      </c>
      <c r="AQ611" s="26">
        <f t="shared" si="109"/>
        <v>380</v>
      </c>
      <c r="AR611" s="18" t="str">
        <f ca="1">CONCATENATE(OFFSET(Sheet1!$A$2,RANDBETWEEN(2,500),0,1,1),OFFSET(Sheet1!$A$2,RANDBETWEEN(2,500),RANDBETWEEN(1,5),1,1))</f>
        <v>高尔斯沃西玛瑞</v>
      </c>
      <c r="AS611">
        <f>SUMPRODUCT(P611:AI611,Sheet2!$B$3:$U$3)</f>
        <v>101715</v>
      </c>
    </row>
    <row r="612" spans="1:45" x14ac:dyDescent="0.15">
      <c r="A612" s="18">
        <v>611</v>
      </c>
      <c r="B612" s="18" t="s">
        <v>2060</v>
      </c>
      <c r="C612" s="18">
        <f t="shared" si="99"/>
        <v>159</v>
      </c>
      <c r="D612" s="19">
        <f t="shared" si="100"/>
        <v>3</v>
      </c>
      <c r="E612" s="19">
        <f>VLOOKUP(MOD(A612,4),各职业基础配置!C$32:D$35,2,FALSE)</f>
        <v>9</v>
      </c>
      <c r="F612" s="19">
        <f>IF(A612&lt;900,INDEX(各职业基础配置!C$23:C$28,MOD(ROW(A612),4)+1),0)</f>
        <v>8</v>
      </c>
      <c r="G612" s="19">
        <f t="shared" si="101"/>
        <v>16</v>
      </c>
      <c r="H612" s="27">
        <f t="shared" si="102"/>
        <v>2</v>
      </c>
      <c r="I612" s="6" t="s">
        <v>164</v>
      </c>
      <c r="J612" s="23" t="str">
        <f>VLOOKUP(E612,各职业基础配置!$B$9:$C$12,2,FALSE)</f>
        <v>116|117|118|4201|120</v>
      </c>
      <c r="K612" s="18" t="str">
        <f>VLOOKUP(E612,各职业基础配置!$B$15:$C$18,2,FALSE)</f>
        <v>28|29|30|31</v>
      </c>
      <c r="L612" s="18" t="str">
        <f>VLOOKUP(E612,各职业基础配置!B:C,2,FALSE)</f>
        <v>[{28,1,1},{29,1,1},{30,1,1},{31,1,1},{10,1,1},{11,1,1},{12,1,1}]</v>
      </c>
      <c r="M612" s="18">
        <v>0</v>
      </c>
      <c r="N612" s="18">
        <f t="shared" si="103"/>
        <v>3</v>
      </c>
      <c r="O612" s="18">
        <f>SUMPRODUCT(P612:AI612,Sheet2!$B$3:$U$3)</f>
        <v>101690</v>
      </c>
      <c r="P612" s="18">
        <f>CEILING(INDEX([1]系统模型!$VD:$VD,MATCH(C612,[1]系统模型!$A:$A,0))*POWER(C612/220,3.8)-50+(1000-A612),1)</f>
        <v>1823</v>
      </c>
      <c r="Q612" s="18">
        <f>CEILING(INDEX([1]系统模型!$VE:$VE,MATCH(C612,[1]系统模型!$A:$A,0))*POWER(C612/220,4),1)</f>
        <v>193</v>
      </c>
      <c r="R612" s="18">
        <f>INT(INDEX([1]系统模型!$VF:$VF,MATCH(C612,[1]系统模型!$A:$A,0))*MAX(POWER(C612/180,4),0.5))</f>
        <v>12665</v>
      </c>
      <c r="S612" s="5">
        <v>1000</v>
      </c>
      <c r="T612" s="25">
        <v>0</v>
      </c>
      <c r="U612" s="25">
        <v>0</v>
      </c>
      <c r="V612" s="25">
        <v>0</v>
      </c>
      <c r="W612" s="25">
        <v>0</v>
      </c>
      <c r="X612" s="25">
        <f t="shared" si="104"/>
        <v>633</v>
      </c>
      <c r="Y612" s="12">
        <v>0</v>
      </c>
      <c r="Z612" s="25">
        <v>100</v>
      </c>
      <c r="AA612" s="25">
        <v>150</v>
      </c>
      <c r="AB612" s="25">
        <v>0</v>
      </c>
      <c r="AC612" s="25">
        <v>0</v>
      </c>
      <c r="AD612" s="25">
        <v>0</v>
      </c>
      <c r="AE612" s="25">
        <f t="shared" si="105"/>
        <v>318</v>
      </c>
      <c r="AF612" s="25">
        <f t="shared" si="106"/>
        <v>318</v>
      </c>
      <c r="AG612" s="25">
        <v>0</v>
      </c>
      <c r="AH612" s="25">
        <f t="shared" si="107"/>
        <v>3175</v>
      </c>
      <c r="AI612" s="25">
        <f t="shared" si="108"/>
        <v>24</v>
      </c>
      <c r="AJ612" s="25">
        <v>1</v>
      </c>
      <c r="AK612" s="25">
        <v>1000</v>
      </c>
      <c r="AL612" s="25">
        <v>100</v>
      </c>
      <c r="AM612" s="26">
        <v>10</v>
      </c>
      <c r="AN612" s="26">
        <v>10</v>
      </c>
      <c r="AO612" s="22" t="s">
        <v>2211</v>
      </c>
      <c r="AP612" s="26">
        <v>0</v>
      </c>
      <c r="AQ612" s="26">
        <f t="shared" si="109"/>
        <v>380</v>
      </c>
      <c r="AR612" s="18" t="str">
        <f ca="1">CONCATENATE(OFFSET(Sheet1!$A$2,RANDBETWEEN(2,500),0,1,1),OFFSET(Sheet1!$A$2,RANDBETWEEN(2,500),RANDBETWEEN(1,5),1,1))</f>
        <v>邓巴泰蜜</v>
      </c>
      <c r="AS612">
        <f>SUMPRODUCT(P612:AI612,Sheet2!$B$3:$U$3)</f>
        <v>101690</v>
      </c>
    </row>
    <row r="613" spans="1:45" x14ac:dyDescent="0.15">
      <c r="A613" s="23">
        <v>612</v>
      </c>
      <c r="B613" s="18" t="s">
        <v>1235</v>
      </c>
      <c r="C613" s="18">
        <f t="shared" si="99"/>
        <v>159</v>
      </c>
      <c r="D613" s="19">
        <f t="shared" si="100"/>
        <v>2</v>
      </c>
      <c r="E613" s="19">
        <f>VLOOKUP(MOD(A613,4),各职业基础配置!C$32:D$35,2,FALSE)</f>
        <v>1</v>
      </c>
      <c r="F613" s="19">
        <f>IF(A613&lt;900,INDEX(各职业基础配置!C$23:C$28,MOD(ROW(A613),4)+1),0)</f>
        <v>13</v>
      </c>
      <c r="G613" s="19">
        <f t="shared" si="101"/>
        <v>16</v>
      </c>
      <c r="H613" s="27">
        <f t="shared" si="102"/>
        <v>2</v>
      </c>
      <c r="I613" s="6" t="s">
        <v>164</v>
      </c>
      <c r="J613" s="23" t="str">
        <f>VLOOKUP(E613,各职业基础配置!$B$9:$C$12,2,FALSE)</f>
        <v>101|102|103|4201|105</v>
      </c>
      <c r="K613" s="18" t="str">
        <f>VLOOKUP(E613,各职业基础配置!$B$15:$C$18,2,FALSE)</f>
        <v>24|25|26|27</v>
      </c>
      <c r="L613" s="18" t="str">
        <f>VLOOKUP(E613,各职业基础配置!B:C,2,FALSE)</f>
        <v>[{24,1,1},{25,1,1},{26,1,1},{27,1,1},{1,1,1},{2,1,1},{3,1,1}]</v>
      </c>
      <c r="M613" s="18">
        <v>0</v>
      </c>
      <c r="N613" s="18">
        <f t="shared" si="103"/>
        <v>3</v>
      </c>
      <c r="O613" s="18">
        <f>SUMPRODUCT(P613:AI613,Sheet2!$B$3:$U$3)</f>
        <v>101665</v>
      </c>
      <c r="P613" s="18">
        <f>CEILING(INDEX([1]系统模型!$VD:$VD,MATCH(C613,[1]系统模型!$A:$A,0))*POWER(C613/220,3.8)-50+(1000-A613),1)</f>
        <v>1822</v>
      </c>
      <c r="Q613" s="18">
        <f>CEILING(INDEX([1]系统模型!$VE:$VE,MATCH(C613,[1]系统模型!$A:$A,0))*POWER(C613/220,4),1)</f>
        <v>193</v>
      </c>
      <c r="R613" s="18">
        <f>INT(INDEX([1]系统模型!$VF:$VF,MATCH(C613,[1]系统模型!$A:$A,0))*MAX(POWER(C613/180,4),0.5))</f>
        <v>12665</v>
      </c>
      <c r="S613" s="5">
        <v>1000</v>
      </c>
      <c r="T613" s="25">
        <v>0</v>
      </c>
      <c r="U613" s="25">
        <v>0</v>
      </c>
      <c r="V613" s="25">
        <v>0</v>
      </c>
      <c r="W613" s="25">
        <v>0</v>
      </c>
      <c r="X613" s="25">
        <f t="shared" si="104"/>
        <v>633</v>
      </c>
      <c r="Y613" s="12">
        <v>0</v>
      </c>
      <c r="Z613" s="25">
        <v>100</v>
      </c>
      <c r="AA613" s="25">
        <v>150</v>
      </c>
      <c r="AB613" s="25">
        <v>0</v>
      </c>
      <c r="AC613" s="25">
        <v>0</v>
      </c>
      <c r="AD613" s="25">
        <v>0</v>
      </c>
      <c r="AE613" s="25">
        <f t="shared" si="105"/>
        <v>318</v>
      </c>
      <c r="AF613" s="25">
        <f t="shared" si="106"/>
        <v>318</v>
      </c>
      <c r="AG613" s="25">
        <v>0</v>
      </c>
      <c r="AH613" s="25">
        <f t="shared" si="107"/>
        <v>3175</v>
      </c>
      <c r="AI613" s="25">
        <f t="shared" si="108"/>
        <v>24</v>
      </c>
      <c r="AJ613" s="25">
        <v>1</v>
      </c>
      <c r="AK613" s="25">
        <v>1000</v>
      </c>
      <c r="AL613" s="25">
        <v>100</v>
      </c>
      <c r="AM613" s="26">
        <v>10</v>
      </c>
      <c r="AN613" s="26">
        <v>10</v>
      </c>
      <c r="AO613" s="22" t="s">
        <v>2211</v>
      </c>
      <c r="AP613" s="26">
        <v>0</v>
      </c>
      <c r="AQ613" s="26">
        <f t="shared" si="109"/>
        <v>380</v>
      </c>
      <c r="AR613" s="18" t="str">
        <f ca="1">CONCATENATE(OFFSET(Sheet1!$A$2,RANDBETWEEN(2,500),0,1,1),OFFSET(Sheet1!$A$2,RANDBETWEEN(2,500),RANDBETWEEN(1,5),1,1))</f>
        <v>安东尼绝版</v>
      </c>
      <c r="AS613">
        <f>SUMPRODUCT(P613:AI613,Sheet2!$B$3:$U$3)</f>
        <v>101665</v>
      </c>
    </row>
    <row r="614" spans="1:45" x14ac:dyDescent="0.15">
      <c r="A614" s="18">
        <v>613</v>
      </c>
      <c r="B614" s="18" t="s">
        <v>453</v>
      </c>
      <c r="C614" s="18">
        <f t="shared" si="99"/>
        <v>159</v>
      </c>
      <c r="D614" s="19">
        <f t="shared" si="100"/>
        <v>3</v>
      </c>
      <c r="E614" s="19">
        <f>VLOOKUP(MOD(A614,4),各职业基础配置!C$32:D$35,2,FALSE)</f>
        <v>3</v>
      </c>
      <c r="F614" s="19">
        <f>IF(A614&lt;900,INDEX(各职业基础配置!C$23:C$28,MOD(ROW(A614),4)+1),0)</f>
        <v>14</v>
      </c>
      <c r="G614" s="19">
        <f t="shared" si="101"/>
        <v>16</v>
      </c>
      <c r="H614" s="27">
        <f t="shared" si="102"/>
        <v>2</v>
      </c>
      <c r="I614" s="6" t="s">
        <v>164</v>
      </c>
      <c r="J614" s="23" t="str">
        <f>VLOOKUP(E614,各职业基础配置!$B$9:$C$12,2,FALSE)</f>
        <v>106|107|108|4201|110</v>
      </c>
      <c r="K614" s="18" t="str">
        <f>VLOOKUP(E614,各职业基础配置!$B$15:$C$18,2,FALSE)</f>
        <v>20|21|22|23</v>
      </c>
      <c r="L614" s="18" t="str">
        <f>VLOOKUP(E614,各职业基础配置!B:C,2,FALSE)</f>
        <v>[{20,1,1},{21,1,1},{22,1,1},{23,1,1},{4,1,1},{5,1,1},{6,1,1}]</v>
      </c>
      <c r="M614" s="18">
        <v>0</v>
      </c>
      <c r="N614" s="18">
        <f t="shared" si="103"/>
        <v>7</v>
      </c>
      <c r="O614" s="18">
        <f>SUMPRODUCT(P614:AI614,Sheet2!$B$3:$U$3)</f>
        <v>101640</v>
      </c>
      <c r="P614" s="18">
        <f>CEILING(INDEX([1]系统模型!$VD:$VD,MATCH(C614,[1]系统模型!$A:$A,0))*POWER(C614/220,3.8)-50+(1000-A614),1)</f>
        <v>1821</v>
      </c>
      <c r="Q614" s="18">
        <f>CEILING(INDEX([1]系统模型!$VE:$VE,MATCH(C614,[1]系统模型!$A:$A,0))*POWER(C614/220,4),1)</f>
        <v>193</v>
      </c>
      <c r="R614" s="18">
        <f>INT(INDEX([1]系统模型!$VF:$VF,MATCH(C614,[1]系统模型!$A:$A,0))*MAX(POWER(C614/180,4),0.5))</f>
        <v>12665</v>
      </c>
      <c r="S614" s="5">
        <v>1000</v>
      </c>
      <c r="T614" s="25">
        <v>0</v>
      </c>
      <c r="U614" s="25">
        <v>0</v>
      </c>
      <c r="V614" s="25">
        <v>0</v>
      </c>
      <c r="W614" s="25">
        <v>0</v>
      </c>
      <c r="X614" s="25">
        <f t="shared" si="104"/>
        <v>633</v>
      </c>
      <c r="Y614" s="12">
        <v>0</v>
      </c>
      <c r="Z614" s="25">
        <v>100</v>
      </c>
      <c r="AA614" s="25">
        <v>150</v>
      </c>
      <c r="AB614" s="25">
        <v>0</v>
      </c>
      <c r="AC614" s="25">
        <v>0</v>
      </c>
      <c r="AD614" s="25">
        <v>0</v>
      </c>
      <c r="AE614" s="25">
        <f t="shared" si="105"/>
        <v>318</v>
      </c>
      <c r="AF614" s="25">
        <f t="shared" si="106"/>
        <v>318</v>
      </c>
      <c r="AG614" s="25">
        <v>0</v>
      </c>
      <c r="AH614" s="25">
        <f t="shared" si="107"/>
        <v>3175</v>
      </c>
      <c r="AI614" s="25">
        <f t="shared" si="108"/>
        <v>24</v>
      </c>
      <c r="AJ614" s="25">
        <v>1</v>
      </c>
      <c r="AK614" s="25">
        <v>1000</v>
      </c>
      <c r="AL614" s="25">
        <v>100</v>
      </c>
      <c r="AM614" s="26">
        <v>10</v>
      </c>
      <c r="AN614" s="26">
        <v>10</v>
      </c>
      <c r="AO614" s="22" t="s">
        <v>2211</v>
      </c>
      <c r="AP614" s="26">
        <v>0</v>
      </c>
      <c r="AQ614" s="26">
        <f t="shared" si="109"/>
        <v>380</v>
      </c>
      <c r="AR614" s="18" t="str">
        <f ca="1">CONCATENATE(OFFSET(Sheet1!$A$2,RANDBETWEEN(2,500),0,1,1),OFFSET(Sheet1!$A$2,RANDBETWEEN(2,500),RANDBETWEEN(1,5),1,1))</f>
        <v>多利贝丝</v>
      </c>
      <c r="AS614">
        <f>SUMPRODUCT(P614:AI614,Sheet2!$B$3:$U$3)</f>
        <v>101640</v>
      </c>
    </row>
    <row r="615" spans="1:45" x14ac:dyDescent="0.15">
      <c r="A615" s="18">
        <v>614</v>
      </c>
      <c r="B615" s="18" t="s">
        <v>2061</v>
      </c>
      <c r="C615" s="18">
        <f t="shared" si="99"/>
        <v>159</v>
      </c>
      <c r="D615" s="19">
        <f t="shared" si="100"/>
        <v>2</v>
      </c>
      <c r="E615" s="19">
        <f>VLOOKUP(MOD(A615,4),各职业基础配置!C$32:D$35,2,FALSE)</f>
        <v>6</v>
      </c>
      <c r="F615" s="19">
        <f>IF(A615&lt;900,INDEX(各职业基础配置!C$23:C$28,MOD(ROW(A615),4)+1),0)</f>
        <v>16</v>
      </c>
      <c r="G615" s="19">
        <f t="shared" si="101"/>
        <v>16</v>
      </c>
      <c r="H615" s="27">
        <f t="shared" si="102"/>
        <v>2</v>
      </c>
      <c r="I615" s="6" t="s">
        <v>164</v>
      </c>
      <c r="J615" s="23" t="str">
        <f>VLOOKUP(E615,各职业基础配置!$B$9:$C$12,2,FALSE)</f>
        <v>111|112|113|4201|115</v>
      </c>
      <c r="K615" s="18" t="str">
        <f>VLOOKUP(E615,各职业基础配置!$B$15:$C$18,2,FALSE)</f>
        <v>32|33|34</v>
      </c>
      <c r="L615" s="18" t="str">
        <f>VLOOKUP(E615,各职业基础配置!B:C,2,FALSE)</f>
        <v>[{32,1,1},{33,1,1},{34,1,1},{35,1,1},{7,1,1},{8,1,1},{9,1,1}]</v>
      </c>
      <c r="M615" s="18">
        <v>0</v>
      </c>
      <c r="N615" s="18">
        <f t="shared" si="103"/>
        <v>7</v>
      </c>
      <c r="O615" s="18">
        <f>SUMPRODUCT(P615:AI615,Sheet2!$B$3:$U$3)</f>
        <v>101615</v>
      </c>
      <c r="P615" s="18">
        <f>CEILING(INDEX([1]系统模型!$VD:$VD,MATCH(C615,[1]系统模型!$A:$A,0))*POWER(C615/220,3.8)-50+(1000-A615),1)</f>
        <v>1820</v>
      </c>
      <c r="Q615" s="18">
        <f>CEILING(INDEX([1]系统模型!$VE:$VE,MATCH(C615,[1]系统模型!$A:$A,0))*POWER(C615/220,4),1)</f>
        <v>193</v>
      </c>
      <c r="R615" s="18">
        <f>INT(INDEX([1]系统模型!$VF:$VF,MATCH(C615,[1]系统模型!$A:$A,0))*MAX(POWER(C615/180,4),0.5))</f>
        <v>12665</v>
      </c>
      <c r="S615" s="5">
        <v>1000</v>
      </c>
      <c r="T615" s="25">
        <v>0</v>
      </c>
      <c r="U615" s="25">
        <v>0</v>
      </c>
      <c r="V615" s="25">
        <v>0</v>
      </c>
      <c r="W615" s="25">
        <v>0</v>
      </c>
      <c r="X615" s="25">
        <f t="shared" si="104"/>
        <v>633</v>
      </c>
      <c r="Y615" s="12">
        <v>0</v>
      </c>
      <c r="Z615" s="25">
        <v>100</v>
      </c>
      <c r="AA615" s="25">
        <v>150</v>
      </c>
      <c r="AB615" s="25">
        <v>0</v>
      </c>
      <c r="AC615" s="25">
        <v>0</v>
      </c>
      <c r="AD615" s="25">
        <v>0</v>
      </c>
      <c r="AE615" s="25">
        <f t="shared" si="105"/>
        <v>318</v>
      </c>
      <c r="AF615" s="25">
        <f t="shared" si="106"/>
        <v>318</v>
      </c>
      <c r="AG615" s="25">
        <v>0</v>
      </c>
      <c r="AH615" s="25">
        <f t="shared" si="107"/>
        <v>3175</v>
      </c>
      <c r="AI615" s="25">
        <f t="shared" si="108"/>
        <v>24</v>
      </c>
      <c r="AJ615" s="25">
        <v>1</v>
      </c>
      <c r="AK615" s="25">
        <v>1000</v>
      </c>
      <c r="AL615" s="25">
        <v>100</v>
      </c>
      <c r="AM615" s="26">
        <v>10</v>
      </c>
      <c r="AN615" s="26">
        <v>10</v>
      </c>
      <c r="AO615" s="22" t="s">
        <v>2211</v>
      </c>
      <c r="AP615" s="26">
        <v>0</v>
      </c>
      <c r="AQ615" s="26">
        <f t="shared" si="109"/>
        <v>380</v>
      </c>
      <c r="AR615" s="18" t="str">
        <f ca="1">CONCATENATE(OFFSET(Sheet1!$A$2,RANDBETWEEN(2,500),0,1,1),OFFSET(Sheet1!$A$2,RANDBETWEEN(2,500),RANDBETWEEN(1,5),1,1))</f>
        <v>鲍德温</v>
      </c>
      <c r="AS615">
        <f>SUMPRODUCT(P615:AI615,Sheet2!$B$3:$U$3)</f>
        <v>101615</v>
      </c>
    </row>
    <row r="616" spans="1:45" x14ac:dyDescent="0.15">
      <c r="A616" s="23">
        <v>615</v>
      </c>
      <c r="B616" s="18" t="s">
        <v>2062</v>
      </c>
      <c r="C616" s="18">
        <f t="shared" si="99"/>
        <v>158</v>
      </c>
      <c r="D616" s="19">
        <f t="shared" si="100"/>
        <v>3</v>
      </c>
      <c r="E616" s="19">
        <f>VLOOKUP(MOD(A616,4),各职业基础配置!C$32:D$35,2,FALSE)</f>
        <v>9</v>
      </c>
      <c r="F616" s="19">
        <f>IF(A616&lt;900,INDEX(各职业基础配置!C$23:C$28,MOD(ROW(A616),4)+1),0)</f>
        <v>8</v>
      </c>
      <c r="G616" s="19">
        <f t="shared" si="101"/>
        <v>15</v>
      </c>
      <c r="H616" s="27">
        <f t="shared" si="102"/>
        <v>2</v>
      </c>
      <c r="I616" s="6" t="s">
        <v>164</v>
      </c>
      <c r="J616" s="23" t="str">
        <f>VLOOKUP(E616,各职业基础配置!$B$9:$C$12,2,FALSE)</f>
        <v>116|117|118|4201|120</v>
      </c>
      <c r="K616" s="18" t="str">
        <f>VLOOKUP(E616,各职业基础配置!$B$15:$C$18,2,FALSE)</f>
        <v>28|29|30|31</v>
      </c>
      <c r="L616" s="18" t="str">
        <f>VLOOKUP(E616,各职业基础配置!B:C,2,FALSE)</f>
        <v>[{28,1,1},{29,1,1},{30,1,1},{31,1,1},{10,1,1},{11,1,1},{12,1,1}]</v>
      </c>
      <c r="M616" s="18">
        <v>0</v>
      </c>
      <c r="N616" s="18">
        <f t="shared" si="103"/>
        <v>3</v>
      </c>
      <c r="O616" s="18">
        <f>SUMPRODUCT(P616:AI616,Sheet2!$B$3:$U$3)</f>
        <v>99092</v>
      </c>
      <c r="P616" s="18">
        <f>CEILING(INDEX([1]系统模型!$VD:$VD,MATCH(C616,[1]系统模型!$A:$A,0))*POWER(C616/220,3.8)-50+(1000-A616),1)</f>
        <v>1766</v>
      </c>
      <c r="Q616" s="18">
        <f>CEILING(INDEX([1]系统模型!$VE:$VE,MATCH(C616,[1]系统模型!$A:$A,0))*POWER(C616/220,4),1)</f>
        <v>185</v>
      </c>
      <c r="R616" s="18">
        <f>INT(INDEX([1]系统模型!$VF:$VF,MATCH(C616,[1]系统模型!$A:$A,0))*MAX(POWER(C616/180,4),0.5))</f>
        <v>12192</v>
      </c>
      <c r="S616" s="5">
        <v>1000</v>
      </c>
      <c r="T616" s="25">
        <v>0</v>
      </c>
      <c r="U616" s="25">
        <v>0</v>
      </c>
      <c r="V616" s="25">
        <v>0</v>
      </c>
      <c r="W616" s="25">
        <v>0</v>
      </c>
      <c r="X616" s="25">
        <f t="shared" si="104"/>
        <v>609</v>
      </c>
      <c r="Y616" s="12">
        <v>0</v>
      </c>
      <c r="Z616" s="25">
        <v>100</v>
      </c>
      <c r="AA616" s="25">
        <v>150</v>
      </c>
      <c r="AB616" s="25">
        <v>0</v>
      </c>
      <c r="AC616" s="25">
        <v>0</v>
      </c>
      <c r="AD616" s="25">
        <v>0</v>
      </c>
      <c r="AE616" s="25">
        <f t="shared" si="105"/>
        <v>316</v>
      </c>
      <c r="AF616" s="25">
        <f t="shared" si="106"/>
        <v>316</v>
      </c>
      <c r="AG616" s="25">
        <v>0</v>
      </c>
      <c r="AH616" s="25">
        <f t="shared" si="107"/>
        <v>3100</v>
      </c>
      <c r="AI616" s="25">
        <f t="shared" si="108"/>
        <v>23</v>
      </c>
      <c r="AJ616" s="25">
        <v>1</v>
      </c>
      <c r="AK616" s="25">
        <v>1000</v>
      </c>
      <c r="AL616" s="25">
        <v>100</v>
      </c>
      <c r="AM616" s="26">
        <v>10</v>
      </c>
      <c r="AN616" s="26">
        <v>10</v>
      </c>
      <c r="AO616" s="22" t="s">
        <v>2211</v>
      </c>
      <c r="AP616" s="26">
        <v>0</v>
      </c>
      <c r="AQ616" s="26">
        <f t="shared" si="109"/>
        <v>380</v>
      </c>
      <c r="AR616" s="18" t="str">
        <f ca="1">CONCATENATE(OFFSET(Sheet1!$A$2,RANDBETWEEN(2,500),0,1,1),OFFSET(Sheet1!$A$2,RANDBETWEEN(2,500),RANDBETWEEN(1,5),1,1))</f>
        <v>伊凡</v>
      </c>
      <c r="AS616">
        <f>SUMPRODUCT(P616:AI616,Sheet2!$B$3:$U$3)</f>
        <v>99092</v>
      </c>
    </row>
    <row r="617" spans="1:45" x14ac:dyDescent="0.15">
      <c r="A617" s="18">
        <v>616</v>
      </c>
      <c r="B617" s="18" t="s">
        <v>864</v>
      </c>
      <c r="C617" s="18">
        <f t="shared" si="99"/>
        <v>158</v>
      </c>
      <c r="D617" s="19">
        <f t="shared" si="100"/>
        <v>2</v>
      </c>
      <c r="E617" s="19">
        <f>VLOOKUP(MOD(A617,4),各职业基础配置!C$32:D$35,2,FALSE)</f>
        <v>1</v>
      </c>
      <c r="F617" s="19">
        <f>IF(A617&lt;900,INDEX(各职业基础配置!C$23:C$28,MOD(ROW(A617),4)+1),0)</f>
        <v>13</v>
      </c>
      <c r="G617" s="19">
        <f t="shared" si="101"/>
        <v>15</v>
      </c>
      <c r="H617" s="27">
        <f t="shared" si="102"/>
        <v>2</v>
      </c>
      <c r="I617" s="6" t="s">
        <v>164</v>
      </c>
      <c r="J617" s="23" t="str">
        <f>VLOOKUP(E617,各职业基础配置!$B$9:$C$12,2,FALSE)</f>
        <v>101|102|103|4201|105</v>
      </c>
      <c r="K617" s="18" t="str">
        <f>VLOOKUP(E617,各职业基础配置!$B$15:$C$18,2,FALSE)</f>
        <v>24|25|26|27</v>
      </c>
      <c r="L617" s="18" t="str">
        <f>VLOOKUP(E617,各职业基础配置!B:C,2,FALSE)</f>
        <v>[{24,1,1},{25,1,1},{26,1,1},{27,1,1},{1,1,1},{2,1,1},{3,1,1}]</v>
      </c>
      <c r="M617" s="18">
        <v>0</v>
      </c>
      <c r="N617" s="18">
        <f t="shared" si="103"/>
        <v>3</v>
      </c>
      <c r="O617" s="18">
        <f>SUMPRODUCT(P617:AI617,Sheet2!$B$3:$U$3)</f>
        <v>99067</v>
      </c>
      <c r="P617" s="18">
        <f>CEILING(INDEX([1]系统模型!$VD:$VD,MATCH(C617,[1]系统模型!$A:$A,0))*POWER(C617/220,3.8)-50+(1000-A617),1)</f>
        <v>1765</v>
      </c>
      <c r="Q617" s="18">
        <f>CEILING(INDEX([1]系统模型!$VE:$VE,MATCH(C617,[1]系统模型!$A:$A,0))*POWER(C617/220,4),1)</f>
        <v>185</v>
      </c>
      <c r="R617" s="18">
        <f>INT(INDEX([1]系统模型!$VF:$VF,MATCH(C617,[1]系统模型!$A:$A,0))*MAX(POWER(C617/180,4),0.5))</f>
        <v>12192</v>
      </c>
      <c r="S617" s="5">
        <v>1000</v>
      </c>
      <c r="T617" s="25">
        <v>0</v>
      </c>
      <c r="U617" s="25">
        <v>0</v>
      </c>
      <c r="V617" s="25">
        <v>0</v>
      </c>
      <c r="W617" s="25">
        <v>0</v>
      </c>
      <c r="X617" s="25">
        <f t="shared" si="104"/>
        <v>609</v>
      </c>
      <c r="Y617" s="12">
        <v>0</v>
      </c>
      <c r="Z617" s="25">
        <v>100</v>
      </c>
      <c r="AA617" s="25">
        <v>150</v>
      </c>
      <c r="AB617" s="25">
        <v>0</v>
      </c>
      <c r="AC617" s="25">
        <v>0</v>
      </c>
      <c r="AD617" s="25">
        <v>0</v>
      </c>
      <c r="AE617" s="25">
        <f t="shared" si="105"/>
        <v>316</v>
      </c>
      <c r="AF617" s="25">
        <f t="shared" si="106"/>
        <v>316</v>
      </c>
      <c r="AG617" s="25">
        <v>0</v>
      </c>
      <c r="AH617" s="25">
        <f t="shared" si="107"/>
        <v>3100</v>
      </c>
      <c r="AI617" s="25">
        <f t="shared" si="108"/>
        <v>23</v>
      </c>
      <c r="AJ617" s="25">
        <v>1</v>
      </c>
      <c r="AK617" s="25">
        <v>1000</v>
      </c>
      <c r="AL617" s="25">
        <v>100</v>
      </c>
      <c r="AM617" s="26">
        <v>10</v>
      </c>
      <c r="AN617" s="26">
        <v>10</v>
      </c>
      <c r="AO617" s="22" t="s">
        <v>2211</v>
      </c>
      <c r="AP617" s="26">
        <v>0</v>
      </c>
      <c r="AQ617" s="26">
        <f t="shared" si="109"/>
        <v>380</v>
      </c>
      <c r="AR617" s="18" t="str">
        <f ca="1">CONCATENATE(OFFSET(Sheet1!$A$2,RANDBETWEEN(2,500),0,1,1),OFFSET(Sheet1!$A$2,RANDBETWEEN(2,500),RANDBETWEEN(1,5),1,1))</f>
        <v>乔尔</v>
      </c>
      <c r="AS617">
        <f>SUMPRODUCT(P617:AI617,Sheet2!$B$3:$U$3)</f>
        <v>99067</v>
      </c>
    </row>
    <row r="618" spans="1:45" x14ac:dyDescent="0.15">
      <c r="A618" s="18">
        <v>617</v>
      </c>
      <c r="B618" s="18" t="s">
        <v>552</v>
      </c>
      <c r="C618" s="18">
        <f t="shared" si="99"/>
        <v>158</v>
      </c>
      <c r="D618" s="19">
        <f t="shared" si="100"/>
        <v>3</v>
      </c>
      <c r="E618" s="19">
        <f>VLOOKUP(MOD(A618,4),各职业基础配置!C$32:D$35,2,FALSE)</f>
        <v>3</v>
      </c>
      <c r="F618" s="19">
        <f>IF(A618&lt;900,INDEX(各职业基础配置!C$23:C$28,MOD(ROW(A618),4)+1),0)</f>
        <v>14</v>
      </c>
      <c r="G618" s="19">
        <f t="shared" si="101"/>
        <v>15</v>
      </c>
      <c r="H618" s="27">
        <f t="shared" si="102"/>
        <v>2</v>
      </c>
      <c r="I618" s="6" t="s">
        <v>164</v>
      </c>
      <c r="J618" s="23" t="str">
        <f>VLOOKUP(E618,各职业基础配置!$B$9:$C$12,2,FALSE)</f>
        <v>106|107|108|4201|110</v>
      </c>
      <c r="K618" s="18" t="str">
        <f>VLOOKUP(E618,各职业基础配置!$B$15:$C$18,2,FALSE)</f>
        <v>20|21|22|23</v>
      </c>
      <c r="L618" s="18" t="str">
        <f>VLOOKUP(E618,各职业基础配置!B:C,2,FALSE)</f>
        <v>[{20,1,1},{21,1,1},{22,1,1},{23,1,1},{4,1,1},{5,1,1},{6,1,1}]</v>
      </c>
      <c r="M618" s="18">
        <v>0</v>
      </c>
      <c r="N618" s="18">
        <f t="shared" si="103"/>
        <v>7</v>
      </c>
      <c r="O618" s="18">
        <f>SUMPRODUCT(P618:AI618,Sheet2!$B$3:$U$3)</f>
        <v>99042</v>
      </c>
      <c r="P618" s="18">
        <f>CEILING(INDEX([1]系统模型!$VD:$VD,MATCH(C618,[1]系统模型!$A:$A,0))*POWER(C618/220,3.8)-50+(1000-A618),1)</f>
        <v>1764</v>
      </c>
      <c r="Q618" s="18">
        <f>CEILING(INDEX([1]系统模型!$VE:$VE,MATCH(C618,[1]系统模型!$A:$A,0))*POWER(C618/220,4),1)</f>
        <v>185</v>
      </c>
      <c r="R618" s="18">
        <f>INT(INDEX([1]系统模型!$VF:$VF,MATCH(C618,[1]系统模型!$A:$A,0))*MAX(POWER(C618/180,4),0.5))</f>
        <v>12192</v>
      </c>
      <c r="S618" s="5">
        <v>1000</v>
      </c>
      <c r="T618" s="25">
        <v>0</v>
      </c>
      <c r="U618" s="25">
        <v>0</v>
      </c>
      <c r="V618" s="25">
        <v>0</v>
      </c>
      <c r="W618" s="25">
        <v>0</v>
      </c>
      <c r="X618" s="25">
        <f t="shared" si="104"/>
        <v>609</v>
      </c>
      <c r="Y618" s="12">
        <v>0</v>
      </c>
      <c r="Z618" s="25">
        <v>100</v>
      </c>
      <c r="AA618" s="25">
        <v>150</v>
      </c>
      <c r="AB618" s="25">
        <v>0</v>
      </c>
      <c r="AC618" s="25">
        <v>0</v>
      </c>
      <c r="AD618" s="25">
        <v>0</v>
      </c>
      <c r="AE618" s="25">
        <f t="shared" si="105"/>
        <v>316</v>
      </c>
      <c r="AF618" s="25">
        <f t="shared" si="106"/>
        <v>316</v>
      </c>
      <c r="AG618" s="25">
        <v>0</v>
      </c>
      <c r="AH618" s="25">
        <f t="shared" si="107"/>
        <v>3100</v>
      </c>
      <c r="AI618" s="25">
        <f t="shared" si="108"/>
        <v>23</v>
      </c>
      <c r="AJ618" s="25">
        <v>1</v>
      </c>
      <c r="AK618" s="25">
        <v>1000</v>
      </c>
      <c r="AL618" s="25">
        <v>100</v>
      </c>
      <c r="AM618" s="26">
        <v>10</v>
      </c>
      <c r="AN618" s="26">
        <v>10</v>
      </c>
      <c r="AO618" s="22" t="s">
        <v>2211</v>
      </c>
      <c r="AP618" s="26">
        <v>0</v>
      </c>
      <c r="AQ618" s="26">
        <f t="shared" si="109"/>
        <v>380</v>
      </c>
      <c r="AR618" s="18" t="str">
        <f ca="1">CONCATENATE(OFFSET(Sheet1!$A$2,RANDBETWEEN(2,500),0,1,1),OFFSET(Sheet1!$A$2,RANDBETWEEN(2,500),RANDBETWEEN(1,5),1,1))</f>
        <v>哈该查理</v>
      </c>
      <c r="AS618">
        <f>SUMPRODUCT(P618:AI618,Sheet2!$B$3:$U$3)</f>
        <v>99042</v>
      </c>
    </row>
    <row r="619" spans="1:45" x14ac:dyDescent="0.15">
      <c r="A619" s="23">
        <v>618</v>
      </c>
      <c r="B619" s="18" t="s">
        <v>2063</v>
      </c>
      <c r="C619" s="18">
        <f t="shared" si="99"/>
        <v>158</v>
      </c>
      <c r="D619" s="19">
        <f t="shared" si="100"/>
        <v>2</v>
      </c>
      <c r="E619" s="19">
        <f>VLOOKUP(MOD(A619,4),各职业基础配置!C$32:D$35,2,FALSE)</f>
        <v>6</v>
      </c>
      <c r="F619" s="19">
        <f>IF(A619&lt;900,INDEX(各职业基础配置!C$23:C$28,MOD(ROW(A619),4)+1),0)</f>
        <v>16</v>
      </c>
      <c r="G619" s="19">
        <f t="shared" si="101"/>
        <v>15</v>
      </c>
      <c r="H619" s="27">
        <f t="shared" si="102"/>
        <v>2</v>
      </c>
      <c r="I619" s="6" t="s">
        <v>164</v>
      </c>
      <c r="J619" s="23" t="str">
        <f>VLOOKUP(E619,各职业基础配置!$B$9:$C$12,2,FALSE)</f>
        <v>111|112|113|4201|115</v>
      </c>
      <c r="K619" s="18" t="str">
        <f>VLOOKUP(E619,各职业基础配置!$B$15:$C$18,2,FALSE)</f>
        <v>32|33|34</v>
      </c>
      <c r="L619" s="18" t="str">
        <f>VLOOKUP(E619,各职业基础配置!B:C,2,FALSE)</f>
        <v>[{32,1,1},{33,1,1},{34,1,1},{35,1,1},{7,1,1},{8,1,1},{9,1,1}]</v>
      </c>
      <c r="M619" s="18">
        <v>0</v>
      </c>
      <c r="N619" s="18">
        <f t="shared" si="103"/>
        <v>7</v>
      </c>
      <c r="O619" s="18">
        <f>SUMPRODUCT(P619:AI619,Sheet2!$B$3:$U$3)</f>
        <v>99017</v>
      </c>
      <c r="P619" s="18">
        <f>CEILING(INDEX([1]系统模型!$VD:$VD,MATCH(C619,[1]系统模型!$A:$A,0))*POWER(C619/220,3.8)-50+(1000-A619),1)</f>
        <v>1763</v>
      </c>
      <c r="Q619" s="18">
        <f>CEILING(INDEX([1]系统模型!$VE:$VE,MATCH(C619,[1]系统模型!$A:$A,0))*POWER(C619/220,4),1)</f>
        <v>185</v>
      </c>
      <c r="R619" s="18">
        <f>INT(INDEX([1]系统模型!$VF:$VF,MATCH(C619,[1]系统模型!$A:$A,0))*MAX(POWER(C619/180,4),0.5))</f>
        <v>12192</v>
      </c>
      <c r="S619" s="5">
        <v>1000</v>
      </c>
      <c r="T619" s="25">
        <v>0</v>
      </c>
      <c r="U619" s="25">
        <v>0</v>
      </c>
      <c r="V619" s="25">
        <v>0</v>
      </c>
      <c r="W619" s="25">
        <v>0</v>
      </c>
      <c r="X619" s="25">
        <f t="shared" si="104"/>
        <v>609</v>
      </c>
      <c r="Y619" s="12">
        <v>0</v>
      </c>
      <c r="Z619" s="25">
        <v>100</v>
      </c>
      <c r="AA619" s="25">
        <v>150</v>
      </c>
      <c r="AB619" s="25">
        <v>0</v>
      </c>
      <c r="AC619" s="25">
        <v>0</v>
      </c>
      <c r="AD619" s="25">
        <v>0</v>
      </c>
      <c r="AE619" s="25">
        <f t="shared" si="105"/>
        <v>316</v>
      </c>
      <c r="AF619" s="25">
        <f t="shared" si="106"/>
        <v>316</v>
      </c>
      <c r="AG619" s="25">
        <v>0</v>
      </c>
      <c r="AH619" s="25">
        <f t="shared" si="107"/>
        <v>3100</v>
      </c>
      <c r="AI619" s="25">
        <f t="shared" si="108"/>
        <v>23</v>
      </c>
      <c r="AJ619" s="25">
        <v>1</v>
      </c>
      <c r="AK619" s="25">
        <v>1000</v>
      </c>
      <c r="AL619" s="25">
        <v>100</v>
      </c>
      <c r="AM619" s="26">
        <v>10</v>
      </c>
      <c r="AN619" s="26">
        <v>10</v>
      </c>
      <c r="AO619" s="22" t="s">
        <v>2211</v>
      </c>
      <c r="AP619" s="26">
        <v>0</v>
      </c>
      <c r="AQ619" s="26">
        <f t="shared" si="109"/>
        <v>370</v>
      </c>
      <c r="AR619" s="18" t="str">
        <f ca="1">CONCATENATE(OFFSET(Sheet1!$A$2,RANDBETWEEN(2,500),0,1,1),OFFSET(Sheet1!$A$2,RANDBETWEEN(2,500),RANDBETWEEN(1,5),1,1))</f>
        <v>费尔顿乔</v>
      </c>
      <c r="AS619">
        <f>SUMPRODUCT(P619:AI619,Sheet2!$B$3:$U$3)</f>
        <v>99017</v>
      </c>
    </row>
    <row r="620" spans="1:45" x14ac:dyDescent="0.15">
      <c r="A620" s="18">
        <v>619</v>
      </c>
      <c r="B620" s="18" t="s">
        <v>2064</v>
      </c>
      <c r="C620" s="18">
        <f t="shared" si="99"/>
        <v>158</v>
      </c>
      <c r="D620" s="19">
        <f t="shared" si="100"/>
        <v>3</v>
      </c>
      <c r="E620" s="19">
        <f>VLOOKUP(MOD(A620,4),各职业基础配置!C$32:D$35,2,FALSE)</f>
        <v>9</v>
      </c>
      <c r="F620" s="19">
        <f>IF(A620&lt;900,INDEX(各职业基础配置!C$23:C$28,MOD(ROW(A620),4)+1),0)</f>
        <v>8</v>
      </c>
      <c r="G620" s="19">
        <f t="shared" si="101"/>
        <v>15</v>
      </c>
      <c r="H620" s="27">
        <f t="shared" si="102"/>
        <v>2</v>
      </c>
      <c r="I620" s="6" t="s">
        <v>164</v>
      </c>
      <c r="J620" s="23" t="str">
        <f>VLOOKUP(E620,各职业基础配置!$B$9:$C$12,2,FALSE)</f>
        <v>116|117|118|4201|120</v>
      </c>
      <c r="K620" s="18" t="str">
        <f>VLOOKUP(E620,各职业基础配置!$B$15:$C$18,2,FALSE)</f>
        <v>28|29|30|31</v>
      </c>
      <c r="L620" s="18" t="str">
        <f>VLOOKUP(E620,各职业基础配置!B:C,2,FALSE)</f>
        <v>[{28,1,1},{29,1,1},{30,1,1},{31,1,1},{10,1,1},{11,1,1},{12,1,1}]</v>
      </c>
      <c r="M620" s="18">
        <v>0</v>
      </c>
      <c r="N620" s="18">
        <f t="shared" si="103"/>
        <v>3</v>
      </c>
      <c r="O620" s="18">
        <f>SUMPRODUCT(P620:AI620,Sheet2!$B$3:$U$3)</f>
        <v>98992</v>
      </c>
      <c r="P620" s="18">
        <f>CEILING(INDEX([1]系统模型!$VD:$VD,MATCH(C620,[1]系统模型!$A:$A,0))*POWER(C620/220,3.8)-50+(1000-A620),1)</f>
        <v>1762</v>
      </c>
      <c r="Q620" s="18">
        <f>CEILING(INDEX([1]系统模型!$VE:$VE,MATCH(C620,[1]系统模型!$A:$A,0))*POWER(C620/220,4),1)</f>
        <v>185</v>
      </c>
      <c r="R620" s="18">
        <f>INT(INDEX([1]系统模型!$VF:$VF,MATCH(C620,[1]系统模型!$A:$A,0))*MAX(POWER(C620/180,4),0.5))</f>
        <v>12192</v>
      </c>
      <c r="S620" s="5">
        <v>1000</v>
      </c>
      <c r="T620" s="25">
        <v>0</v>
      </c>
      <c r="U620" s="25">
        <v>0</v>
      </c>
      <c r="V620" s="25">
        <v>0</v>
      </c>
      <c r="W620" s="25">
        <v>0</v>
      </c>
      <c r="X620" s="25">
        <f t="shared" si="104"/>
        <v>609</v>
      </c>
      <c r="Y620" s="12">
        <v>0</v>
      </c>
      <c r="Z620" s="25">
        <v>100</v>
      </c>
      <c r="AA620" s="25">
        <v>150</v>
      </c>
      <c r="AB620" s="25">
        <v>0</v>
      </c>
      <c r="AC620" s="25">
        <v>0</v>
      </c>
      <c r="AD620" s="25">
        <v>0</v>
      </c>
      <c r="AE620" s="25">
        <f t="shared" si="105"/>
        <v>316</v>
      </c>
      <c r="AF620" s="25">
        <f t="shared" si="106"/>
        <v>316</v>
      </c>
      <c r="AG620" s="25">
        <v>0</v>
      </c>
      <c r="AH620" s="25">
        <f t="shared" si="107"/>
        <v>3100</v>
      </c>
      <c r="AI620" s="25">
        <f t="shared" si="108"/>
        <v>23</v>
      </c>
      <c r="AJ620" s="25">
        <v>1</v>
      </c>
      <c r="AK620" s="25">
        <v>1000</v>
      </c>
      <c r="AL620" s="25">
        <v>100</v>
      </c>
      <c r="AM620" s="26">
        <v>10</v>
      </c>
      <c r="AN620" s="26">
        <v>10</v>
      </c>
      <c r="AO620" s="22" t="s">
        <v>2211</v>
      </c>
      <c r="AP620" s="26">
        <v>0</v>
      </c>
      <c r="AQ620" s="26">
        <f t="shared" si="109"/>
        <v>370</v>
      </c>
      <c r="AR620" s="18" t="str">
        <f ca="1">CONCATENATE(OFFSET(Sheet1!$A$2,RANDBETWEEN(2,500),0,1,1),OFFSET(Sheet1!$A$2,RANDBETWEEN(2,500),RANDBETWEEN(1,5),1,1))</f>
        <v>迪基罗克珊</v>
      </c>
      <c r="AS620">
        <f>SUMPRODUCT(P620:AI620,Sheet2!$B$3:$U$3)</f>
        <v>98992</v>
      </c>
    </row>
    <row r="621" spans="1:45" x14ac:dyDescent="0.15">
      <c r="A621" s="18">
        <v>620</v>
      </c>
      <c r="B621" s="18" t="s">
        <v>1128</v>
      </c>
      <c r="C621" s="18">
        <f t="shared" si="99"/>
        <v>158</v>
      </c>
      <c r="D621" s="19">
        <f t="shared" si="100"/>
        <v>2</v>
      </c>
      <c r="E621" s="19">
        <f>VLOOKUP(MOD(A621,4),各职业基础配置!C$32:D$35,2,FALSE)</f>
        <v>1</v>
      </c>
      <c r="F621" s="19">
        <f>IF(A621&lt;900,INDEX(各职业基础配置!C$23:C$28,MOD(ROW(A621),4)+1),0)</f>
        <v>13</v>
      </c>
      <c r="G621" s="19">
        <f t="shared" si="101"/>
        <v>15</v>
      </c>
      <c r="H621" s="27">
        <f t="shared" si="102"/>
        <v>2</v>
      </c>
      <c r="I621" s="6" t="s">
        <v>164</v>
      </c>
      <c r="J621" s="23" t="str">
        <f>VLOOKUP(E621,各职业基础配置!$B$9:$C$12,2,FALSE)</f>
        <v>101|102|103|4201|105</v>
      </c>
      <c r="K621" s="18" t="str">
        <f>VLOOKUP(E621,各职业基础配置!$B$15:$C$18,2,FALSE)</f>
        <v>24|25|26|27</v>
      </c>
      <c r="L621" s="18" t="str">
        <f>VLOOKUP(E621,各职业基础配置!B:C,2,FALSE)</f>
        <v>[{24,1,1},{25,1,1},{26,1,1},{27,1,1},{1,1,1},{2,1,1},{3,1,1}]</v>
      </c>
      <c r="M621" s="18">
        <v>0</v>
      </c>
      <c r="N621" s="18">
        <f t="shared" si="103"/>
        <v>3</v>
      </c>
      <c r="O621" s="18">
        <f>SUMPRODUCT(P621:AI621,Sheet2!$B$3:$U$3)</f>
        <v>98967</v>
      </c>
      <c r="P621" s="18">
        <f>CEILING(INDEX([1]系统模型!$VD:$VD,MATCH(C621,[1]系统模型!$A:$A,0))*POWER(C621/220,3.8)-50+(1000-A621),1)</f>
        <v>1761</v>
      </c>
      <c r="Q621" s="18">
        <f>CEILING(INDEX([1]系统模型!$VE:$VE,MATCH(C621,[1]系统模型!$A:$A,0))*POWER(C621/220,4),1)</f>
        <v>185</v>
      </c>
      <c r="R621" s="18">
        <f>INT(INDEX([1]系统模型!$VF:$VF,MATCH(C621,[1]系统模型!$A:$A,0))*MAX(POWER(C621/180,4),0.5))</f>
        <v>12192</v>
      </c>
      <c r="S621" s="5">
        <v>1000</v>
      </c>
      <c r="T621" s="25">
        <v>0</v>
      </c>
      <c r="U621" s="25">
        <v>0</v>
      </c>
      <c r="V621" s="25">
        <v>0</v>
      </c>
      <c r="W621" s="25">
        <v>0</v>
      </c>
      <c r="X621" s="25">
        <f t="shared" si="104"/>
        <v>609</v>
      </c>
      <c r="Y621" s="12">
        <v>0</v>
      </c>
      <c r="Z621" s="25">
        <v>100</v>
      </c>
      <c r="AA621" s="25">
        <v>150</v>
      </c>
      <c r="AB621" s="25">
        <v>0</v>
      </c>
      <c r="AC621" s="25">
        <v>0</v>
      </c>
      <c r="AD621" s="25">
        <v>0</v>
      </c>
      <c r="AE621" s="25">
        <f t="shared" si="105"/>
        <v>316</v>
      </c>
      <c r="AF621" s="25">
        <f t="shared" si="106"/>
        <v>316</v>
      </c>
      <c r="AG621" s="25">
        <v>0</v>
      </c>
      <c r="AH621" s="25">
        <f t="shared" si="107"/>
        <v>3100</v>
      </c>
      <c r="AI621" s="25">
        <f t="shared" si="108"/>
        <v>23</v>
      </c>
      <c r="AJ621" s="25">
        <v>1</v>
      </c>
      <c r="AK621" s="25">
        <v>1000</v>
      </c>
      <c r="AL621" s="25">
        <v>100</v>
      </c>
      <c r="AM621" s="26">
        <v>10</v>
      </c>
      <c r="AN621" s="26">
        <v>10</v>
      </c>
      <c r="AO621" s="22" t="s">
        <v>2211</v>
      </c>
      <c r="AP621" s="26">
        <v>0</v>
      </c>
      <c r="AQ621" s="26">
        <f t="shared" si="109"/>
        <v>370</v>
      </c>
      <c r="AR621" s="18" t="str">
        <f ca="1">CONCATENATE(OFFSET(Sheet1!$A$2,RANDBETWEEN(2,500),0,1,1),OFFSET(Sheet1!$A$2,RANDBETWEEN(2,500),RANDBETWEEN(1,5),1,1))</f>
        <v>琼斯</v>
      </c>
      <c r="AS621">
        <f>SUMPRODUCT(P621:AI621,Sheet2!$B$3:$U$3)</f>
        <v>98967</v>
      </c>
    </row>
    <row r="622" spans="1:45" x14ac:dyDescent="0.15">
      <c r="A622" s="23">
        <v>621</v>
      </c>
      <c r="B622" s="18" t="s">
        <v>2065</v>
      </c>
      <c r="C622" s="18">
        <f t="shared" si="99"/>
        <v>158</v>
      </c>
      <c r="D622" s="19">
        <f t="shared" si="100"/>
        <v>3</v>
      </c>
      <c r="E622" s="19">
        <f>VLOOKUP(MOD(A622,4),各职业基础配置!C$32:D$35,2,FALSE)</f>
        <v>3</v>
      </c>
      <c r="F622" s="19">
        <f>IF(A622&lt;900,INDEX(各职业基础配置!C$23:C$28,MOD(ROW(A622),4)+1),0)</f>
        <v>14</v>
      </c>
      <c r="G622" s="19">
        <f t="shared" si="101"/>
        <v>15</v>
      </c>
      <c r="H622" s="27">
        <f t="shared" si="102"/>
        <v>2</v>
      </c>
      <c r="I622" s="6" t="s">
        <v>164</v>
      </c>
      <c r="J622" s="23" t="str">
        <f>VLOOKUP(E622,各职业基础配置!$B$9:$C$12,2,FALSE)</f>
        <v>106|107|108|4201|110</v>
      </c>
      <c r="K622" s="18" t="str">
        <f>VLOOKUP(E622,各职业基础配置!$B$15:$C$18,2,FALSE)</f>
        <v>20|21|22|23</v>
      </c>
      <c r="L622" s="18" t="str">
        <f>VLOOKUP(E622,各职业基础配置!B:C,2,FALSE)</f>
        <v>[{20,1,1},{21,1,1},{22,1,1},{23,1,1},{4,1,1},{5,1,1},{6,1,1}]</v>
      </c>
      <c r="M622" s="18">
        <v>0</v>
      </c>
      <c r="N622" s="18">
        <f t="shared" si="103"/>
        <v>7</v>
      </c>
      <c r="O622" s="18">
        <f>SUMPRODUCT(P622:AI622,Sheet2!$B$3:$U$3)</f>
        <v>98942</v>
      </c>
      <c r="P622" s="18">
        <f>CEILING(INDEX([1]系统模型!$VD:$VD,MATCH(C622,[1]系统模型!$A:$A,0))*POWER(C622/220,3.8)-50+(1000-A622),1)</f>
        <v>1760</v>
      </c>
      <c r="Q622" s="18">
        <f>CEILING(INDEX([1]系统模型!$VE:$VE,MATCH(C622,[1]系统模型!$A:$A,0))*POWER(C622/220,4),1)</f>
        <v>185</v>
      </c>
      <c r="R622" s="18">
        <f>INT(INDEX([1]系统模型!$VF:$VF,MATCH(C622,[1]系统模型!$A:$A,0))*MAX(POWER(C622/180,4),0.5))</f>
        <v>12192</v>
      </c>
      <c r="S622" s="5">
        <v>1000</v>
      </c>
      <c r="T622" s="25">
        <v>0</v>
      </c>
      <c r="U622" s="25">
        <v>0</v>
      </c>
      <c r="V622" s="25">
        <v>0</v>
      </c>
      <c r="W622" s="25">
        <v>0</v>
      </c>
      <c r="X622" s="25">
        <f t="shared" si="104"/>
        <v>609</v>
      </c>
      <c r="Y622" s="12">
        <v>0</v>
      </c>
      <c r="Z622" s="25">
        <v>100</v>
      </c>
      <c r="AA622" s="25">
        <v>150</v>
      </c>
      <c r="AB622" s="25">
        <v>0</v>
      </c>
      <c r="AC622" s="25">
        <v>0</v>
      </c>
      <c r="AD622" s="25">
        <v>0</v>
      </c>
      <c r="AE622" s="25">
        <f t="shared" si="105"/>
        <v>316</v>
      </c>
      <c r="AF622" s="25">
        <f t="shared" si="106"/>
        <v>316</v>
      </c>
      <c r="AG622" s="25">
        <v>0</v>
      </c>
      <c r="AH622" s="25">
        <f t="shared" si="107"/>
        <v>3100</v>
      </c>
      <c r="AI622" s="25">
        <f t="shared" si="108"/>
        <v>23</v>
      </c>
      <c r="AJ622" s="25">
        <v>1</v>
      </c>
      <c r="AK622" s="25">
        <v>1000</v>
      </c>
      <c r="AL622" s="25">
        <v>100</v>
      </c>
      <c r="AM622" s="26">
        <v>10</v>
      </c>
      <c r="AN622" s="26">
        <v>10</v>
      </c>
      <c r="AO622" s="22" t="s">
        <v>2211</v>
      </c>
      <c r="AP622" s="26">
        <v>0</v>
      </c>
      <c r="AQ622" s="26">
        <f t="shared" si="109"/>
        <v>370</v>
      </c>
      <c r="AR622" s="18" t="str">
        <f ca="1">CONCATENATE(OFFSET(Sheet1!$A$2,RANDBETWEEN(2,500),0,1,1),OFFSET(Sheet1!$A$2,RANDBETWEEN(2,500),RANDBETWEEN(1,5),1,1))</f>
        <v>埃伦朱丽叶</v>
      </c>
      <c r="AS622">
        <f>SUMPRODUCT(P622:AI622,Sheet2!$B$3:$U$3)</f>
        <v>98942</v>
      </c>
    </row>
    <row r="623" spans="1:45" x14ac:dyDescent="0.15">
      <c r="A623" s="18">
        <v>622</v>
      </c>
      <c r="B623" s="18" t="s">
        <v>1079</v>
      </c>
      <c r="C623" s="18">
        <f t="shared" si="99"/>
        <v>157</v>
      </c>
      <c r="D623" s="19">
        <f t="shared" si="100"/>
        <v>2</v>
      </c>
      <c r="E623" s="19">
        <f>VLOOKUP(MOD(A623,4),各职业基础配置!C$32:D$35,2,FALSE)</f>
        <v>6</v>
      </c>
      <c r="F623" s="19">
        <f>IF(A623&lt;900,INDEX(各职业基础配置!C$23:C$28,MOD(ROW(A623),4)+1),0)</f>
        <v>16</v>
      </c>
      <c r="G623" s="19">
        <f t="shared" si="101"/>
        <v>15</v>
      </c>
      <c r="H623" s="27">
        <f t="shared" si="102"/>
        <v>2</v>
      </c>
      <c r="I623" s="6" t="s">
        <v>164</v>
      </c>
      <c r="J623" s="23" t="str">
        <f>VLOOKUP(E623,各职业基础配置!$B$9:$C$12,2,FALSE)</f>
        <v>111|112|113|4201|115</v>
      </c>
      <c r="K623" s="18" t="str">
        <f>VLOOKUP(E623,各职业基础配置!$B$15:$C$18,2,FALSE)</f>
        <v>32|33|34</v>
      </c>
      <c r="L623" s="18" t="str">
        <f>VLOOKUP(E623,各职业基础配置!B:C,2,FALSE)</f>
        <v>[{32,1,1},{33,1,1},{34,1,1},{35,1,1},{7,1,1},{8,1,1},{9,1,1}]</v>
      </c>
      <c r="M623" s="18">
        <v>0</v>
      </c>
      <c r="N623" s="18">
        <f t="shared" si="103"/>
        <v>7</v>
      </c>
      <c r="O623" s="18">
        <f>SUMPRODUCT(P623:AI623,Sheet2!$B$3:$U$3)</f>
        <v>96602</v>
      </c>
      <c r="P623" s="18">
        <f>CEILING(INDEX([1]系统模型!$VD:$VD,MATCH(C623,[1]系统模型!$A:$A,0))*POWER(C623/220,3.8)-50+(1000-A623),1)</f>
        <v>1713</v>
      </c>
      <c r="Q623" s="18">
        <f>CEILING(INDEX([1]系统模型!$VE:$VE,MATCH(C623,[1]系统模型!$A:$A,0))*POWER(C623/220,4),1)</f>
        <v>177</v>
      </c>
      <c r="R623" s="18">
        <f>INT(INDEX([1]系统模型!$VF:$VF,MATCH(C623,[1]系统模型!$A:$A,0))*MAX(POWER(C623/180,4),0.5))</f>
        <v>11727</v>
      </c>
      <c r="S623" s="5">
        <v>1000</v>
      </c>
      <c r="T623" s="25">
        <v>0</v>
      </c>
      <c r="U623" s="25">
        <v>0</v>
      </c>
      <c r="V623" s="25">
        <v>0</v>
      </c>
      <c r="W623" s="25">
        <v>0</v>
      </c>
      <c r="X623" s="25">
        <f t="shared" si="104"/>
        <v>586</v>
      </c>
      <c r="Y623" s="12">
        <v>0</v>
      </c>
      <c r="Z623" s="25">
        <v>100</v>
      </c>
      <c r="AA623" s="25">
        <v>150</v>
      </c>
      <c r="AB623" s="25">
        <v>0</v>
      </c>
      <c r="AC623" s="25">
        <v>0</v>
      </c>
      <c r="AD623" s="25">
        <v>0</v>
      </c>
      <c r="AE623" s="25">
        <f t="shared" si="105"/>
        <v>314</v>
      </c>
      <c r="AF623" s="25">
        <f t="shared" si="106"/>
        <v>314</v>
      </c>
      <c r="AG623" s="25">
        <v>0</v>
      </c>
      <c r="AH623" s="25">
        <f t="shared" si="107"/>
        <v>3025</v>
      </c>
      <c r="AI623" s="25">
        <f t="shared" si="108"/>
        <v>22</v>
      </c>
      <c r="AJ623" s="25">
        <v>1</v>
      </c>
      <c r="AK623" s="25">
        <v>1000</v>
      </c>
      <c r="AL623" s="25">
        <v>100</v>
      </c>
      <c r="AM623" s="26">
        <v>10</v>
      </c>
      <c r="AN623" s="26">
        <v>10</v>
      </c>
      <c r="AO623" s="22" t="s">
        <v>2211</v>
      </c>
      <c r="AP623" s="26">
        <v>0</v>
      </c>
      <c r="AQ623" s="26">
        <f t="shared" si="109"/>
        <v>370</v>
      </c>
      <c r="AR623" s="18" t="str">
        <f ca="1">CONCATENATE(OFFSET(Sheet1!$A$2,RANDBETWEEN(2,500),0,1,1),OFFSET(Sheet1!$A$2,RANDBETWEEN(2,500),RANDBETWEEN(1,5),1,1))</f>
        <v>贝蒂</v>
      </c>
      <c r="AS623">
        <f>SUMPRODUCT(P623:AI623,Sheet2!$B$3:$U$3)</f>
        <v>96602</v>
      </c>
    </row>
    <row r="624" spans="1:45" x14ac:dyDescent="0.15">
      <c r="A624" s="18">
        <v>623</v>
      </c>
      <c r="B624" s="18" t="s">
        <v>2066</v>
      </c>
      <c r="C624" s="18">
        <f t="shared" si="99"/>
        <v>157</v>
      </c>
      <c r="D624" s="19">
        <f t="shared" si="100"/>
        <v>3</v>
      </c>
      <c r="E624" s="19">
        <f>VLOOKUP(MOD(A624,4),各职业基础配置!C$32:D$35,2,FALSE)</f>
        <v>9</v>
      </c>
      <c r="F624" s="19">
        <f>IF(A624&lt;900,INDEX(各职业基础配置!C$23:C$28,MOD(ROW(A624),4)+1),0)</f>
        <v>8</v>
      </c>
      <c r="G624" s="19">
        <f t="shared" si="101"/>
        <v>15</v>
      </c>
      <c r="H624" s="27">
        <f t="shared" si="102"/>
        <v>2</v>
      </c>
      <c r="I624" s="6" t="s">
        <v>164</v>
      </c>
      <c r="J624" s="23" t="str">
        <f>VLOOKUP(E624,各职业基础配置!$B$9:$C$12,2,FALSE)</f>
        <v>116|117|118|4201|120</v>
      </c>
      <c r="K624" s="18" t="str">
        <f>VLOOKUP(E624,各职业基础配置!$B$15:$C$18,2,FALSE)</f>
        <v>28|29|30|31</v>
      </c>
      <c r="L624" s="18" t="str">
        <f>VLOOKUP(E624,各职业基础配置!B:C,2,FALSE)</f>
        <v>[{28,1,1},{29,1,1},{30,1,1},{31,1,1},{10,1,1},{11,1,1},{12,1,1}]</v>
      </c>
      <c r="M624" s="18">
        <v>0</v>
      </c>
      <c r="N624" s="18">
        <f t="shared" si="103"/>
        <v>3</v>
      </c>
      <c r="O624" s="18">
        <f>SUMPRODUCT(P624:AI624,Sheet2!$B$3:$U$3)</f>
        <v>96577</v>
      </c>
      <c r="P624" s="18">
        <f>CEILING(INDEX([1]系统模型!$VD:$VD,MATCH(C624,[1]系统模型!$A:$A,0))*POWER(C624/220,3.8)-50+(1000-A624),1)</f>
        <v>1712</v>
      </c>
      <c r="Q624" s="18">
        <f>CEILING(INDEX([1]系统模型!$VE:$VE,MATCH(C624,[1]系统模型!$A:$A,0))*POWER(C624/220,4),1)</f>
        <v>177</v>
      </c>
      <c r="R624" s="18">
        <f>INT(INDEX([1]系统模型!$VF:$VF,MATCH(C624,[1]系统模型!$A:$A,0))*MAX(POWER(C624/180,4),0.5))</f>
        <v>11727</v>
      </c>
      <c r="S624" s="5">
        <v>1000</v>
      </c>
      <c r="T624" s="25">
        <v>0</v>
      </c>
      <c r="U624" s="25">
        <v>0</v>
      </c>
      <c r="V624" s="25">
        <v>0</v>
      </c>
      <c r="W624" s="25">
        <v>0</v>
      </c>
      <c r="X624" s="25">
        <f t="shared" si="104"/>
        <v>586</v>
      </c>
      <c r="Y624" s="12">
        <v>0</v>
      </c>
      <c r="Z624" s="25">
        <v>100</v>
      </c>
      <c r="AA624" s="25">
        <v>150</v>
      </c>
      <c r="AB624" s="25">
        <v>0</v>
      </c>
      <c r="AC624" s="25">
        <v>0</v>
      </c>
      <c r="AD624" s="25">
        <v>0</v>
      </c>
      <c r="AE624" s="25">
        <f t="shared" si="105"/>
        <v>314</v>
      </c>
      <c r="AF624" s="25">
        <f t="shared" si="106"/>
        <v>314</v>
      </c>
      <c r="AG624" s="25">
        <v>0</v>
      </c>
      <c r="AH624" s="25">
        <f t="shared" si="107"/>
        <v>3025</v>
      </c>
      <c r="AI624" s="25">
        <f t="shared" si="108"/>
        <v>22</v>
      </c>
      <c r="AJ624" s="25">
        <v>1</v>
      </c>
      <c r="AK624" s="25">
        <v>1000</v>
      </c>
      <c r="AL624" s="25">
        <v>100</v>
      </c>
      <c r="AM624" s="26">
        <v>10</v>
      </c>
      <c r="AN624" s="26">
        <v>10</v>
      </c>
      <c r="AO624" s="22" t="s">
        <v>2211</v>
      </c>
      <c r="AP624" s="26">
        <v>0</v>
      </c>
      <c r="AQ624" s="26">
        <f t="shared" si="109"/>
        <v>370</v>
      </c>
      <c r="AR624" s="18" t="str">
        <f ca="1">CONCATENATE(OFFSET(Sheet1!$A$2,RANDBETWEEN(2,500),0,1,1),OFFSET(Sheet1!$A$2,RANDBETWEEN(2,500),RANDBETWEEN(1,5),1,1))</f>
        <v>巴尼</v>
      </c>
      <c r="AS624">
        <f>SUMPRODUCT(P624:AI624,Sheet2!$B$3:$U$3)</f>
        <v>96577</v>
      </c>
    </row>
    <row r="625" spans="1:45" x14ac:dyDescent="0.15">
      <c r="A625" s="23">
        <v>624</v>
      </c>
      <c r="B625" s="18" t="s">
        <v>2067</v>
      </c>
      <c r="C625" s="18">
        <f t="shared" si="99"/>
        <v>157</v>
      </c>
      <c r="D625" s="19">
        <f t="shared" si="100"/>
        <v>2</v>
      </c>
      <c r="E625" s="19">
        <f>VLOOKUP(MOD(A625,4),各职业基础配置!C$32:D$35,2,FALSE)</f>
        <v>1</v>
      </c>
      <c r="F625" s="19">
        <f>IF(A625&lt;900,INDEX(各职业基础配置!C$23:C$28,MOD(ROW(A625),4)+1),0)</f>
        <v>13</v>
      </c>
      <c r="G625" s="19">
        <f t="shared" si="101"/>
        <v>15</v>
      </c>
      <c r="H625" s="27">
        <f t="shared" si="102"/>
        <v>2</v>
      </c>
      <c r="I625" s="6" t="s">
        <v>164</v>
      </c>
      <c r="J625" s="23" t="str">
        <f>VLOOKUP(E625,各职业基础配置!$B$9:$C$12,2,FALSE)</f>
        <v>101|102|103|4201|105</v>
      </c>
      <c r="K625" s="18" t="str">
        <f>VLOOKUP(E625,各职业基础配置!$B$15:$C$18,2,FALSE)</f>
        <v>24|25|26|27</v>
      </c>
      <c r="L625" s="18" t="str">
        <f>VLOOKUP(E625,各职业基础配置!B:C,2,FALSE)</f>
        <v>[{24,1,1},{25,1,1},{26,1,1},{27,1,1},{1,1,1},{2,1,1},{3,1,1}]</v>
      </c>
      <c r="M625" s="18">
        <v>0</v>
      </c>
      <c r="N625" s="18">
        <f t="shared" si="103"/>
        <v>3</v>
      </c>
      <c r="O625" s="18">
        <f>SUMPRODUCT(P625:AI625,Sheet2!$B$3:$U$3)</f>
        <v>96552</v>
      </c>
      <c r="P625" s="18">
        <f>CEILING(INDEX([1]系统模型!$VD:$VD,MATCH(C625,[1]系统模型!$A:$A,0))*POWER(C625/220,3.8)-50+(1000-A625),1)</f>
        <v>1711</v>
      </c>
      <c r="Q625" s="18">
        <f>CEILING(INDEX([1]系统模型!$VE:$VE,MATCH(C625,[1]系统模型!$A:$A,0))*POWER(C625/220,4),1)</f>
        <v>177</v>
      </c>
      <c r="R625" s="18">
        <f>INT(INDEX([1]系统模型!$VF:$VF,MATCH(C625,[1]系统模型!$A:$A,0))*MAX(POWER(C625/180,4),0.5))</f>
        <v>11727</v>
      </c>
      <c r="S625" s="5">
        <v>1000</v>
      </c>
      <c r="T625" s="25">
        <v>0</v>
      </c>
      <c r="U625" s="25">
        <v>0</v>
      </c>
      <c r="V625" s="25">
        <v>0</v>
      </c>
      <c r="W625" s="25">
        <v>0</v>
      </c>
      <c r="X625" s="25">
        <f t="shared" si="104"/>
        <v>586</v>
      </c>
      <c r="Y625" s="12">
        <v>0</v>
      </c>
      <c r="Z625" s="25">
        <v>100</v>
      </c>
      <c r="AA625" s="25">
        <v>150</v>
      </c>
      <c r="AB625" s="25">
        <v>0</v>
      </c>
      <c r="AC625" s="25">
        <v>0</v>
      </c>
      <c r="AD625" s="25">
        <v>0</v>
      </c>
      <c r="AE625" s="25">
        <f t="shared" si="105"/>
        <v>314</v>
      </c>
      <c r="AF625" s="25">
        <f t="shared" si="106"/>
        <v>314</v>
      </c>
      <c r="AG625" s="25">
        <v>0</v>
      </c>
      <c r="AH625" s="25">
        <f t="shared" si="107"/>
        <v>3025</v>
      </c>
      <c r="AI625" s="25">
        <f t="shared" si="108"/>
        <v>22</v>
      </c>
      <c r="AJ625" s="25">
        <v>1</v>
      </c>
      <c r="AK625" s="25">
        <v>1000</v>
      </c>
      <c r="AL625" s="25">
        <v>100</v>
      </c>
      <c r="AM625" s="26">
        <v>10</v>
      </c>
      <c r="AN625" s="26">
        <v>10</v>
      </c>
      <c r="AO625" s="22" t="s">
        <v>2211</v>
      </c>
      <c r="AP625" s="26">
        <v>0</v>
      </c>
      <c r="AQ625" s="26">
        <f t="shared" si="109"/>
        <v>370</v>
      </c>
      <c r="AR625" s="18" t="str">
        <f ca="1">CONCATENATE(OFFSET(Sheet1!$A$2,RANDBETWEEN(2,500),0,1,1),OFFSET(Sheet1!$A$2,RANDBETWEEN(2,500),RANDBETWEEN(1,5),1,1))</f>
        <v>陶丽思</v>
      </c>
      <c r="AS625">
        <f>SUMPRODUCT(P625:AI625,Sheet2!$B$3:$U$3)</f>
        <v>96552</v>
      </c>
    </row>
    <row r="626" spans="1:45" x14ac:dyDescent="0.15">
      <c r="A626" s="18">
        <v>625</v>
      </c>
      <c r="B626" s="18" t="s">
        <v>1039</v>
      </c>
      <c r="C626" s="18">
        <f t="shared" si="99"/>
        <v>157</v>
      </c>
      <c r="D626" s="19">
        <f t="shared" si="100"/>
        <v>3</v>
      </c>
      <c r="E626" s="19">
        <f>VLOOKUP(MOD(A626,4),各职业基础配置!C$32:D$35,2,FALSE)</f>
        <v>3</v>
      </c>
      <c r="F626" s="19">
        <f>IF(A626&lt;900,INDEX(各职业基础配置!C$23:C$28,MOD(ROW(A626),4)+1),0)</f>
        <v>14</v>
      </c>
      <c r="G626" s="19">
        <f t="shared" si="101"/>
        <v>15</v>
      </c>
      <c r="H626" s="27">
        <f t="shared" si="102"/>
        <v>2</v>
      </c>
      <c r="I626" s="6" t="s">
        <v>164</v>
      </c>
      <c r="J626" s="23" t="str">
        <f>VLOOKUP(E626,各职业基础配置!$B$9:$C$12,2,FALSE)</f>
        <v>106|107|108|4201|110</v>
      </c>
      <c r="K626" s="18" t="str">
        <f>VLOOKUP(E626,各职业基础配置!$B$15:$C$18,2,FALSE)</f>
        <v>20|21|22|23</v>
      </c>
      <c r="L626" s="18" t="str">
        <f>VLOOKUP(E626,各职业基础配置!B:C,2,FALSE)</f>
        <v>[{20,1,1},{21,1,1},{22,1,1},{23,1,1},{4,1,1},{5,1,1},{6,1,1}]</v>
      </c>
      <c r="M626" s="18">
        <v>0</v>
      </c>
      <c r="N626" s="18">
        <f t="shared" si="103"/>
        <v>7</v>
      </c>
      <c r="O626" s="18">
        <f>SUMPRODUCT(P626:AI626,Sheet2!$B$3:$U$3)</f>
        <v>96527</v>
      </c>
      <c r="P626" s="18">
        <f>CEILING(INDEX([1]系统模型!$VD:$VD,MATCH(C626,[1]系统模型!$A:$A,0))*POWER(C626/220,3.8)-50+(1000-A626),1)</f>
        <v>1710</v>
      </c>
      <c r="Q626" s="18">
        <f>CEILING(INDEX([1]系统模型!$VE:$VE,MATCH(C626,[1]系统模型!$A:$A,0))*POWER(C626/220,4),1)</f>
        <v>177</v>
      </c>
      <c r="R626" s="18">
        <f>INT(INDEX([1]系统模型!$VF:$VF,MATCH(C626,[1]系统模型!$A:$A,0))*MAX(POWER(C626/180,4),0.5))</f>
        <v>11727</v>
      </c>
      <c r="S626" s="5">
        <v>1000</v>
      </c>
      <c r="T626" s="25">
        <v>0</v>
      </c>
      <c r="U626" s="25">
        <v>0</v>
      </c>
      <c r="V626" s="25">
        <v>0</v>
      </c>
      <c r="W626" s="25">
        <v>0</v>
      </c>
      <c r="X626" s="25">
        <f t="shared" si="104"/>
        <v>586</v>
      </c>
      <c r="Y626" s="12">
        <v>0</v>
      </c>
      <c r="Z626" s="25">
        <v>100</v>
      </c>
      <c r="AA626" s="25">
        <v>150</v>
      </c>
      <c r="AB626" s="25">
        <v>0</v>
      </c>
      <c r="AC626" s="25">
        <v>0</v>
      </c>
      <c r="AD626" s="25">
        <v>0</v>
      </c>
      <c r="AE626" s="25">
        <f t="shared" si="105"/>
        <v>314</v>
      </c>
      <c r="AF626" s="25">
        <f t="shared" si="106"/>
        <v>314</v>
      </c>
      <c r="AG626" s="25">
        <v>0</v>
      </c>
      <c r="AH626" s="25">
        <f t="shared" si="107"/>
        <v>3025</v>
      </c>
      <c r="AI626" s="25">
        <f t="shared" si="108"/>
        <v>22</v>
      </c>
      <c r="AJ626" s="25">
        <v>1</v>
      </c>
      <c r="AK626" s="25">
        <v>1000</v>
      </c>
      <c r="AL626" s="25">
        <v>100</v>
      </c>
      <c r="AM626" s="26">
        <v>10</v>
      </c>
      <c r="AN626" s="26">
        <v>10</v>
      </c>
      <c r="AO626" s="22" t="s">
        <v>2211</v>
      </c>
      <c r="AP626" s="26">
        <v>0</v>
      </c>
      <c r="AQ626" s="26">
        <f t="shared" si="109"/>
        <v>370</v>
      </c>
      <c r="AR626" s="18" t="str">
        <f ca="1">CONCATENATE(OFFSET(Sheet1!$A$2,RANDBETWEEN(2,500),0,1,1),OFFSET(Sheet1!$A$2,RANDBETWEEN(2,500),RANDBETWEEN(1,5),1,1))</f>
        <v>豪厄尔迪克</v>
      </c>
      <c r="AS626">
        <f>SUMPRODUCT(P626:AI626,Sheet2!$B$3:$U$3)</f>
        <v>96527</v>
      </c>
    </row>
    <row r="627" spans="1:45" x14ac:dyDescent="0.15">
      <c r="A627" s="18">
        <v>626</v>
      </c>
      <c r="B627" s="18" t="s">
        <v>417</v>
      </c>
      <c r="C627" s="18">
        <f t="shared" si="99"/>
        <v>157</v>
      </c>
      <c r="D627" s="19">
        <f t="shared" si="100"/>
        <v>2</v>
      </c>
      <c r="E627" s="19">
        <f>VLOOKUP(MOD(A627,4),各职业基础配置!C$32:D$35,2,FALSE)</f>
        <v>6</v>
      </c>
      <c r="F627" s="19">
        <f>IF(A627&lt;900,INDEX(各职业基础配置!C$23:C$28,MOD(ROW(A627),4)+1),0)</f>
        <v>16</v>
      </c>
      <c r="G627" s="19">
        <f t="shared" si="101"/>
        <v>15</v>
      </c>
      <c r="H627" s="27">
        <f t="shared" si="102"/>
        <v>2</v>
      </c>
      <c r="I627" s="6" t="s">
        <v>164</v>
      </c>
      <c r="J627" s="23" t="str">
        <f>VLOOKUP(E627,各职业基础配置!$B$9:$C$12,2,FALSE)</f>
        <v>111|112|113|4201|115</v>
      </c>
      <c r="K627" s="18" t="str">
        <f>VLOOKUP(E627,各职业基础配置!$B$15:$C$18,2,FALSE)</f>
        <v>32|33|34</v>
      </c>
      <c r="L627" s="18" t="str">
        <f>VLOOKUP(E627,各职业基础配置!B:C,2,FALSE)</f>
        <v>[{32,1,1},{33,1,1},{34,1,1},{35,1,1},{7,1,1},{8,1,1},{9,1,1}]</v>
      </c>
      <c r="M627" s="18">
        <v>0</v>
      </c>
      <c r="N627" s="18">
        <f t="shared" si="103"/>
        <v>7</v>
      </c>
      <c r="O627" s="18">
        <f>SUMPRODUCT(P627:AI627,Sheet2!$B$3:$U$3)</f>
        <v>96502</v>
      </c>
      <c r="P627" s="18">
        <f>CEILING(INDEX([1]系统模型!$VD:$VD,MATCH(C627,[1]系统模型!$A:$A,0))*POWER(C627/220,3.8)-50+(1000-A627),1)</f>
        <v>1709</v>
      </c>
      <c r="Q627" s="18">
        <f>CEILING(INDEX([1]系统模型!$VE:$VE,MATCH(C627,[1]系统模型!$A:$A,0))*POWER(C627/220,4),1)</f>
        <v>177</v>
      </c>
      <c r="R627" s="18">
        <f>INT(INDEX([1]系统模型!$VF:$VF,MATCH(C627,[1]系统模型!$A:$A,0))*MAX(POWER(C627/180,4),0.5))</f>
        <v>11727</v>
      </c>
      <c r="S627" s="5">
        <v>1000</v>
      </c>
      <c r="T627" s="25">
        <v>0</v>
      </c>
      <c r="U627" s="25">
        <v>0</v>
      </c>
      <c r="V627" s="25">
        <v>0</v>
      </c>
      <c r="W627" s="25">
        <v>0</v>
      </c>
      <c r="X627" s="25">
        <f t="shared" si="104"/>
        <v>586</v>
      </c>
      <c r="Y627" s="12">
        <v>0</v>
      </c>
      <c r="Z627" s="25">
        <v>100</v>
      </c>
      <c r="AA627" s="25">
        <v>150</v>
      </c>
      <c r="AB627" s="25">
        <v>0</v>
      </c>
      <c r="AC627" s="25">
        <v>0</v>
      </c>
      <c r="AD627" s="25">
        <v>0</v>
      </c>
      <c r="AE627" s="25">
        <f t="shared" si="105"/>
        <v>314</v>
      </c>
      <c r="AF627" s="25">
        <f t="shared" si="106"/>
        <v>314</v>
      </c>
      <c r="AG627" s="25">
        <v>0</v>
      </c>
      <c r="AH627" s="25">
        <f t="shared" si="107"/>
        <v>3025</v>
      </c>
      <c r="AI627" s="25">
        <f t="shared" si="108"/>
        <v>22</v>
      </c>
      <c r="AJ627" s="25">
        <v>1</v>
      </c>
      <c r="AK627" s="25">
        <v>1000</v>
      </c>
      <c r="AL627" s="25">
        <v>100</v>
      </c>
      <c r="AM627" s="26">
        <v>10</v>
      </c>
      <c r="AN627" s="26">
        <v>10</v>
      </c>
      <c r="AO627" s="22" t="s">
        <v>2211</v>
      </c>
      <c r="AP627" s="26">
        <v>0</v>
      </c>
      <c r="AQ627" s="26">
        <f t="shared" si="109"/>
        <v>370</v>
      </c>
      <c r="AR627" s="18" t="str">
        <f ca="1">CONCATENATE(OFFSET(Sheet1!$A$2,RANDBETWEEN(2,500),0,1,1),OFFSET(Sheet1!$A$2,RANDBETWEEN(2,500),RANDBETWEEN(1,5),1,1))</f>
        <v>赫特</v>
      </c>
      <c r="AS627">
        <f>SUMPRODUCT(P627:AI627,Sheet2!$B$3:$U$3)</f>
        <v>96502</v>
      </c>
    </row>
    <row r="628" spans="1:45" x14ac:dyDescent="0.15">
      <c r="A628" s="23">
        <v>627</v>
      </c>
      <c r="B628" s="18" t="s">
        <v>1294</v>
      </c>
      <c r="C628" s="18">
        <f t="shared" si="99"/>
        <v>157</v>
      </c>
      <c r="D628" s="19">
        <f t="shared" si="100"/>
        <v>3</v>
      </c>
      <c r="E628" s="19">
        <f>VLOOKUP(MOD(A628,4),各职业基础配置!C$32:D$35,2,FALSE)</f>
        <v>9</v>
      </c>
      <c r="F628" s="19">
        <f>IF(A628&lt;900,INDEX(各职业基础配置!C$23:C$28,MOD(ROW(A628),4)+1),0)</f>
        <v>8</v>
      </c>
      <c r="G628" s="19">
        <f t="shared" si="101"/>
        <v>15</v>
      </c>
      <c r="H628" s="27">
        <f t="shared" si="102"/>
        <v>2</v>
      </c>
      <c r="I628" s="6" t="s">
        <v>164</v>
      </c>
      <c r="J628" s="23" t="str">
        <f>VLOOKUP(E628,各职业基础配置!$B$9:$C$12,2,FALSE)</f>
        <v>116|117|118|4201|120</v>
      </c>
      <c r="K628" s="18" t="str">
        <f>VLOOKUP(E628,各职业基础配置!$B$15:$C$18,2,FALSE)</f>
        <v>28|29|30|31</v>
      </c>
      <c r="L628" s="18" t="str">
        <f>VLOOKUP(E628,各职业基础配置!B:C,2,FALSE)</f>
        <v>[{28,1,1},{29,1,1},{30,1,1},{31,1,1},{10,1,1},{11,1,1},{12,1,1}]</v>
      </c>
      <c r="M628" s="18">
        <v>0</v>
      </c>
      <c r="N628" s="18">
        <f t="shared" si="103"/>
        <v>3</v>
      </c>
      <c r="O628" s="18">
        <f>SUMPRODUCT(P628:AI628,Sheet2!$B$3:$U$3)</f>
        <v>96477</v>
      </c>
      <c r="P628" s="18">
        <f>CEILING(INDEX([1]系统模型!$VD:$VD,MATCH(C628,[1]系统模型!$A:$A,0))*POWER(C628/220,3.8)-50+(1000-A628),1)</f>
        <v>1708</v>
      </c>
      <c r="Q628" s="18">
        <f>CEILING(INDEX([1]系统模型!$VE:$VE,MATCH(C628,[1]系统模型!$A:$A,0))*POWER(C628/220,4),1)</f>
        <v>177</v>
      </c>
      <c r="R628" s="18">
        <f>INT(INDEX([1]系统模型!$VF:$VF,MATCH(C628,[1]系统模型!$A:$A,0))*MAX(POWER(C628/180,4),0.5))</f>
        <v>11727</v>
      </c>
      <c r="S628" s="5">
        <v>1000</v>
      </c>
      <c r="T628" s="25">
        <v>0</v>
      </c>
      <c r="U628" s="25">
        <v>0</v>
      </c>
      <c r="V628" s="25">
        <v>0</v>
      </c>
      <c r="W628" s="25">
        <v>0</v>
      </c>
      <c r="X628" s="25">
        <f t="shared" si="104"/>
        <v>586</v>
      </c>
      <c r="Y628" s="12">
        <v>0</v>
      </c>
      <c r="Z628" s="25">
        <v>100</v>
      </c>
      <c r="AA628" s="25">
        <v>150</v>
      </c>
      <c r="AB628" s="25">
        <v>0</v>
      </c>
      <c r="AC628" s="25">
        <v>0</v>
      </c>
      <c r="AD628" s="25">
        <v>0</v>
      </c>
      <c r="AE628" s="25">
        <f t="shared" si="105"/>
        <v>314</v>
      </c>
      <c r="AF628" s="25">
        <f t="shared" si="106"/>
        <v>314</v>
      </c>
      <c r="AG628" s="25">
        <v>0</v>
      </c>
      <c r="AH628" s="25">
        <f t="shared" si="107"/>
        <v>3025</v>
      </c>
      <c r="AI628" s="25">
        <f t="shared" si="108"/>
        <v>22</v>
      </c>
      <c r="AJ628" s="25">
        <v>1</v>
      </c>
      <c r="AK628" s="25">
        <v>1000</v>
      </c>
      <c r="AL628" s="25">
        <v>100</v>
      </c>
      <c r="AM628" s="26">
        <v>10</v>
      </c>
      <c r="AN628" s="26">
        <v>10</v>
      </c>
      <c r="AO628" s="22" t="s">
        <v>2211</v>
      </c>
      <c r="AP628" s="26">
        <v>0</v>
      </c>
      <c r="AQ628" s="26">
        <f t="shared" si="109"/>
        <v>370</v>
      </c>
      <c r="AR628" s="18" t="str">
        <f ca="1">CONCATENATE(OFFSET(Sheet1!$A$2,RANDBETWEEN(2,500),0,1,1),OFFSET(Sheet1!$A$2,RANDBETWEEN(2,500),RANDBETWEEN(1,5),1,1))</f>
        <v>埃迪</v>
      </c>
      <c r="AS628">
        <f>SUMPRODUCT(P628:AI628,Sheet2!$B$3:$U$3)</f>
        <v>96477</v>
      </c>
    </row>
    <row r="629" spans="1:45" x14ac:dyDescent="0.15">
      <c r="A629" s="18">
        <v>628</v>
      </c>
      <c r="B629" s="18" t="s">
        <v>2068</v>
      </c>
      <c r="C629" s="18">
        <f t="shared" si="99"/>
        <v>157</v>
      </c>
      <c r="D629" s="19">
        <f t="shared" si="100"/>
        <v>2</v>
      </c>
      <c r="E629" s="19">
        <f>VLOOKUP(MOD(A629,4),各职业基础配置!C$32:D$35,2,FALSE)</f>
        <v>1</v>
      </c>
      <c r="F629" s="19">
        <f>IF(A629&lt;900,INDEX(各职业基础配置!C$23:C$28,MOD(ROW(A629),4)+1),0)</f>
        <v>13</v>
      </c>
      <c r="G629" s="19">
        <f t="shared" si="101"/>
        <v>15</v>
      </c>
      <c r="H629" s="27">
        <f t="shared" si="102"/>
        <v>2</v>
      </c>
      <c r="I629" s="6" t="s">
        <v>164</v>
      </c>
      <c r="J629" s="23" t="str">
        <f>VLOOKUP(E629,各职业基础配置!$B$9:$C$12,2,FALSE)</f>
        <v>101|102|103|4201|105</v>
      </c>
      <c r="K629" s="18" t="str">
        <f>VLOOKUP(E629,各职业基础配置!$B$15:$C$18,2,FALSE)</f>
        <v>24|25|26|27</v>
      </c>
      <c r="L629" s="18" t="str">
        <f>VLOOKUP(E629,各职业基础配置!B:C,2,FALSE)</f>
        <v>[{24,1,1},{25,1,1},{26,1,1},{27,1,1},{1,1,1},{2,1,1},{3,1,1}]</v>
      </c>
      <c r="M629" s="18">
        <v>0</v>
      </c>
      <c r="N629" s="18">
        <f t="shared" si="103"/>
        <v>3</v>
      </c>
      <c r="O629" s="18">
        <f>SUMPRODUCT(P629:AI629,Sheet2!$B$3:$U$3)</f>
        <v>96452</v>
      </c>
      <c r="P629" s="18">
        <f>CEILING(INDEX([1]系统模型!$VD:$VD,MATCH(C629,[1]系统模型!$A:$A,0))*POWER(C629/220,3.8)-50+(1000-A629),1)</f>
        <v>1707</v>
      </c>
      <c r="Q629" s="18">
        <f>CEILING(INDEX([1]系统模型!$VE:$VE,MATCH(C629,[1]系统模型!$A:$A,0))*POWER(C629/220,4),1)</f>
        <v>177</v>
      </c>
      <c r="R629" s="18">
        <f>INT(INDEX([1]系统模型!$VF:$VF,MATCH(C629,[1]系统模型!$A:$A,0))*MAX(POWER(C629/180,4),0.5))</f>
        <v>11727</v>
      </c>
      <c r="S629" s="5">
        <v>1000</v>
      </c>
      <c r="T629" s="25">
        <v>0</v>
      </c>
      <c r="U629" s="25">
        <v>0</v>
      </c>
      <c r="V629" s="25">
        <v>0</v>
      </c>
      <c r="W629" s="25">
        <v>0</v>
      </c>
      <c r="X629" s="25">
        <f t="shared" si="104"/>
        <v>586</v>
      </c>
      <c r="Y629" s="12">
        <v>0</v>
      </c>
      <c r="Z629" s="25">
        <v>100</v>
      </c>
      <c r="AA629" s="25">
        <v>150</v>
      </c>
      <c r="AB629" s="25">
        <v>0</v>
      </c>
      <c r="AC629" s="25">
        <v>0</v>
      </c>
      <c r="AD629" s="25">
        <v>0</v>
      </c>
      <c r="AE629" s="25">
        <f t="shared" si="105"/>
        <v>314</v>
      </c>
      <c r="AF629" s="25">
        <f t="shared" si="106"/>
        <v>314</v>
      </c>
      <c r="AG629" s="25">
        <v>0</v>
      </c>
      <c r="AH629" s="25">
        <f t="shared" si="107"/>
        <v>3025</v>
      </c>
      <c r="AI629" s="25">
        <f t="shared" si="108"/>
        <v>22</v>
      </c>
      <c r="AJ629" s="25">
        <v>1</v>
      </c>
      <c r="AK629" s="25">
        <v>1000</v>
      </c>
      <c r="AL629" s="25">
        <v>100</v>
      </c>
      <c r="AM629" s="26">
        <v>10</v>
      </c>
      <c r="AN629" s="26">
        <v>10</v>
      </c>
      <c r="AO629" s="22" t="s">
        <v>2211</v>
      </c>
      <c r="AP629" s="26">
        <v>0</v>
      </c>
      <c r="AQ629" s="26">
        <f t="shared" si="109"/>
        <v>360</v>
      </c>
      <c r="AR629" s="18" t="str">
        <f ca="1">CONCATENATE(OFFSET(Sheet1!$A$2,RANDBETWEEN(2,500),0,1,1),OFFSET(Sheet1!$A$2,RANDBETWEEN(2,500),RANDBETWEEN(1,5),1,1))</f>
        <v>埃文思蜜妮安</v>
      </c>
      <c r="AS629">
        <f>SUMPRODUCT(P629:AI629,Sheet2!$B$3:$U$3)</f>
        <v>96452</v>
      </c>
    </row>
    <row r="630" spans="1:45" x14ac:dyDescent="0.15">
      <c r="A630" s="18">
        <v>629</v>
      </c>
      <c r="B630" s="18" t="s">
        <v>1321</v>
      </c>
      <c r="C630" s="18">
        <f t="shared" si="99"/>
        <v>156</v>
      </c>
      <c r="D630" s="19">
        <f t="shared" si="100"/>
        <v>3</v>
      </c>
      <c r="E630" s="19">
        <f>VLOOKUP(MOD(A630,4),各职业基础配置!C$32:D$35,2,FALSE)</f>
        <v>3</v>
      </c>
      <c r="F630" s="19">
        <f>IF(A630&lt;900,INDEX(各职业基础配置!C$23:C$28,MOD(ROW(A630),4)+1),0)</f>
        <v>14</v>
      </c>
      <c r="G630" s="19">
        <f t="shared" si="101"/>
        <v>14</v>
      </c>
      <c r="H630" s="27">
        <f t="shared" si="102"/>
        <v>2</v>
      </c>
      <c r="I630" s="6" t="s">
        <v>164</v>
      </c>
      <c r="J630" s="23" t="str">
        <f>VLOOKUP(E630,各职业基础配置!$B$9:$C$12,2,FALSE)</f>
        <v>106|107|108|4201|110</v>
      </c>
      <c r="K630" s="18" t="str">
        <f>VLOOKUP(E630,各职业基础配置!$B$15:$C$18,2,FALSE)</f>
        <v>20|21|22|23</v>
      </c>
      <c r="L630" s="18" t="str">
        <f>VLOOKUP(E630,各职业基础配置!B:C,2,FALSE)</f>
        <v>[{20,1,1},{21,1,1},{22,1,1},{23,1,1},{4,1,1},{5,1,1},{6,1,1}]</v>
      </c>
      <c r="M630" s="18">
        <v>0</v>
      </c>
      <c r="N630" s="18">
        <f t="shared" si="103"/>
        <v>7</v>
      </c>
      <c r="O630" s="18">
        <f>SUMPRODUCT(P630:AI630,Sheet2!$B$3:$U$3)</f>
        <v>94156</v>
      </c>
      <c r="P630" s="18">
        <f>CEILING(INDEX([1]系统模型!$VD:$VD,MATCH(C630,[1]系统模型!$A:$A,0))*POWER(C630/220,3.8)-50+(1000-A630),1)</f>
        <v>1665</v>
      </c>
      <c r="Q630" s="18">
        <f>CEILING(INDEX([1]系统模型!$VE:$VE,MATCH(C630,[1]系统模型!$A:$A,0))*POWER(C630/220,4),1)</f>
        <v>167</v>
      </c>
      <c r="R630" s="18">
        <f>INT(INDEX([1]系统模型!$VF:$VF,MATCH(C630,[1]系统模型!$A:$A,0))*MAX(POWER(C630/180,4),0.5))</f>
        <v>11206</v>
      </c>
      <c r="S630" s="5">
        <v>1000</v>
      </c>
      <c r="T630" s="25">
        <v>0</v>
      </c>
      <c r="U630" s="25">
        <v>0</v>
      </c>
      <c r="V630" s="25">
        <v>0</v>
      </c>
      <c r="W630" s="25">
        <v>0</v>
      </c>
      <c r="X630" s="25">
        <f t="shared" si="104"/>
        <v>560</v>
      </c>
      <c r="Y630" s="12">
        <v>0</v>
      </c>
      <c r="Z630" s="25">
        <v>100</v>
      </c>
      <c r="AA630" s="25">
        <v>150</v>
      </c>
      <c r="AB630" s="25">
        <v>0</v>
      </c>
      <c r="AC630" s="25">
        <v>0</v>
      </c>
      <c r="AD630" s="25">
        <v>0</v>
      </c>
      <c r="AE630" s="25">
        <f t="shared" si="105"/>
        <v>312</v>
      </c>
      <c r="AF630" s="25">
        <f t="shared" si="106"/>
        <v>312</v>
      </c>
      <c r="AG630" s="25">
        <v>0</v>
      </c>
      <c r="AH630" s="25">
        <f t="shared" si="107"/>
        <v>2950</v>
      </c>
      <c r="AI630" s="25">
        <f t="shared" si="108"/>
        <v>22</v>
      </c>
      <c r="AJ630" s="25">
        <v>1</v>
      </c>
      <c r="AK630" s="25">
        <v>1000</v>
      </c>
      <c r="AL630" s="25">
        <v>100</v>
      </c>
      <c r="AM630" s="26">
        <v>10</v>
      </c>
      <c r="AN630" s="26">
        <v>10</v>
      </c>
      <c r="AO630" s="22" t="s">
        <v>2211</v>
      </c>
      <c r="AP630" s="26">
        <v>0</v>
      </c>
      <c r="AQ630" s="26">
        <f t="shared" si="109"/>
        <v>360</v>
      </c>
      <c r="AR630" s="18" t="str">
        <f ca="1">CONCATENATE(OFFSET(Sheet1!$A$2,RANDBETWEEN(2,500),0,1,1),OFFSET(Sheet1!$A$2,RANDBETWEEN(2,500),RANDBETWEEN(1,5),1,1))</f>
        <v>哈密尔敦多拉</v>
      </c>
      <c r="AS630">
        <f>SUMPRODUCT(P630:AI630,Sheet2!$B$3:$U$3)</f>
        <v>94156</v>
      </c>
    </row>
    <row r="631" spans="1:45" x14ac:dyDescent="0.15">
      <c r="A631" s="23">
        <v>630</v>
      </c>
      <c r="B631" s="18" t="s">
        <v>847</v>
      </c>
      <c r="C631" s="18">
        <f t="shared" si="99"/>
        <v>156</v>
      </c>
      <c r="D631" s="19">
        <f t="shared" si="100"/>
        <v>2</v>
      </c>
      <c r="E631" s="19">
        <f>VLOOKUP(MOD(A631,4),各职业基础配置!C$32:D$35,2,FALSE)</f>
        <v>6</v>
      </c>
      <c r="F631" s="19">
        <f>IF(A631&lt;900,INDEX(各职业基础配置!C$23:C$28,MOD(ROW(A631),4)+1),0)</f>
        <v>16</v>
      </c>
      <c r="G631" s="19">
        <f t="shared" si="101"/>
        <v>14</v>
      </c>
      <c r="H631" s="27">
        <f t="shared" si="102"/>
        <v>2</v>
      </c>
      <c r="I631" s="6" t="s">
        <v>164</v>
      </c>
      <c r="J631" s="23" t="str">
        <f>VLOOKUP(E631,各职业基础配置!$B$9:$C$12,2,FALSE)</f>
        <v>111|112|113|4201|115</v>
      </c>
      <c r="K631" s="18" t="str">
        <f>VLOOKUP(E631,各职业基础配置!$B$15:$C$18,2,FALSE)</f>
        <v>32|33|34</v>
      </c>
      <c r="L631" s="18" t="str">
        <f>VLOOKUP(E631,各职业基础配置!B:C,2,FALSE)</f>
        <v>[{32,1,1},{33,1,1},{34,1,1},{35,1,1},{7,1,1},{8,1,1},{9,1,1}]</v>
      </c>
      <c r="M631" s="18">
        <v>0</v>
      </c>
      <c r="N631" s="18">
        <f t="shared" si="103"/>
        <v>7</v>
      </c>
      <c r="O631" s="18">
        <f>SUMPRODUCT(P631:AI631,Sheet2!$B$3:$U$3)</f>
        <v>94131</v>
      </c>
      <c r="P631" s="18">
        <f>CEILING(INDEX([1]系统模型!$VD:$VD,MATCH(C631,[1]系统模型!$A:$A,0))*POWER(C631/220,3.8)-50+(1000-A631),1)</f>
        <v>1664</v>
      </c>
      <c r="Q631" s="18">
        <f>CEILING(INDEX([1]系统模型!$VE:$VE,MATCH(C631,[1]系统模型!$A:$A,0))*POWER(C631/220,4),1)</f>
        <v>167</v>
      </c>
      <c r="R631" s="18">
        <f>INT(INDEX([1]系统模型!$VF:$VF,MATCH(C631,[1]系统模型!$A:$A,0))*MAX(POWER(C631/180,4),0.5))</f>
        <v>11206</v>
      </c>
      <c r="S631" s="5">
        <v>1000</v>
      </c>
      <c r="T631" s="25">
        <v>0</v>
      </c>
      <c r="U631" s="25">
        <v>0</v>
      </c>
      <c r="V631" s="25">
        <v>0</v>
      </c>
      <c r="W631" s="25">
        <v>0</v>
      </c>
      <c r="X631" s="25">
        <f t="shared" si="104"/>
        <v>560</v>
      </c>
      <c r="Y631" s="12">
        <v>0</v>
      </c>
      <c r="Z631" s="25">
        <v>100</v>
      </c>
      <c r="AA631" s="25">
        <v>150</v>
      </c>
      <c r="AB631" s="25">
        <v>0</v>
      </c>
      <c r="AC631" s="25">
        <v>0</v>
      </c>
      <c r="AD631" s="25">
        <v>0</v>
      </c>
      <c r="AE631" s="25">
        <f t="shared" si="105"/>
        <v>312</v>
      </c>
      <c r="AF631" s="25">
        <f t="shared" si="106"/>
        <v>312</v>
      </c>
      <c r="AG631" s="25">
        <v>0</v>
      </c>
      <c r="AH631" s="25">
        <f t="shared" si="107"/>
        <v>2950</v>
      </c>
      <c r="AI631" s="25">
        <f t="shared" si="108"/>
        <v>22</v>
      </c>
      <c r="AJ631" s="25">
        <v>1</v>
      </c>
      <c r="AK631" s="25">
        <v>1000</v>
      </c>
      <c r="AL631" s="25">
        <v>100</v>
      </c>
      <c r="AM631" s="26">
        <v>10</v>
      </c>
      <c r="AN631" s="26">
        <v>10</v>
      </c>
      <c r="AO631" s="22" t="s">
        <v>2211</v>
      </c>
      <c r="AP631" s="26">
        <v>0</v>
      </c>
      <c r="AQ631" s="26">
        <f t="shared" si="109"/>
        <v>360</v>
      </c>
      <c r="AR631" s="18" t="str">
        <f ca="1">CONCATENATE(OFFSET(Sheet1!$A$2,RANDBETWEEN(2,500),0,1,1),OFFSET(Sheet1!$A$2,RANDBETWEEN(2,500),RANDBETWEEN(1,5),1,1))</f>
        <v>布尔韦尔费滋</v>
      </c>
      <c r="AS631">
        <f>SUMPRODUCT(P631:AI631,Sheet2!$B$3:$U$3)</f>
        <v>94131</v>
      </c>
    </row>
    <row r="632" spans="1:45" x14ac:dyDescent="0.15">
      <c r="A632" s="18">
        <v>631</v>
      </c>
      <c r="B632" s="18" t="s">
        <v>2069</v>
      </c>
      <c r="C632" s="18">
        <f t="shared" si="99"/>
        <v>156</v>
      </c>
      <c r="D632" s="19">
        <f t="shared" si="100"/>
        <v>3</v>
      </c>
      <c r="E632" s="19">
        <f>VLOOKUP(MOD(A632,4),各职业基础配置!C$32:D$35,2,FALSE)</f>
        <v>9</v>
      </c>
      <c r="F632" s="19">
        <f>IF(A632&lt;900,INDEX(各职业基础配置!C$23:C$28,MOD(ROW(A632),4)+1),0)</f>
        <v>8</v>
      </c>
      <c r="G632" s="19">
        <f t="shared" si="101"/>
        <v>14</v>
      </c>
      <c r="H632" s="27">
        <f t="shared" si="102"/>
        <v>2</v>
      </c>
      <c r="I632" s="6" t="s">
        <v>164</v>
      </c>
      <c r="J632" s="23" t="str">
        <f>VLOOKUP(E632,各职业基础配置!$B$9:$C$12,2,FALSE)</f>
        <v>116|117|118|4201|120</v>
      </c>
      <c r="K632" s="18" t="str">
        <f>VLOOKUP(E632,各职业基础配置!$B$15:$C$18,2,FALSE)</f>
        <v>28|29|30|31</v>
      </c>
      <c r="L632" s="18" t="str">
        <f>VLOOKUP(E632,各职业基础配置!B:C,2,FALSE)</f>
        <v>[{28,1,1},{29,1,1},{30,1,1},{31,1,1},{10,1,1},{11,1,1},{12,1,1}]</v>
      </c>
      <c r="M632" s="18">
        <v>0</v>
      </c>
      <c r="N632" s="18">
        <f t="shared" si="103"/>
        <v>3</v>
      </c>
      <c r="O632" s="18">
        <f>SUMPRODUCT(P632:AI632,Sheet2!$B$3:$U$3)</f>
        <v>94106</v>
      </c>
      <c r="P632" s="18">
        <f>CEILING(INDEX([1]系统模型!$VD:$VD,MATCH(C632,[1]系统模型!$A:$A,0))*POWER(C632/220,3.8)-50+(1000-A632),1)</f>
        <v>1663</v>
      </c>
      <c r="Q632" s="18">
        <f>CEILING(INDEX([1]系统模型!$VE:$VE,MATCH(C632,[1]系统模型!$A:$A,0))*POWER(C632/220,4),1)</f>
        <v>167</v>
      </c>
      <c r="R632" s="18">
        <f>INT(INDEX([1]系统模型!$VF:$VF,MATCH(C632,[1]系统模型!$A:$A,0))*MAX(POWER(C632/180,4),0.5))</f>
        <v>11206</v>
      </c>
      <c r="S632" s="5">
        <v>1000</v>
      </c>
      <c r="T632" s="25">
        <v>0</v>
      </c>
      <c r="U632" s="25">
        <v>0</v>
      </c>
      <c r="V632" s="25">
        <v>0</v>
      </c>
      <c r="W632" s="25">
        <v>0</v>
      </c>
      <c r="X632" s="25">
        <f t="shared" si="104"/>
        <v>560</v>
      </c>
      <c r="Y632" s="12">
        <v>0</v>
      </c>
      <c r="Z632" s="25">
        <v>100</v>
      </c>
      <c r="AA632" s="25">
        <v>150</v>
      </c>
      <c r="AB632" s="25">
        <v>0</v>
      </c>
      <c r="AC632" s="25">
        <v>0</v>
      </c>
      <c r="AD632" s="25">
        <v>0</v>
      </c>
      <c r="AE632" s="25">
        <f t="shared" si="105"/>
        <v>312</v>
      </c>
      <c r="AF632" s="25">
        <f t="shared" si="106"/>
        <v>312</v>
      </c>
      <c r="AG632" s="25">
        <v>0</v>
      </c>
      <c r="AH632" s="25">
        <f t="shared" si="107"/>
        <v>2950</v>
      </c>
      <c r="AI632" s="25">
        <f t="shared" si="108"/>
        <v>22</v>
      </c>
      <c r="AJ632" s="25">
        <v>1</v>
      </c>
      <c r="AK632" s="25">
        <v>1000</v>
      </c>
      <c r="AL632" s="25">
        <v>100</v>
      </c>
      <c r="AM632" s="26">
        <v>10</v>
      </c>
      <c r="AN632" s="26">
        <v>10</v>
      </c>
      <c r="AO632" s="22" t="s">
        <v>2211</v>
      </c>
      <c r="AP632" s="26">
        <v>0</v>
      </c>
      <c r="AQ632" s="26">
        <f t="shared" si="109"/>
        <v>360</v>
      </c>
      <c r="AR632" s="18" t="str">
        <f ca="1">CONCATENATE(OFFSET(Sheet1!$A$2,RANDBETWEEN(2,500),0,1,1),OFFSET(Sheet1!$A$2,RANDBETWEEN(2,500),RANDBETWEEN(1,5),1,1))</f>
        <v>哈伯德</v>
      </c>
      <c r="AS632">
        <f>SUMPRODUCT(P632:AI632,Sheet2!$B$3:$U$3)</f>
        <v>94106</v>
      </c>
    </row>
    <row r="633" spans="1:45" x14ac:dyDescent="0.15">
      <c r="A633" s="18">
        <v>632</v>
      </c>
      <c r="B633" s="18" t="s">
        <v>1102</v>
      </c>
      <c r="C633" s="18">
        <f t="shared" si="99"/>
        <v>156</v>
      </c>
      <c r="D633" s="19">
        <f t="shared" si="100"/>
        <v>2</v>
      </c>
      <c r="E633" s="19">
        <f>VLOOKUP(MOD(A633,4),各职业基础配置!C$32:D$35,2,FALSE)</f>
        <v>1</v>
      </c>
      <c r="F633" s="19">
        <f>IF(A633&lt;900,INDEX(各职业基础配置!C$23:C$28,MOD(ROW(A633),4)+1),0)</f>
        <v>13</v>
      </c>
      <c r="G633" s="19">
        <f t="shared" si="101"/>
        <v>14</v>
      </c>
      <c r="H633" s="27">
        <f t="shared" si="102"/>
        <v>2</v>
      </c>
      <c r="I633" s="6" t="s">
        <v>164</v>
      </c>
      <c r="J633" s="23" t="str">
        <f>VLOOKUP(E633,各职业基础配置!$B$9:$C$12,2,FALSE)</f>
        <v>101|102|103|4201|105</v>
      </c>
      <c r="K633" s="18" t="str">
        <f>VLOOKUP(E633,各职业基础配置!$B$15:$C$18,2,FALSE)</f>
        <v>24|25|26|27</v>
      </c>
      <c r="L633" s="18" t="str">
        <f>VLOOKUP(E633,各职业基础配置!B:C,2,FALSE)</f>
        <v>[{24,1,1},{25,1,1},{26,1,1},{27,1,1},{1,1,1},{2,1,1},{3,1,1}]</v>
      </c>
      <c r="M633" s="18">
        <v>0</v>
      </c>
      <c r="N633" s="18">
        <f t="shared" si="103"/>
        <v>3</v>
      </c>
      <c r="O633" s="18">
        <f>SUMPRODUCT(P633:AI633,Sheet2!$B$3:$U$3)</f>
        <v>94081</v>
      </c>
      <c r="P633" s="18">
        <f>CEILING(INDEX([1]系统模型!$VD:$VD,MATCH(C633,[1]系统模型!$A:$A,0))*POWER(C633/220,3.8)-50+(1000-A633),1)</f>
        <v>1662</v>
      </c>
      <c r="Q633" s="18">
        <f>CEILING(INDEX([1]系统模型!$VE:$VE,MATCH(C633,[1]系统模型!$A:$A,0))*POWER(C633/220,4),1)</f>
        <v>167</v>
      </c>
      <c r="R633" s="18">
        <f>INT(INDEX([1]系统模型!$VF:$VF,MATCH(C633,[1]系统模型!$A:$A,0))*MAX(POWER(C633/180,4),0.5))</f>
        <v>11206</v>
      </c>
      <c r="S633" s="5">
        <v>1000</v>
      </c>
      <c r="T633" s="25">
        <v>0</v>
      </c>
      <c r="U633" s="25">
        <v>0</v>
      </c>
      <c r="V633" s="25">
        <v>0</v>
      </c>
      <c r="W633" s="25">
        <v>0</v>
      </c>
      <c r="X633" s="25">
        <f t="shared" si="104"/>
        <v>560</v>
      </c>
      <c r="Y633" s="12">
        <v>0</v>
      </c>
      <c r="Z633" s="25">
        <v>100</v>
      </c>
      <c r="AA633" s="25">
        <v>150</v>
      </c>
      <c r="AB633" s="25">
        <v>0</v>
      </c>
      <c r="AC633" s="25">
        <v>0</v>
      </c>
      <c r="AD633" s="25">
        <v>0</v>
      </c>
      <c r="AE633" s="25">
        <f t="shared" si="105"/>
        <v>312</v>
      </c>
      <c r="AF633" s="25">
        <f t="shared" si="106"/>
        <v>312</v>
      </c>
      <c r="AG633" s="25">
        <v>0</v>
      </c>
      <c r="AH633" s="25">
        <f t="shared" si="107"/>
        <v>2950</v>
      </c>
      <c r="AI633" s="25">
        <f t="shared" si="108"/>
        <v>22</v>
      </c>
      <c r="AJ633" s="25">
        <v>1</v>
      </c>
      <c r="AK633" s="25">
        <v>1000</v>
      </c>
      <c r="AL633" s="25">
        <v>100</v>
      </c>
      <c r="AM633" s="26">
        <v>10</v>
      </c>
      <c r="AN633" s="26">
        <v>10</v>
      </c>
      <c r="AO633" s="22" t="s">
        <v>2211</v>
      </c>
      <c r="AP633" s="26">
        <v>0</v>
      </c>
      <c r="AQ633" s="26">
        <f t="shared" si="109"/>
        <v>360</v>
      </c>
      <c r="AR633" s="18" t="str">
        <f ca="1">CONCATENATE(OFFSET(Sheet1!$A$2,RANDBETWEEN(2,500),0,1,1),OFFSET(Sheet1!$A$2,RANDBETWEEN(2,500),RANDBETWEEN(1,5),1,1))</f>
        <v>爱略特迪克</v>
      </c>
      <c r="AS633">
        <f>SUMPRODUCT(P633:AI633,Sheet2!$B$3:$U$3)</f>
        <v>94081</v>
      </c>
    </row>
    <row r="634" spans="1:45" x14ac:dyDescent="0.15">
      <c r="A634" s="23">
        <v>633</v>
      </c>
      <c r="B634" s="18" t="s">
        <v>918</v>
      </c>
      <c r="C634" s="18">
        <f t="shared" si="99"/>
        <v>156</v>
      </c>
      <c r="D634" s="19">
        <f t="shared" si="100"/>
        <v>3</v>
      </c>
      <c r="E634" s="19">
        <f>VLOOKUP(MOD(A634,4),各职业基础配置!C$32:D$35,2,FALSE)</f>
        <v>3</v>
      </c>
      <c r="F634" s="19">
        <f>IF(A634&lt;900,INDEX(各职业基础配置!C$23:C$28,MOD(ROW(A634),4)+1),0)</f>
        <v>14</v>
      </c>
      <c r="G634" s="19">
        <f t="shared" si="101"/>
        <v>14</v>
      </c>
      <c r="H634" s="27">
        <f t="shared" si="102"/>
        <v>2</v>
      </c>
      <c r="I634" s="6" t="s">
        <v>164</v>
      </c>
      <c r="J634" s="23" t="str">
        <f>VLOOKUP(E634,各职业基础配置!$B$9:$C$12,2,FALSE)</f>
        <v>106|107|108|4201|110</v>
      </c>
      <c r="K634" s="18" t="str">
        <f>VLOOKUP(E634,各职业基础配置!$B$15:$C$18,2,FALSE)</f>
        <v>20|21|22|23</v>
      </c>
      <c r="L634" s="18" t="str">
        <f>VLOOKUP(E634,各职业基础配置!B:C,2,FALSE)</f>
        <v>[{20,1,1},{21,1,1},{22,1,1},{23,1,1},{4,1,1},{5,1,1},{6,1,1}]</v>
      </c>
      <c r="M634" s="18">
        <v>0</v>
      </c>
      <c r="N634" s="18">
        <f t="shared" si="103"/>
        <v>7</v>
      </c>
      <c r="O634" s="18">
        <f>SUMPRODUCT(P634:AI634,Sheet2!$B$3:$U$3)</f>
        <v>94056</v>
      </c>
      <c r="P634" s="18">
        <f>CEILING(INDEX([1]系统模型!$VD:$VD,MATCH(C634,[1]系统模型!$A:$A,0))*POWER(C634/220,3.8)-50+(1000-A634),1)</f>
        <v>1661</v>
      </c>
      <c r="Q634" s="18">
        <f>CEILING(INDEX([1]系统模型!$VE:$VE,MATCH(C634,[1]系统模型!$A:$A,0))*POWER(C634/220,4),1)</f>
        <v>167</v>
      </c>
      <c r="R634" s="18">
        <f>INT(INDEX([1]系统模型!$VF:$VF,MATCH(C634,[1]系统模型!$A:$A,0))*MAX(POWER(C634/180,4),0.5))</f>
        <v>11206</v>
      </c>
      <c r="S634" s="5">
        <v>1000</v>
      </c>
      <c r="T634" s="25">
        <v>0</v>
      </c>
      <c r="U634" s="25">
        <v>0</v>
      </c>
      <c r="V634" s="25">
        <v>0</v>
      </c>
      <c r="W634" s="25">
        <v>0</v>
      </c>
      <c r="X634" s="25">
        <f t="shared" si="104"/>
        <v>560</v>
      </c>
      <c r="Y634" s="12">
        <v>0</v>
      </c>
      <c r="Z634" s="25">
        <v>100</v>
      </c>
      <c r="AA634" s="25">
        <v>150</v>
      </c>
      <c r="AB634" s="25">
        <v>0</v>
      </c>
      <c r="AC634" s="25">
        <v>0</v>
      </c>
      <c r="AD634" s="25">
        <v>0</v>
      </c>
      <c r="AE634" s="25">
        <f t="shared" si="105"/>
        <v>312</v>
      </c>
      <c r="AF634" s="25">
        <f t="shared" si="106"/>
        <v>312</v>
      </c>
      <c r="AG634" s="25">
        <v>0</v>
      </c>
      <c r="AH634" s="25">
        <f t="shared" si="107"/>
        <v>2950</v>
      </c>
      <c r="AI634" s="25">
        <f t="shared" si="108"/>
        <v>22</v>
      </c>
      <c r="AJ634" s="25">
        <v>1</v>
      </c>
      <c r="AK634" s="25">
        <v>1000</v>
      </c>
      <c r="AL634" s="25">
        <v>100</v>
      </c>
      <c r="AM634" s="26">
        <v>10</v>
      </c>
      <c r="AN634" s="26">
        <v>10</v>
      </c>
      <c r="AO634" s="22" t="s">
        <v>2211</v>
      </c>
      <c r="AP634" s="26">
        <v>0</v>
      </c>
      <c r="AQ634" s="26">
        <f t="shared" si="109"/>
        <v>360</v>
      </c>
      <c r="AR634" s="18" t="str">
        <f ca="1">CONCATENATE(OFFSET(Sheet1!$A$2,RANDBETWEEN(2,500),0,1,1),OFFSET(Sheet1!$A$2,RANDBETWEEN(2,500),RANDBETWEEN(1,5),1,1))</f>
        <v>克罗宁蓓姬</v>
      </c>
      <c r="AS634">
        <f>SUMPRODUCT(P634:AI634,Sheet2!$B$3:$U$3)</f>
        <v>94056</v>
      </c>
    </row>
    <row r="635" spans="1:45" x14ac:dyDescent="0.15">
      <c r="A635" s="18">
        <v>634</v>
      </c>
      <c r="B635" s="18" t="s">
        <v>2070</v>
      </c>
      <c r="C635" s="18">
        <f t="shared" si="99"/>
        <v>156</v>
      </c>
      <c r="D635" s="19">
        <f t="shared" si="100"/>
        <v>2</v>
      </c>
      <c r="E635" s="19">
        <f>VLOOKUP(MOD(A635,4),各职业基础配置!C$32:D$35,2,FALSE)</f>
        <v>6</v>
      </c>
      <c r="F635" s="19">
        <f>IF(A635&lt;900,INDEX(各职业基础配置!C$23:C$28,MOD(ROW(A635),4)+1),0)</f>
        <v>16</v>
      </c>
      <c r="G635" s="19">
        <f t="shared" si="101"/>
        <v>14</v>
      </c>
      <c r="H635" s="27">
        <f t="shared" si="102"/>
        <v>2</v>
      </c>
      <c r="I635" s="6" t="s">
        <v>164</v>
      </c>
      <c r="J635" s="23" t="str">
        <f>VLOOKUP(E635,各职业基础配置!$B$9:$C$12,2,FALSE)</f>
        <v>111|112|113|4201|115</v>
      </c>
      <c r="K635" s="18" t="str">
        <f>VLOOKUP(E635,各职业基础配置!$B$15:$C$18,2,FALSE)</f>
        <v>32|33|34</v>
      </c>
      <c r="L635" s="18" t="str">
        <f>VLOOKUP(E635,各职业基础配置!B:C,2,FALSE)</f>
        <v>[{32,1,1},{33,1,1},{34,1,1},{35,1,1},{7,1,1},{8,1,1},{9,1,1}]</v>
      </c>
      <c r="M635" s="18">
        <v>0</v>
      </c>
      <c r="N635" s="18">
        <f t="shared" si="103"/>
        <v>7</v>
      </c>
      <c r="O635" s="18">
        <f>SUMPRODUCT(P635:AI635,Sheet2!$B$3:$U$3)</f>
        <v>94031</v>
      </c>
      <c r="P635" s="18">
        <f>CEILING(INDEX([1]系统模型!$VD:$VD,MATCH(C635,[1]系统模型!$A:$A,0))*POWER(C635/220,3.8)-50+(1000-A635),1)</f>
        <v>1660</v>
      </c>
      <c r="Q635" s="18">
        <f>CEILING(INDEX([1]系统模型!$VE:$VE,MATCH(C635,[1]系统模型!$A:$A,0))*POWER(C635/220,4),1)</f>
        <v>167</v>
      </c>
      <c r="R635" s="18">
        <f>INT(INDEX([1]系统模型!$VF:$VF,MATCH(C635,[1]系统模型!$A:$A,0))*MAX(POWER(C635/180,4),0.5))</f>
        <v>11206</v>
      </c>
      <c r="S635" s="5">
        <v>1000</v>
      </c>
      <c r="T635" s="25">
        <v>0</v>
      </c>
      <c r="U635" s="25">
        <v>0</v>
      </c>
      <c r="V635" s="25">
        <v>0</v>
      </c>
      <c r="W635" s="25">
        <v>0</v>
      </c>
      <c r="X635" s="25">
        <f t="shared" si="104"/>
        <v>560</v>
      </c>
      <c r="Y635" s="12">
        <v>0</v>
      </c>
      <c r="Z635" s="25">
        <v>100</v>
      </c>
      <c r="AA635" s="25">
        <v>150</v>
      </c>
      <c r="AB635" s="25">
        <v>0</v>
      </c>
      <c r="AC635" s="25">
        <v>0</v>
      </c>
      <c r="AD635" s="25">
        <v>0</v>
      </c>
      <c r="AE635" s="25">
        <f t="shared" si="105"/>
        <v>312</v>
      </c>
      <c r="AF635" s="25">
        <f t="shared" si="106"/>
        <v>312</v>
      </c>
      <c r="AG635" s="25">
        <v>0</v>
      </c>
      <c r="AH635" s="25">
        <f t="shared" si="107"/>
        <v>2950</v>
      </c>
      <c r="AI635" s="25">
        <f t="shared" si="108"/>
        <v>22</v>
      </c>
      <c r="AJ635" s="25">
        <v>1</v>
      </c>
      <c r="AK635" s="25">
        <v>1000</v>
      </c>
      <c r="AL635" s="25">
        <v>100</v>
      </c>
      <c r="AM635" s="26">
        <v>10</v>
      </c>
      <c r="AN635" s="26">
        <v>10</v>
      </c>
      <c r="AO635" s="22" t="s">
        <v>2211</v>
      </c>
      <c r="AP635" s="26">
        <v>0</v>
      </c>
      <c r="AQ635" s="26">
        <f t="shared" si="109"/>
        <v>360</v>
      </c>
      <c r="AR635" s="18" t="str">
        <f ca="1">CONCATENATE(OFFSET(Sheet1!$A$2,RANDBETWEEN(2,500),0,1,1),OFFSET(Sheet1!$A$2,RANDBETWEEN(2,500),RANDBETWEEN(1,5),1,1))</f>
        <v>弗雷德里克辉煌</v>
      </c>
      <c r="AS635">
        <f>SUMPRODUCT(P635:AI635,Sheet2!$B$3:$U$3)</f>
        <v>94031</v>
      </c>
    </row>
    <row r="636" spans="1:45" x14ac:dyDescent="0.15">
      <c r="A636" s="18">
        <v>635</v>
      </c>
      <c r="B636" s="18" t="s">
        <v>290</v>
      </c>
      <c r="C636" s="18">
        <f t="shared" si="99"/>
        <v>156</v>
      </c>
      <c r="D636" s="19">
        <f t="shared" si="100"/>
        <v>3</v>
      </c>
      <c r="E636" s="19">
        <f>VLOOKUP(MOD(A636,4),各职业基础配置!C$32:D$35,2,FALSE)</f>
        <v>9</v>
      </c>
      <c r="F636" s="19">
        <f>IF(A636&lt;900,INDEX(各职业基础配置!C$23:C$28,MOD(ROW(A636),4)+1),0)</f>
        <v>8</v>
      </c>
      <c r="G636" s="19">
        <f t="shared" si="101"/>
        <v>14</v>
      </c>
      <c r="H636" s="27">
        <f t="shared" si="102"/>
        <v>2</v>
      </c>
      <c r="I636" s="6" t="s">
        <v>164</v>
      </c>
      <c r="J636" s="23" t="str">
        <f>VLOOKUP(E636,各职业基础配置!$B$9:$C$12,2,FALSE)</f>
        <v>116|117|118|4201|120</v>
      </c>
      <c r="K636" s="18" t="str">
        <f>VLOOKUP(E636,各职业基础配置!$B$15:$C$18,2,FALSE)</f>
        <v>28|29|30|31</v>
      </c>
      <c r="L636" s="18" t="str">
        <f>VLOOKUP(E636,各职业基础配置!B:C,2,FALSE)</f>
        <v>[{28,1,1},{29,1,1},{30,1,1},{31,1,1},{10,1,1},{11,1,1},{12,1,1}]</v>
      </c>
      <c r="M636" s="18">
        <v>0</v>
      </c>
      <c r="N636" s="18">
        <f t="shared" si="103"/>
        <v>3</v>
      </c>
      <c r="O636" s="18">
        <f>SUMPRODUCT(P636:AI636,Sheet2!$B$3:$U$3)</f>
        <v>94006</v>
      </c>
      <c r="P636" s="18">
        <f>CEILING(INDEX([1]系统模型!$VD:$VD,MATCH(C636,[1]系统模型!$A:$A,0))*POWER(C636/220,3.8)-50+(1000-A636),1)</f>
        <v>1659</v>
      </c>
      <c r="Q636" s="18">
        <f>CEILING(INDEX([1]系统模型!$VE:$VE,MATCH(C636,[1]系统模型!$A:$A,0))*POWER(C636/220,4),1)</f>
        <v>167</v>
      </c>
      <c r="R636" s="18">
        <f>INT(INDEX([1]系统模型!$VF:$VF,MATCH(C636,[1]系统模型!$A:$A,0))*MAX(POWER(C636/180,4),0.5))</f>
        <v>11206</v>
      </c>
      <c r="S636" s="5">
        <v>1000</v>
      </c>
      <c r="T636" s="25">
        <v>0</v>
      </c>
      <c r="U636" s="25">
        <v>0</v>
      </c>
      <c r="V636" s="25">
        <v>0</v>
      </c>
      <c r="W636" s="25">
        <v>0</v>
      </c>
      <c r="X636" s="25">
        <f t="shared" si="104"/>
        <v>560</v>
      </c>
      <c r="Y636" s="12">
        <v>0</v>
      </c>
      <c r="Z636" s="25">
        <v>100</v>
      </c>
      <c r="AA636" s="25">
        <v>150</v>
      </c>
      <c r="AB636" s="25">
        <v>0</v>
      </c>
      <c r="AC636" s="25">
        <v>0</v>
      </c>
      <c r="AD636" s="25">
        <v>0</v>
      </c>
      <c r="AE636" s="25">
        <f t="shared" si="105"/>
        <v>312</v>
      </c>
      <c r="AF636" s="25">
        <f t="shared" si="106"/>
        <v>312</v>
      </c>
      <c r="AG636" s="25">
        <v>0</v>
      </c>
      <c r="AH636" s="25">
        <f t="shared" si="107"/>
        <v>2950</v>
      </c>
      <c r="AI636" s="25">
        <f t="shared" si="108"/>
        <v>22</v>
      </c>
      <c r="AJ636" s="25">
        <v>1</v>
      </c>
      <c r="AK636" s="25">
        <v>1000</v>
      </c>
      <c r="AL636" s="25">
        <v>100</v>
      </c>
      <c r="AM636" s="26">
        <v>10</v>
      </c>
      <c r="AN636" s="26">
        <v>10</v>
      </c>
      <c r="AO636" s="22" t="s">
        <v>2211</v>
      </c>
      <c r="AP636" s="26">
        <v>0</v>
      </c>
      <c r="AQ636" s="26">
        <f t="shared" si="109"/>
        <v>360</v>
      </c>
      <c r="AR636" s="18" t="str">
        <f ca="1">CONCATENATE(OFFSET(Sheet1!$A$2,RANDBETWEEN(2,500),0,1,1),OFFSET(Sheet1!$A$2,RANDBETWEEN(2,500),RANDBETWEEN(1,5),1,1))</f>
        <v>乔叟supper</v>
      </c>
      <c r="AS636">
        <f>SUMPRODUCT(P636:AI636,Sheet2!$B$3:$U$3)</f>
        <v>94006</v>
      </c>
    </row>
    <row r="637" spans="1:45" x14ac:dyDescent="0.15">
      <c r="A637" s="23">
        <v>636</v>
      </c>
      <c r="B637" s="18" t="s">
        <v>2071</v>
      </c>
      <c r="C637" s="18">
        <f t="shared" si="99"/>
        <v>155</v>
      </c>
      <c r="D637" s="19">
        <f t="shared" si="100"/>
        <v>2</v>
      </c>
      <c r="E637" s="19">
        <f>VLOOKUP(MOD(A637,4),各职业基础配置!C$32:D$35,2,FALSE)</f>
        <v>1</v>
      </c>
      <c r="F637" s="19">
        <f>IF(A637&lt;900,INDEX(各职业基础配置!C$23:C$28,MOD(ROW(A637),4)+1),0)</f>
        <v>13</v>
      </c>
      <c r="G637" s="19">
        <f t="shared" si="101"/>
        <v>14</v>
      </c>
      <c r="H637" s="27">
        <f t="shared" si="102"/>
        <v>2</v>
      </c>
      <c r="I637" s="6" t="s">
        <v>164</v>
      </c>
      <c r="J637" s="23" t="str">
        <f>VLOOKUP(E637,各职业基础配置!$B$9:$C$12,2,FALSE)</f>
        <v>101|102|103|4201|105</v>
      </c>
      <c r="K637" s="18" t="str">
        <f>VLOOKUP(E637,各职业基础配置!$B$15:$C$18,2,FALSE)</f>
        <v>24|25|26|27</v>
      </c>
      <c r="L637" s="18" t="str">
        <f>VLOOKUP(E637,各职业基础配置!B:C,2,FALSE)</f>
        <v>[{24,1,1},{25,1,1},{26,1,1},{27,1,1},{1,1,1},{2,1,1},{3,1,1}]</v>
      </c>
      <c r="M637" s="18">
        <v>0</v>
      </c>
      <c r="N637" s="18">
        <f t="shared" si="103"/>
        <v>3</v>
      </c>
      <c r="O637" s="18">
        <f>SUMPRODUCT(P637:AI637,Sheet2!$B$3:$U$3)</f>
        <v>91406</v>
      </c>
      <c r="P637" s="18">
        <f>CEILING(INDEX([1]系统模型!$VD:$VD,MATCH(C637,[1]系统模型!$A:$A,0))*POWER(C637/220,3.8)-50+(1000-A637),1)</f>
        <v>1618</v>
      </c>
      <c r="Q637" s="18">
        <f>CEILING(INDEX([1]系统模型!$VE:$VE,MATCH(C637,[1]系统模型!$A:$A,0))*POWER(C637/220,4),1)</f>
        <v>152</v>
      </c>
      <c r="R637" s="18">
        <f>INT(INDEX([1]系统模型!$VF:$VF,MATCH(C637,[1]系统模型!$A:$A,0))*MAX(POWER(C637/180,4),0.5))</f>
        <v>10506</v>
      </c>
      <c r="S637" s="5">
        <v>1000</v>
      </c>
      <c r="T637" s="25">
        <v>0</v>
      </c>
      <c r="U637" s="25">
        <v>0</v>
      </c>
      <c r="V637" s="25">
        <v>0</v>
      </c>
      <c r="W637" s="25">
        <v>0</v>
      </c>
      <c r="X637" s="25">
        <f t="shared" si="104"/>
        <v>525</v>
      </c>
      <c r="Y637" s="12">
        <v>0</v>
      </c>
      <c r="Z637" s="25">
        <v>100</v>
      </c>
      <c r="AA637" s="25">
        <v>150</v>
      </c>
      <c r="AB637" s="25">
        <v>0</v>
      </c>
      <c r="AC637" s="25">
        <v>0</v>
      </c>
      <c r="AD637" s="25">
        <v>0</v>
      </c>
      <c r="AE637" s="25">
        <f t="shared" si="105"/>
        <v>310</v>
      </c>
      <c r="AF637" s="25">
        <f t="shared" si="106"/>
        <v>310</v>
      </c>
      <c r="AG637" s="25">
        <v>0</v>
      </c>
      <c r="AH637" s="25">
        <f t="shared" si="107"/>
        <v>2875</v>
      </c>
      <c r="AI637" s="25">
        <f t="shared" si="108"/>
        <v>21</v>
      </c>
      <c r="AJ637" s="25">
        <v>1</v>
      </c>
      <c r="AK637" s="25">
        <v>1000</v>
      </c>
      <c r="AL637" s="25">
        <v>100</v>
      </c>
      <c r="AM637" s="26">
        <v>10</v>
      </c>
      <c r="AN637" s="26">
        <v>10</v>
      </c>
      <c r="AO637" s="22" t="s">
        <v>2211</v>
      </c>
      <c r="AP637" s="26">
        <v>0</v>
      </c>
      <c r="AQ637" s="26">
        <f t="shared" si="109"/>
        <v>360</v>
      </c>
      <c r="AR637" s="18" t="str">
        <f ca="1">CONCATENATE(OFFSET(Sheet1!$A$2,RANDBETWEEN(2,500),0,1,1),OFFSET(Sheet1!$A$2,RANDBETWEEN(2,500),RANDBETWEEN(1,5),1,1))</f>
        <v>丘吉尔</v>
      </c>
      <c r="AS637">
        <f>SUMPRODUCT(P637:AI637,Sheet2!$B$3:$U$3)</f>
        <v>91406</v>
      </c>
    </row>
    <row r="638" spans="1:45" x14ac:dyDescent="0.15">
      <c r="A638" s="18">
        <v>637</v>
      </c>
      <c r="B638" s="18" t="s">
        <v>2072</v>
      </c>
      <c r="C638" s="18">
        <f t="shared" si="99"/>
        <v>155</v>
      </c>
      <c r="D638" s="19">
        <f t="shared" si="100"/>
        <v>3</v>
      </c>
      <c r="E638" s="19">
        <f>VLOOKUP(MOD(A638,4),各职业基础配置!C$32:D$35,2,FALSE)</f>
        <v>3</v>
      </c>
      <c r="F638" s="19">
        <f>IF(A638&lt;900,INDEX(各职业基础配置!C$23:C$28,MOD(ROW(A638),4)+1),0)</f>
        <v>14</v>
      </c>
      <c r="G638" s="19">
        <f t="shared" si="101"/>
        <v>14</v>
      </c>
      <c r="H638" s="27">
        <f t="shared" si="102"/>
        <v>2</v>
      </c>
      <c r="I638" s="6" t="s">
        <v>164</v>
      </c>
      <c r="J638" s="23" t="str">
        <f>VLOOKUP(E638,各职业基础配置!$B$9:$C$12,2,FALSE)</f>
        <v>106|107|108|4201|110</v>
      </c>
      <c r="K638" s="18" t="str">
        <f>VLOOKUP(E638,各职业基础配置!$B$15:$C$18,2,FALSE)</f>
        <v>20|21|22|23</v>
      </c>
      <c r="L638" s="18" t="str">
        <f>VLOOKUP(E638,各职业基础配置!B:C,2,FALSE)</f>
        <v>[{20,1,1},{21,1,1},{22,1,1},{23,1,1},{4,1,1},{5,1,1},{6,1,1}]</v>
      </c>
      <c r="M638" s="18">
        <v>0</v>
      </c>
      <c r="N638" s="18">
        <f t="shared" si="103"/>
        <v>7</v>
      </c>
      <c r="O638" s="18">
        <f>SUMPRODUCT(P638:AI638,Sheet2!$B$3:$U$3)</f>
        <v>91381</v>
      </c>
      <c r="P638" s="18">
        <f>CEILING(INDEX([1]系统模型!$VD:$VD,MATCH(C638,[1]系统模型!$A:$A,0))*POWER(C638/220,3.8)-50+(1000-A638),1)</f>
        <v>1617</v>
      </c>
      <c r="Q638" s="18">
        <f>CEILING(INDEX([1]系统模型!$VE:$VE,MATCH(C638,[1]系统模型!$A:$A,0))*POWER(C638/220,4),1)</f>
        <v>152</v>
      </c>
      <c r="R638" s="18">
        <f>INT(INDEX([1]系统模型!$VF:$VF,MATCH(C638,[1]系统模型!$A:$A,0))*MAX(POWER(C638/180,4),0.5))</f>
        <v>10506</v>
      </c>
      <c r="S638" s="5">
        <v>1000</v>
      </c>
      <c r="T638" s="25">
        <v>0</v>
      </c>
      <c r="U638" s="25">
        <v>0</v>
      </c>
      <c r="V638" s="25">
        <v>0</v>
      </c>
      <c r="W638" s="25">
        <v>0</v>
      </c>
      <c r="X638" s="25">
        <f t="shared" si="104"/>
        <v>525</v>
      </c>
      <c r="Y638" s="12">
        <v>0</v>
      </c>
      <c r="Z638" s="25">
        <v>100</v>
      </c>
      <c r="AA638" s="25">
        <v>150</v>
      </c>
      <c r="AB638" s="25">
        <v>0</v>
      </c>
      <c r="AC638" s="25">
        <v>0</v>
      </c>
      <c r="AD638" s="25">
        <v>0</v>
      </c>
      <c r="AE638" s="25">
        <f t="shared" si="105"/>
        <v>310</v>
      </c>
      <c r="AF638" s="25">
        <f t="shared" si="106"/>
        <v>310</v>
      </c>
      <c r="AG638" s="25">
        <v>0</v>
      </c>
      <c r="AH638" s="25">
        <f t="shared" si="107"/>
        <v>2875</v>
      </c>
      <c r="AI638" s="25">
        <f t="shared" si="108"/>
        <v>21</v>
      </c>
      <c r="AJ638" s="25">
        <v>1</v>
      </c>
      <c r="AK638" s="25">
        <v>1000</v>
      </c>
      <c r="AL638" s="25">
        <v>100</v>
      </c>
      <c r="AM638" s="26">
        <v>10</v>
      </c>
      <c r="AN638" s="26">
        <v>10</v>
      </c>
      <c r="AO638" s="22" t="s">
        <v>2211</v>
      </c>
      <c r="AP638" s="26">
        <v>0</v>
      </c>
      <c r="AQ638" s="26">
        <f t="shared" si="109"/>
        <v>360</v>
      </c>
      <c r="AR638" s="18" t="str">
        <f ca="1">CONCATENATE(OFFSET(Sheet1!$A$2,RANDBETWEEN(2,500),0,1,1),OFFSET(Sheet1!$A$2,RANDBETWEEN(2,500),RANDBETWEEN(1,5),1,1))</f>
        <v>富兰克林</v>
      </c>
      <c r="AS638">
        <f>SUMPRODUCT(P638:AI638,Sheet2!$B$3:$U$3)</f>
        <v>91381</v>
      </c>
    </row>
    <row r="639" spans="1:45" x14ac:dyDescent="0.15">
      <c r="A639" s="18">
        <v>638</v>
      </c>
      <c r="B639" s="18" t="s">
        <v>2073</v>
      </c>
      <c r="C639" s="18">
        <f t="shared" si="99"/>
        <v>155</v>
      </c>
      <c r="D639" s="19">
        <f t="shared" si="100"/>
        <v>2</v>
      </c>
      <c r="E639" s="19">
        <f>VLOOKUP(MOD(A639,4),各职业基础配置!C$32:D$35,2,FALSE)</f>
        <v>6</v>
      </c>
      <c r="F639" s="19">
        <f>IF(A639&lt;900,INDEX(各职业基础配置!C$23:C$28,MOD(ROW(A639),4)+1),0)</f>
        <v>16</v>
      </c>
      <c r="G639" s="19">
        <f t="shared" si="101"/>
        <v>14</v>
      </c>
      <c r="H639" s="27">
        <f t="shared" si="102"/>
        <v>2</v>
      </c>
      <c r="I639" s="6" t="s">
        <v>164</v>
      </c>
      <c r="J639" s="23" t="str">
        <f>VLOOKUP(E639,各职业基础配置!$B$9:$C$12,2,FALSE)</f>
        <v>111|112|113|4201|115</v>
      </c>
      <c r="K639" s="18" t="str">
        <f>VLOOKUP(E639,各职业基础配置!$B$15:$C$18,2,FALSE)</f>
        <v>32|33|34</v>
      </c>
      <c r="L639" s="18" t="str">
        <f>VLOOKUP(E639,各职业基础配置!B:C,2,FALSE)</f>
        <v>[{32,1,1},{33,1,1},{34,1,1},{35,1,1},{7,1,1},{8,1,1},{9,1,1}]</v>
      </c>
      <c r="M639" s="18">
        <v>0</v>
      </c>
      <c r="N639" s="18">
        <f t="shared" si="103"/>
        <v>7</v>
      </c>
      <c r="O639" s="18">
        <f>SUMPRODUCT(P639:AI639,Sheet2!$B$3:$U$3)</f>
        <v>91356</v>
      </c>
      <c r="P639" s="18">
        <f>CEILING(INDEX([1]系统模型!$VD:$VD,MATCH(C639,[1]系统模型!$A:$A,0))*POWER(C639/220,3.8)-50+(1000-A639),1)</f>
        <v>1616</v>
      </c>
      <c r="Q639" s="18">
        <f>CEILING(INDEX([1]系统模型!$VE:$VE,MATCH(C639,[1]系统模型!$A:$A,0))*POWER(C639/220,4),1)</f>
        <v>152</v>
      </c>
      <c r="R639" s="18">
        <f>INT(INDEX([1]系统模型!$VF:$VF,MATCH(C639,[1]系统模型!$A:$A,0))*MAX(POWER(C639/180,4),0.5))</f>
        <v>10506</v>
      </c>
      <c r="S639" s="5">
        <v>1000</v>
      </c>
      <c r="T639" s="25">
        <v>0</v>
      </c>
      <c r="U639" s="25">
        <v>0</v>
      </c>
      <c r="V639" s="25">
        <v>0</v>
      </c>
      <c r="W639" s="25">
        <v>0</v>
      </c>
      <c r="X639" s="25">
        <f t="shared" si="104"/>
        <v>525</v>
      </c>
      <c r="Y639" s="12">
        <v>0</v>
      </c>
      <c r="Z639" s="25">
        <v>100</v>
      </c>
      <c r="AA639" s="25">
        <v>150</v>
      </c>
      <c r="AB639" s="25">
        <v>0</v>
      </c>
      <c r="AC639" s="25">
        <v>0</v>
      </c>
      <c r="AD639" s="25">
        <v>0</v>
      </c>
      <c r="AE639" s="25">
        <f t="shared" si="105"/>
        <v>310</v>
      </c>
      <c r="AF639" s="25">
        <f t="shared" si="106"/>
        <v>310</v>
      </c>
      <c r="AG639" s="25">
        <v>0</v>
      </c>
      <c r="AH639" s="25">
        <f t="shared" si="107"/>
        <v>2875</v>
      </c>
      <c r="AI639" s="25">
        <f t="shared" si="108"/>
        <v>21</v>
      </c>
      <c r="AJ639" s="25">
        <v>1</v>
      </c>
      <c r="AK639" s="25">
        <v>1000</v>
      </c>
      <c r="AL639" s="25">
        <v>100</v>
      </c>
      <c r="AM639" s="26">
        <v>10</v>
      </c>
      <c r="AN639" s="26">
        <v>10</v>
      </c>
      <c r="AO639" s="22" t="s">
        <v>2211</v>
      </c>
      <c r="AP639" s="26">
        <v>0</v>
      </c>
      <c r="AQ639" s="26">
        <f t="shared" si="109"/>
        <v>350</v>
      </c>
      <c r="AR639" s="18" t="str">
        <f ca="1">CONCATENATE(OFFSET(Sheet1!$A$2,RANDBETWEEN(2,500),0,1,1),OFFSET(Sheet1!$A$2,RANDBETWEEN(2,500),RANDBETWEEN(1,5),1,1))</f>
        <v>豪斯曼</v>
      </c>
      <c r="AS639">
        <f>SUMPRODUCT(P639:AI639,Sheet2!$B$3:$U$3)</f>
        <v>91356</v>
      </c>
    </row>
    <row r="640" spans="1:45" x14ac:dyDescent="0.15">
      <c r="A640" s="23">
        <v>639</v>
      </c>
      <c r="B640" s="18" t="s">
        <v>308</v>
      </c>
      <c r="C640" s="18">
        <f t="shared" si="99"/>
        <v>155</v>
      </c>
      <c r="D640" s="19">
        <f t="shared" si="100"/>
        <v>3</v>
      </c>
      <c r="E640" s="19">
        <f>VLOOKUP(MOD(A640,4),各职业基础配置!C$32:D$35,2,FALSE)</f>
        <v>9</v>
      </c>
      <c r="F640" s="19">
        <f>IF(A640&lt;900,INDEX(各职业基础配置!C$23:C$28,MOD(ROW(A640),4)+1),0)</f>
        <v>8</v>
      </c>
      <c r="G640" s="19">
        <f t="shared" si="101"/>
        <v>14</v>
      </c>
      <c r="H640" s="27">
        <f t="shared" si="102"/>
        <v>2</v>
      </c>
      <c r="I640" s="6" t="s">
        <v>164</v>
      </c>
      <c r="J640" s="23" t="str">
        <f>VLOOKUP(E640,各职业基础配置!$B$9:$C$12,2,FALSE)</f>
        <v>116|117|118|4201|120</v>
      </c>
      <c r="K640" s="18" t="str">
        <f>VLOOKUP(E640,各职业基础配置!$B$15:$C$18,2,FALSE)</f>
        <v>28|29|30|31</v>
      </c>
      <c r="L640" s="18" t="str">
        <f>VLOOKUP(E640,各职业基础配置!B:C,2,FALSE)</f>
        <v>[{28,1,1},{29,1,1},{30,1,1},{31,1,1},{10,1,1},{11,1,1},{12,1,1}]</v>
      </c>
      <c r="M640" s="18">
        <v>0</v>
      </c>
      <c r="N640" s="18">
        <f t="shared" si="103"/>
        <v>3</v>
      </c>
      <c r="O640" s="18">
        <f>SUMPRODUCT(P640:AI640,Sheet2!$B$3:$U$3)</f>
        <v>91331</v>
      </c>
      <c r="P640" s="18">
        <f>CEILING(INDEX([1]系统模型!$VD:$VD,MATCH(C640,[1]系统模型!$A:$A,0))*POWER(C640/220,3.8)-50+(1000-A640),1)</f>
        <v>1615</v>
      </c>
      <c r="Q640" s="18">
        <f>CEILING(INDEX([1]系统模型!$VE:$VE,MATCH(C640,[1]系统模型!$A:$A,0))*POWER(C640/220,4),1)</f>
        <v>152</v>
      </c>
      <c r="R640" s="18">
        <f>INT(INDEX([1]系统模型!$VF:$VF,MATCH(C640,[1]系统模型!$A:$A,0))*MAX(POWER(C640/180,4),0.5))</f>
        <v>10506</v>
      </c>
      <c r="S640" s="5">
        <v>1000</v>
      </c>
      <c r="T640" s="25">
        <v>0</v>
      </c>
      <c r="U640" s="25">
        <v>0</v>
      </c>
      <c r="V640" s="25">
        <v>0</v>
      </c>
      <c r="W640" s="25">
        <v>0</v>
      </c>
      <c r="X640" s="25">
        <f t="shared" si="104"/>
        <v>525</v>
      </c>
      <c r="Y640" s="12">
        <v>0</v>
      </c>
      <c r="Z640" s="25">
        <v>100</v>
      </c>
      <c r="AA640" s="25">
        <v>150</v>
      </c>
      <c r="AB640" s="25">
        <v>0</v>
      </c>
      <c r="AC640" s="25">
        <v>0</v>
      </c>
      <c r="AD640" s="25">
        <v>0</v>
      </c>
      <c r="AE640" s="25">
        <f t="shared" si="105"/>
        <v>310</v>
      </c>
      <c r="AF640" s="25">
        <f t="shared" si="106"/>
        <v>310</v>
      </c>
      <c r="AG640" s="25">
        <v>0</v>
      </c>
      <c r="AH640" s="25">
        <f t="shared" si="107"/>
        <v>2875</v>
      </c>
      <c r="AI640" s="25">
        <f t="shared" si="108"/>
        <v>21</v>
      </c>
      <c r="AJ640" s="25">
        <v>1</v>
      </c>
      <c r="AK640" s="25">
        <v>1000</v>
      </c>
      <c r="AL640" s="25">
        <v>100</v>
      </c>
      <c r="AM640" s="26">
        <v>10</v>
      </c>
      <c r="AN640" s="26">
        <v>10</v>
      </c>
      <c r="AO640" s="22" t="s">
        <v>2211</v>
      </c>
      <c r="AP640" s="26">
        <v>0</v>
      </c>
      <c r="AQ640" s="26">
        <f t="shared" si="109"/>
        <v>350</v>
      </c>
      <c r="AR640" s="18" t="str">
        <f ca="1">CONCATENATE(OFFSET(Sheet1!$A$2,RANDBETWEEN(2,500),0,1,1),OFFSET(Sheet1!$A$2,RANDBETWEEN(2,500),RANDBETWEEN(1,5),1,1))</f>
        <v>汉森</v>
      </c>
      <c r="AS640">
        <f>SUMPRODUCT(P640:AI640,Sheet2!$B$3:$U$3)</f>
        <v>91331</v>
      </c>
    </row>
    <row r="641" spans="1:45" x14ac:dyDescent="0.15">
      <c r="A641" s="18">
        <v>640</v>
      </c>
      <c r="B641" s="18" t="s">
        <v>2074</v>
      </c>
      <c r="C641" s="18">
        <f t="shared" si="99"/>
        <v>155</v>
      </c>
      <c r="D641" s="19">
        <f t="shared" si="100"/>
        <v>2</v>
      </c>
      <c r="E641" s="19">
        <f>VLOOKUP(MOD(A641,4),各职业基础配置!C$32:D$35,2,FALSE)</f>
        <v>1</v>
      </c>
      <c r="F641" s="19">
        <f>IF(A641&lt;900,INDEX(各职业基础配置!C$23:C$28,MOD(ROW(A641),4)+1),0)</f>
        <v>13</v>
      </c>
      <c r="G641" s="19">
        <f t="shared" si="101"/>
        <v>14</v>
      </c>
      <c r="H641" s="27">
        <f t="shared" si="102"/>
        <v>2</v>
      </c>
      <c r="I641" s="6" t="s">
        <v>164</v>
      </c>
      <c r="J641" s="23" t="str">
        <f>VLOOKUP(E641,各职业基础配置!$B$9:$C$12,2,FALSE)</f>
        <v>101|102|103|4201|105</v>
      </c>
      <c r="K641" s="18" t="str">
        <f>VLOOKUP(E641,各职业基础配置!$B$15:$C$18,2,FALSE)</f>
        <v>24|25|26|27</v>
      </c>
      <c r="L641" s="18" t="str">
        <f>VLOOKUP(E641,各职业基础配置!B:C,2,FALSE)</f>
        <v>[{24,1,1},{25,1,1},{26,1,1},{27,1,1},{1,1,1},{2,1,1},{3,1,1}]</v>
      </c>
      <c r="M641" s="18">
        <v>0</v>
      </c>
      <c r="N641" s="18">
        <f t="shared" si="103"/>
        <v>3</v>
      </c>
      <c r="O641" s="18">
        <f>SUMPRODUCT(P641:AI641,Sheet2!$B$3:$U$3)</f>
        <v>91306</v>
      </c>
      <c r="P641" s="18">
        <f>CEILING(INDEX([1]系统模型!$VD:$VD,MATCH(C641,[1]系统模型!$A:$A,0))*POWER(C641/220,3.8)-50+(1000-A641),1)</f>
        <v>1614</v>
      </c>
      <c r="Q641" s="18">
        <f>CEILING(INDEX([1]系统模型!$VE:$VE,MATCH(C641,[1]系统模型!$A:$A,0))*POWER(C641/220,4),1)</f>
        <v>152</v>
      </c>
      <c r="R641" s="18">
        <f>INT(INDEX([1]系统模型!$VF:$VF,MATCH(C641,[1]系统模型!$A:$A,0))*MAX(POWER(C641/180,4),0.5))</f>
        <v>10506</v>
      </c>
      <c r="S641" s="5">
        <v>1000</v>
      </c>
      <c r="T641" s="25">
        <v>0</v>
      </c>
      <c r="U641" s="25">
        <v>0</v>
      </c>
      <c r="V641" s="25">
        <v>0</v>
      </c>
      <c r="W641" s="25">
        <v>0</v>
      </c>
      <c r="X641" s="25">
        <f t="shared" si="104"/>
        <v>525</v>
      </c>
      <c r="Y641" s="12">
        <v>0</v>
      </c>
      <c r="Z641" s="25">
        <v>100</v>
      </c>
      <c r="AA641" s="25">
        <v>150</v>
      </c>
      <c r="AB641" s="25">
        <v>0</v>
      </c>
      <c r="AC641" s="25">
        <v>0</v>
      </c>
      <c r="AD641" s="25">
        <v>0</v>
      </c>
      <c r="AE641" s="25">
        <f t="shared" si="105"/>
        <v>310</v>
      </c>
      <c r="AF641" s="25">
        <f t="shared" si="106"/>
        <v>310</v>
      </c>
      <c r="AG641" s="25">
        <v>0</v>
      </c>
      <c r="AH641" s="25">
        <f t="shared" si="107"/>
        <v>2875</v>
      </c>
      <c r="AI641" s="25">
        <f t="shared" si="108"/>
        <v>21</v>
      </c>
      <c r="AJ641" s="25">
        <v>1</v>
      </c>
      <c r="AK641" s="25">
        <v>1000</v>
      </c>
      <c r="AL641" s="25">
        <v>100</v>
      </c>
      <c r="AM641" s="26">
        <v>10</v>
      </c>
      <c r="AN641" s="26">
        <v>10</v>
      </c>
      <c r="AO641" s="22" t="s">
        <v>2211</v>
      </c>
      <c r="AP641" s="26">
        <v>0</v>
      </c>
      <c r="AQ641" s="26">
        <f t="shared" si="109"/>
        <v>350</v>
      </c>
      <c r="AR641" s="18" t="str">
        <f ca="1">CONCATENATE(OFFSET(Sheet1!$A$2,RANDBETWEEN(2,500),0,1,1),OFFSET(Sheet1!$A$2,RANDBETWEEN(2,500),RANDBETWEEN(1,5),1,1))</f>
        <v>贝西</v>
      </c>
      <c r="AS641">
        <f>SUMPRODUCT(P641:AI641,Sheet2!$B$3:$U$3)</f>
        <v>91306</v>
      </c>
    </row>
    <row r="642" spans="1:45" x14ac:dyDescent="0.15">
      <c r="A642" s="18">
        <v>641</v>
      </c>
      <c r="B642" s="18" t="s">
        <v>2075</v>
      </c>
      <c r="C642" s="18">
        <f t="shared" si="99"/>
        <v>155</v>
      </c>
      <c r="D642" s="19">
        <f t="shared" si="100"/>
        <v>3</v>
      </c>
      <c r="E642" s="19">
        <f>VLOOKUP(MOD(A642,4),各职业基础配置!C$32:D$35,2,FALSE)</f>
        <v>3</v>
      </c>
      <c r="F642" s="19">
        <f>IF(A642&lt;900,INDEX(各职业基础配置!C$23:C$28,MOD(ROW(A642),4)+1),0)</f>
        <v>14</v>
      </c>
      <c r="G642" s="19">
        <f t="shared" si="101"/>
        <v>14</v>
      </c>
      <c r="H642" s="27">
        <f t="shared" si="102"/>
        <v>2</v>
      </c>
      <c r="I642" s="6" t="s">
        <v>164</v>
      </c>
      <c r="J642" s="23" t="str">
        <f>VLOOKUP(E642,各职业基础配置!$B$9:$C$12,2,FALSE)</f>
        <v>106|107|108|4201|110</v>
      </c>
      <c r="K642" s="18" t="str">
        <f>VLOOKUP(E642,各职业基础配置!$B$15:$C$18,2,FALSE)</f>
        <v>20|21|22|23</v>
      </c>
      <c r="L642" s="18" t="str">
        <f>VLOOKUP(E642,各职业基础配置!B:C,2,FALSE)</f>
        <v>[{20,1,1},{21,1,1},{22,1,1},{23,1,1},{4,1,1},{5,1,1},{6,1,1}]</v>
      </c>
      <c r="M642" s="18">
        <v>0</v>
      </c>
      <c r="N642" s="18">
        <f t="shared" si="103"/>
        <v>7</v>
      </c>
      <c r="O642" s="18">
        <f>SUMPRODUCT(P642:AI642,Sheet2!$B$3:$U$3)</f>
        <v>91281</v>
      </c>
      <c r="P642" s="18">
        <f>CEILING(INDEX([1]系统模型!$VD:$VD,MATCH(C642,[1]系统模型!$A:$A,0))*POWER(C642/220,3.8)-50+(1000-A642),1)</f>
        <v>1613</v>
      </c>
      <c r="Q642" s="18">
        <f>CEILING(INDEX([1]系统模型!$VE:$VE,MATCH(C642,[1]系统模型!$A:$A,0))*POWER(C642/220,4),1)</f>
        <v>152</v>
      </c>
      <c r="R642" s="18">
        <f>INT(INDEX([1]系统模型!$VF:$VF,MATCH(C642,[1]系统模型!$A:$A,0))*MAX(POWER(C642/180,4),0.5))</f>
        <v>10506</v>
      </c>
      <c r="S642" s="5">
        <v>1000</v>
      </c>
      <c r="T642" s="25">
        <v>0</v>
      </c>
      <c r="U642" s="25">
        <v>0</v>
      </c>
      <c r="V642" s="25">
        <v>0</v>
      </c>
      <c r="W642" s="25">
        <v>0</v>
      </c>
      <c r="X642" s="25">
        <f t="shared" si="104"/>
        <v>525</v>
      </c>
      <c r="Y642" s="12">
        <v>0</v>
      </c>
      <c r="Z642" s="25">
        <v>100</v>
      </c>
      <c r="AA642" s="25">
        <v>150</v>
      </c>
      <c r="AB642" s="25">
        <v>0</v>
      </c>
      <c r="AC642" s="25">
        <v>0</v>
      </c>
      <c r="AD642" s="25">
        <v>0</v>
      </c>
      <c r="AE642" s="25">
        <f t="shared" si="105"/>
        <v>310</v>
      </c>
      <c r="AF642" s="25">
        <f t="shared" si="106"/>
        <v>310</v>
      </c>
      <c r="AG642" s="25">
        <v>0</v>
      </c>
      <c r="AH642" s="25">
        <f t="shared" si="107"/>
        <v>2875</v>
      </c>
      <c r="AI642" s="25">
        <f t="shared" si="108"/>
        <v>21</v>
      </c>
      <c r="AJ642" s="25">
        <v>1</v>
      </c>
      <c r="AK642" s="25">
        <v>1000</v>
      </c>
      <c r="AL642" s="25">
        <v>100</v>
      </c>
      <c r="AM642" s="26">
        <v>10</v>
      </c>
      <c r="AN642" s="26">
        <v>10</v>
      </c>
      <c r="AO642" s="22" t="s">
        <v>2211</v>
      </c>
      <c r="AP642" s="26">
        <v>0</v>
      </c>
      <c r="AQ642" s="26">
        <f t="shared" si="109"/>
        <v>350</v>
      </c>
      <c r="AR642" s="18" t="str">
        <f ca="1">CONCATENATE(OFFSET(Sheet1!$A$2,RANDBETWEEN(2,500),0,1,1),OFFSET(Sheet1!$A$2,RANDBETWEEN(2,500),RANDBETWEEN(1,5),1,1))</f>
        <v>加德纳苏珊娜</v>
      </c>
      <c r="AS642">
        <f>SUMPRODUCT(P642:AI642,Sheet2!$B$3:$U$3)</f>
        <v>91281</v>
      </c>
    </row>
    <row r="643" spans="1:45" x14ac:dyDescent="0.15">
      <c r="A643" s="23">
        <v>642</v>
      </c>
      <c r="B643" s="18" t="s">
        <v>2076</v>
      </c>
      <c r="C643" s="18">
        <f t="shared" ref="C643:C706" si="110">INT(250-(150-2)/1000*A643)</f>
        <v>154</v>
      </c>
      <c r="D643" s="19">
        <f t="shared" ref="D643:D706" si="111">MOD(A643,2)+2</f>
        <v>2</v>
      </c>
      <c r="E643" s="19">
        <f>VLOOKUP(MOD(A643,4),各职业基础配置!C$32:D$35,2,FALSE)</f>
        <v>6</v>
      </c>
      <c r="F643" s="19">
        <f>IF(A643&lt;900,INDEX(各职业基础配置!C$23:C$28,MOD(ROW(A643),4)+1),0)</f>
        <v>16</v>
      </c>
      <c r="G643" s="19">
        <f t="shared" ref="G643:G706" si="112">INT(C643*POWER(C643/250,5))</f>
        <v>13</v>
      </c>
      <c r="H643" s="27">
        <f t="shared" ref="H643:H706" si="113">CEILING(C643/75,1)-1</f>
        <v>2</v>
      </c>
      <c r="I643" s="6" t="s">
        <v>164</v>
      </c>
      <c r="J643" s="23" t="str">
        <f>VLOOKUP(E643,各职业基础配置!$B$9:$C$12,2,FALSE)</f>
        <v>111|112|113|4201|115</v>
      </c>
      <c r="K643" s="18" t="str">
        <f>VLOOKUP(E643,各职业基础配置!$B$15:$C$18,2,FALSE)</f>
        <v>32|33|34</v>
      </c>
      <c r="L643" s="18" t="str">
        <f>VLOOKUP(E643,各职业基础配置!B:C,2,FALSE)</f>
        <v>[{32,1,1},{33,1,1},{34,1,1},{35,1,1},{7,1,1},{8,1,1},{9,1,1}]</v>
      </c>
      <c r="M643" s="18">
        <v>0</v>
      </c>
      <c r="N643" s="18">
        <f t="shared" ref="N643:N706" si="114">IF(OR(E643=3,E643=6),7,3)</f>
        <v>7</v>
      </c>
      <c r="O643" s="18">
        <f>SUMPRODUCT(P643:AI643,Sheet2!$B$3:$U$3)</f>
        <v>89177</v>
      </c>
      <c r="P643" s="18">
        <f>CEILING(INDEX([1]系统模型!$VD:$VD,MATCH(C643,[1]系统模型!$A:$A,0))*POWER(C643/220,3.8)-50+(1000-A643),1)</f>
        <v>1568</v>
      </c>
      <c r="Q643" s="18">
        <f>CEILING(INDEX([1]系统模型!$VE:$VE,MATCH(C643,[1]系统模型!$A:$A,0))*POWER(C643/220,4),1)</f>
        <v>147</v>
      </c>
      <c r="R643" s="18">
        <f>INT(INDEX([1]系统模型!$VF:$VF,MATCH(C643,[1]系统模型!$A:$A,0))*MAX(POWER(C643/180,4),0.5))</f>
        <v>10152</v>
      </c>
      <c r="S643" s="5">
        <v>1000</v>
      </c>
      <c r="T643" s="25">
        <v>0</v>
      </c>
      <c r="U643" s="25">
        <v>0</v>
      </c>
      <c r="V643" s="25">
        <v>0</v>
      </c>
      <c r="W643" s="25">
        <v>0</v>
      </c>
      <c r="X643" s="25">
        <f t="shared" ref="X643:X706" si="115">INT(R643/20)</f>
        <v>507</v>
      </c>
      <c r="Y643" s="12">
        <v>0</v>
      </c>
      <c r="Z643" s="25">
        <v>100</v>
      </c>
      <c r="AA643" s="25">
        <v>150</v>
      </c>
      <c r="AB643" s="25">
        <v>0</v>
      </c>
      <c r="AC643" s="25">
        <v>0</v>
      </c>
      <c r="AD643" s="25">
        <v>0</v>
      </c>
      <c r="AE643" s="25">
        <f t="shared" ref="AE643:AE706" si="116">C643*2</f>
        <v>308</v>
      </c>
      <c r="AF643" s="25">
        <f t="shared" ref="AF643:AF706" si="117">C643*2</f>
        <v>308</v>
      </c>
      <c r="AG643" s="25">
        <v>0</v>
      </c>
      <c r="AH643" s="25">
        <f t="shared" ref="AH643:AH706" si="118">MAX(10000-(250-C643)*75,0)</f>
        <v>2800</v>
      </c>
      <c r="AI643" s="25">
        <f t="shared" ref="AI643:AI706" si="119">INT(P643/75)</f>
        <v>20</v>
      </c>
      <c r="AJ643" s="25">
        <v>1</v>
      </c>
      <c r="AK643" s="25">
        <v>1000</v>
      </c>
      <c r="AL643" s="25">
        <v>100</v>
      </c>
      <c r="AM643" s="26">
        <v>10</v>
      </c>
      <c r="AN643" s="26">
        <v>10</v>
      </c>
      <c r="AO643" s="22" t="s">
        <v>2211</v>
      </c>
      <c r="AP643" s="26">
        <v>0</v>
      </c>
      <c r="AQ643" s="26">
        <f t="shared" ref="AQ643:AQ706" si="120">MAX(CEILING(1000-A643*1.02,10),0)</f>
        <v>350</v>
      </c>
      <c r="AR643" s="18" t="str">
        <f ca="1">CONCATENATE(OFFSET(Sheet1!$A$2,RANDBETWEEN(2,500),0,1,1),OFFSET(Sheet1!$A$2,RANDBETWEEN(2,500),RANDBETWEEN(1,5),1,1))</f>
        <v>丹</v>
      </c>
      <c r="AS643">
        <f>SUMPRODUCT(P643:AI643,Sheet2!$B$3:$U$3)</f>
        <v>89177</v>
      </c>
    </row>
    <row r="644" spans="1:45" x14ac:dyDescent="0.15">
      <c r="A644" s="18">
        <v>643</v>
      </c>
      <c r="B644" s="18" t="s">
        <v>861</v>
      </c>
      <c r="C644" s="18">
        <f t="shared" si="110"/>
        <v>154</v>
      </c>
      <c r="D644" s="19">
        <f t="shared" si="111"/>
        <v>3</v>
      </c>
      <c r="E644" s="19">
        <f>VLOOKUP(MOD(A644,4),各职业基础配置!C$32:D$35,2,FALSE)</f>
        <v>9</v>
      </c>
      <c r="F644" s="19">
        <f>IF(A644&lt;900,INDEX(各职业基础配置!C$23:C$28,MOD(ROW(A644),4)+1),0)</f>
        <v>8</v>
      </c>
      <c r="G644" s="19">
        <f t="shared" si="112"/>
        <v>13</v>
      </c>
      <c r="H644" s="27">
        <f t="shared" si="113"/>
        <v>2</v>
      </c>
      <c r="I644" s="6" t="s">
        <v>164</v>
      </c>
      <c r="J644" s="23" t="str">
        <f>VLOOKUP(E644,各职业基础配置!$B$9:$C$12,2,FALSE)</f>
        <v>116|117|118|4201|120</v>
      </c>
      <c r="K644" s="18" t="str">
        <f>VLOOKUP(E644,各职业基础配置!$B$15:$C$18,2,FALSE)</f>
        <v>28|29|30|31</v>
      </c>
      <c r="L644" s="18" t="str">
        <f>VLOOKUP(E644,各职业基础配置!B:C,2,FALSE)</f>
        <v>[{28,1,1},{29,1,1},{30,1,1},{31,1,1},{10,1,1},{11,1,1},{12,1,1}]</v>
      </c>
      <c r="M644" s="18">
        <v>0</v>
      </c>
      <c r="N644" s="18">
        <f t="shared" si="114"/>
        <v>3</v>
      </c>
      <c r="O644" s="18">
        <f>SUMPRODUCT(P644:AI644,Sheet2!$B$3:$U$3)</f>
        <v>89152</v>
      </c>
      <c r="P644" s="18">
        <f>CEILING(INDEX([1]系统模型!$VD:$VD,MATCH(C644,[1]系统模型!$A:$A,0))*POWER(C644/220,3.8)-50+(1000-A644),1)</f>
        <v>1567</v>
      </c>
      <c r="Q644" s="18">
        <f>CEILING(INDEX([1]系统模型!$VE:$VE,MATCH(C644,[1]系统模型!$A:$A,0))*POWER(C644/220,4),1)</f>
        <v>147</v>
      </c>
      <c r="R644" s="18">
        <f>INT(INDEX([1]系统模型!$VF:$VF,MATCH(C644,[1]系统模型!$A:$A,0))*MAX(POWER(C644/180,4),0.5))</f>
        <v>10152</v>
      </c>
      <c r="S644" s="5">
        <v>1000</v>
      </c>
      <c r="T644" s="25">
        <v>0</v>
      </c>
      <c r="U644" s="25">
        <v>0</v>
      </c>
      <c r="V644" s="25">
        <v>0</v>
      </c>
      <c r="W644" s="25">
        <v>0</v>
      </c>
      <c r="X644" s="25">
        <f t="shared" si="115"/>
        <v>507</v>
      </c>
      <c r="Y644" s="12">
        <v>0</v>
      </c>
      <c r="Z644" s="25">
        <v>100</v>
      </c>
      <c r="AA644" s="25">
        <v>150</v>
      </c>
      <c r="AB644" s="25">
        <v>0</v>
      </c>
      <c r="AC644" s="25">
        <v>0</v>
      </c>
      <c r="AD644" s="25">
        <v>0</v>
      </c>
      <c r="AE644" s="25">
        <f t="shared" si="116"/>
        <v>308</v>
      </c>
      <c r="AF644" s="25">
        <f t="shared" si="117"/>
        <v>308</v>
      </c>
      <c r="AG644" s="25">
        <v>0</v>
      </c>
      <c r="AH644" s="25">
        <f t="shared" si="118"/>
        <v>2800</v>
      </c>
      <c r="AI644" s="25">
        <f t="shared" si="119"/>
        <v>20</v>
      </c>
      <c r="AJ644" s="25">
        <v>1</v>
      </c>
      <c r="AK644" s="25">
        <v>1000</v>
      </c>
      <c r="AL644" s="25">
        <v>100</v>
      </c>
      <c r="AM644" s="26">
        <v>10</v>
      </c>
      <c r="AN644" s="26">
        <v>10</v>
      </c>
      <c r="AO644" s="22" t="s">
        <v>2211</v>
      </c>
      <c r="AP644" s="26">
        <v>0</v>
      </c>
      <c r="AQ644" s="26">
        <f t="shared" si="120"/>
        <v>350</v>
      </c>
      <c r="AR644" s="18" t="str">
        <f ca="1">CONCATENATE(OFFSET(Sheet1!$A$2,RANDBETWEEN(2,500),0,1,1),OFFSET(Sheet1!$A$2,RANDBETWEEN(2,500),RANDBETWEEN(1,5),1,1))</f>
        <v>尤菲米娅列蒂西雅</v>
      </c>
      <c r="AS644">
        <f>SUMPRODUCT(P644:AI644,Sheet2!$B$3:$U$3)</f>
        <v>89152</v>
      </c>
    </row>
    <row r="645" spans="1:45" x14ac:dyDescent="0.15">
      <c r="A645" s="18">
        <v>644</v>
      </c>
      <c r="B645" s="18" t="s">
        <v>2077</v>
      </c>
      <c r="C645" s="18">
        <f t="shared" si="110"/>
        <v>154</v>
      </c>
      <c r="D645" s="19">
        <f t="shared" si="111"/>
        <v>2</v>
      </c>
      <c r="E645" s="19">
        <f>VLOOKUP(MOD(A645,4),各职业基础配置!C$32:D$35,2,FALSE)</f>
        <v>1</v>
      </c>
      <c r="F645" s="19">
        <f>IF(A645&lt;900,INDEX(各职业基础配置!C$23:C$28,MOD(ROW(A645),4)+1),0)</f>
        <v>13</v>
      </c>
      <c r="G645" s="19">
        <f t="shared" si="112"/>
        <v>13</v>
      </c>
      <c r="H645" s="27">
        <f t="shared" si="113"/>
        <v>2</v>
      </c>
      <c r="I645" s="6" t="s">
        <v>164</v>
      </c>
      <c r="J645" s="23" t="str">
        <f>VLOOKUP(E645,各职业基础配置!$B$9:$C$12,2,FALSE)</f>
        <v>101|102|103|4201|105</v>
      </c>
      <c r="K645" s="18" t="str">
        <f>VLOOKUP(E645,各职业基础配置!$B$15:$C$18,2,FALSE)</f>
        <v>24|25|26|27</v>
      </c>
      <c r="L645" s="18" t="str">
        <f>VLOOKUP(E645,各职业基础配置!B:C,2,FALSE)</f>
        <v>[{24,1,1},{25,1,1},{26,1,1},{27,1,1},{1,1,1},{2,1,1},{3,1,1}]</v>
      </c>
      <c r="M645" s="18">
        <v>0</v>
      </c>
      <c r="N645" s="18">
        <f t="shared" si="114"/>
        <v>3</v>
      </c>
      <c r="O645" s="18">
        <f>SUMPRODUCT(P645:AI645,Sheet2!$B$3:$U$3)</f>
        <v>89127</v>
      </c>
      <c r="P645" s="18">
        <f>CEILING(INDEX([1]系统模型!$VD:$VD,MATCH(C645,[1]系统模型!$A:$A,0))*POWER(C645/220,3.8)-50+(1000-A645),1)</f>
        <v>1566</v>
      </c>
      <c r="Q645" s="18">
        <f>CEILING(INDEX([1]系统模型!$VE:$VE,MATCH(C645,[1]系统模型!$A:$A,0))*POWER(C645/220,4),1)</f>
        <v>147</v>
      </c>
      <c r="R645" s="18">
        <f>INT(INDEX([1]系统模型!$VF:$VF,MATCH(C645,[1]系统模型!$A:$A,0))*MAX(POWER(C645/180,4),0.5))</f>
        <v>10152</v>
      </c>
      <c r="S645" s="5">
        <v>1000</v>
      </c>
      <c r="T645" s="25">
        <v>0</v>
      </c>
      <c r="U645" s="25">
        <v>0</v>
      </c>
      <c r="V645" s="25">
        <v>0</v>
      </c>
      <c r="W645" s="25">
        <v>0</v>
      </c>
      <c r="X645" s="25">
        <f t="shared" si="115"/>
        <v>507</v>
      </c>
      <c r="Y645" s="12">
        <v>0</v>
      </c>
      <c r="Z645" s="25">
        <v>100</v>
      </c>
      <c r="AA645" s="25">
        <v>150</v>
      </c>
      <c r="AB645" s="25">
        <v>0</v>
      </c>
      <c r="AC645" s="25">
        <v>0</v>
      </c>
      <c r="AD645" s="25">
        <v>0</v>
      </c>
      <c r="AE645" s="25">
        <f t="shared" si="116"/>
        <v>308</v>
      </c>
      <c r="AF645" s="25">
        <f t="shared" si="117"/>
        <v>308</v>
      </c>
      <c r="AG645" s="25">
        <v>0</v>
      </c>
      <c r="AH645" s="25">
        <f t="shared" si="118"/>
        <v>2800</v>
      </c>
      <c r="AI645" s="25">
        <f t="shared" si="119"/>
        <v>20</v>
      </c>
      <c r="AJ645" s="25">
        <v>1</v>
      </c>
      <c r="AK645" s="25">
        <v>1000</v>
      </c>
      <c r="AL645" s="25">
        <v>100</v>
      </c>
      <c r="AM645" s="26">
        <v>10</v>
      </c>
      <c r="AN645" s="26">
        <v>10</v>
      </c>
      <c r="AO645" s="22" t="s">
        <v>2211</v>
      </c>
      <c r="AP645" s="26">
        <v>0</v>
      </c>
      <c r="AQ645" s="26">
        <f t="shared" si="120"/>
        <v>350</v>
      </c>
      <c r="AR645" s="18" t="str">
        <f ca="1">CONCATENATE(OFFSET(Sheet1!$A$2,RANDBETWEEN(2,500),0,1,1),OFFSET(Sheet1!$A$2,RANDBETWEEN(2,500),RANDBETWEEN(1,5),1,1))</f>
        <v>杰里迈亚</v>
      </c>
      <c r="AS645">
        <f>SUMPRODUCT(P645:AI645,Sheet2!$B$3:$U$3)</f>
        <v>89127</v>
      </c>
    </row>
    <row r="646" spans="1:45" x14ac:dyDescent="0.15">
      <c r="A646" s="23">
        <v>645</v>
      </c>
      <c r="B646" s="18" t="s">
        <v>891</v>
      </c>
      <c r="C646" s="18">
        <f t="shared" si="110"/>
        <v>154</v>
      </c>
      <c r="D646" s="19">
        <f t="shared" si="111"/>
        <v>3</v>
      </c>
      <c r="E646" s="19">
        <f>VLOOKUP(MOD(A646,4),各职业基础配置!C$32:D$35,2,FALSE)</f>
        <v>3</v>
      </c>
      <c r="F646" s="19">
        <f>IF(A646&lt;900,INDEX(各职业基础配置!C$23:C$28,MOD(ROW(A646),4)+1),0)</f>
        <v>14</v>
      </c>
      <c r="G646" s="19">
        <f t="shared" si="112"/>
        <v>13</v>
      </c>
      <c r="H646" s="27">
        <f t="shared" si="113"/>
        <v>2</v>
      </c>
      <c r="I646" s="6" t="s">
        <v>164</v>
      </c>
      <c r="J646" s="23" t="str">
        <f>VLOOKUP(E646,各职业基础配置!$B$9:$C$12,2,FALSE)</f>
        <v>106|107|108|4201|110</v>
      </c>
      <c r="K646" s="18" t="str">
        <f>VLOOKUP(E646,各职业基础配置!$B$15:$C$18,2,FALSE)</f>
        <v>20|21|22|23</v>
      </c>
      <c r="L646" s="18" t="str">
        <f>VLOOKUP(E646,各职业基础配置!B:C,2,FALSE)</f>
        <v>[{20,1,1},{21,1,1},{22,1,1},{23,1,1},{4,1,1},{5,1,1},{6,1,1}]</v>
      </c>
      <c r="M646" s="18">
        <v>0</v>
      </c>
      <c r="N646" s="18">
        <f t="shared" si="114"/>
        <v>7</v>
      </c>
      <c r="O646" s="18">
        <f>SUMPRODUCT(P646:AI646,Sheet2!$B$3:$U$3)</f>
        <v>89102</v>
      </c>
      <c r="P646" s="18">
        <f>CEILING(INDEX([1]系统模型!$VD:$VD,MATCH(C646,[1]系统模型!$A:$A,0))*POWER(C646/220,3.8)-50+(1000-A646),1)</f>
        <v>1565</v>
      </c>
      <c r="Q646" s="18">
        <f>CEILING(INDEX([1]系统模型!$VE:$VE,MATCH(C646,[1]系统模型!$A:$A,0))*POWER(C646/220,4),1)</f>
        <v>147</v>
      </c>
      <c r="R646" s="18">
        <f>INT(INDEX([1]系统模型!$VF:$VF,MATCH(C646,[1]系统模型!$A:$A,0))*MAX(POWER(C646/180,4),0.5))</f>
        <v>10152</v>
      </c>
      <c r="S646" s="5">
        <v>1000</v>
      </c>
      <c r="T646" s="25">
        <v>0</v>
      </c>
      <c r="U646" s="25">
        <v>0</v>
      </c>
      <c r="V646" s="25">
        <v>0</v>
      </c>
      <c r="W646" s="25">
        <v>0</v>
      </c>
      <c r="X646" s="25">
        <f t="shared" si="115"/>
        <v>507</v>
      </c>
      <c r="Y646" s="12">
        <v>0</v>
      </c>
      <c r="Z646" s="25">
        <v>100</v>
      </c>
      <c r="AA646" s="25">
        <v>150</v>
      </c>
      <c r="AB646" s="25">
        <v>0</v>
      </c>
      <c r="AC646" s="25">
        <v>0</v>
      </c>
      <c r="AD646" s="25">
        <v>0</v>
      </c>
      <c r="AE646" s="25">
        <f t="shared" si="116"/>
        <v>308</v>
      </c>
      <c r="AF646" s="25">
        <f t="shared" si="117"/>
        <v>308</v>
      </c>
      <c r="AG646" s="25">
        <v>0</v>
      </c>
      <c r="AH646" s="25">
        <f t="shared" si="118"/>
        <v>2800</v>
      </c>
      <c r="AI646" s="25">
        <f t="shared" si="119"/>
        <v>20</v>
      </c>
      <c r="AJ646" s="25">
        <v>1</v>
      </c>
      <c r="AK646" s="25">
        <v>1000</v>
      </c>
      <c r="AL646" s="25">
        <v>100</v>
      </c>
      <c r="AM646" s="26">
        <v>10</v>
      </c>
      <c r="AN646" s="26">
        <v>10</v>
      </c>
      <c r="AO646" s="22" t="s">
        <v>2211</v>
      </c>
      <c r="AP646" s="26">
        <v>0</v>
      </c>
      <c r="AQ646" s="26">
        <f t="shared" si="120"/>
        <v>350</v>
      </c>
      <c r="AR646" s="18" t="str">
        <f ca="1">CONCATENATE(OFFSET(Sheet1!$A$2,RANDBETWEEN(2,500),0,1,1),OFFSET(Sheet1!$A$2,RANDBETWEEN(2,500),RANDBETWEEN(1,5),1,1))</f>
        <v>伯恩斯牡丹</v>
      </c>
      <c r="AS646">
        <f>SUMPRODUCT(P646:AI646,Sheet2!$B$3:$U$3)</f>
        <v>89102</v>
      </c>
    </row>
    <row r="647" spans="1:45" x14ac:dyDescent="0.15">
      <c r="A647" s="18">
        <v>646</v>
      </c>
      <c r="B647" s="18" t="s">
        <v>1214</v>
      </c>
      <c r="C647" s="18">
        <f t="shared" si="110"/>
        <v>154</v>
      </c>
      <c r="D647" s="19">
        <f t="shared" si="111"/>
        <v>2</v>
      </c>
      <c r="E647" s="19">
        <f>VLOOKUP(MOD(A647,4),各职业基础配置!C$32:D$35,2,FALSE)</f>
        <v>6</v>
      </c>
      <c r="F647" s="19">
        <f>IF(A647&lt;900,INDEX(各职业基础配置!C$23:C$28,MOD(ROW(A647),4)+1),0)</f>
        <v>16</v>
      </c>
      <c r="G647" s="19">
        <f t="shared" si="112"/>
        <v>13</v>
      </c>
      <c r="H647" s="27">
        <f t="shared" si="113"/>
        <v>2</v>
      </c>
      <c r="I647" s="6" t="s">
        <v>164</v>
      </c>
      <c r="J647" s="23" t="str">
        <f>VLOOKUP(E647,各职业基础配置!$B$9:$C$12,2,FALSE)</f>
        <v>111|112|113|4201|115</v>
      </c>
      <c r="K647" s="18" t="str">
        <f>VLOOKUP(E647,各职业基础配置!$B$15:$C$18,2,FALSE)</f>
        <v>32|33|34</v>
      </c>
      <c r="L647" s="18" t="str">
        <f>VLOOKUP(E647,各职业基础配置!B:C,2,FALSE)</f>
        <v>[{32,1,1},{33,1,1},{34,1,1},{35,1,1},{7,1,1},{8,1,1},{9,1,1}]</v>
      </c>
      <c r="M647" s="18">
        <v>0</v>
      </c>
      <c r="N647" s="18">
        <f t="shared" si="114"/>
        <v>7</v>
      </c>
      <c r="O647" s="18">
        <f>SUMPRODUCT(P647:AI647,Sheet2!$B$3:$U$3)</f>
        <v>89077</v>
      </c>
      <c r="P647" s="18">
        <f>CEILING(INDEX([1]系统模型!$VD:$VD,MATCH(C647,[1]系统模型!$A:$A,0))*POWER(C647/220,3.8)-50+(1000-A647),1)</f>
        <v>1564</v>
      </c>
      <c r="Q647" s="18">
        <f>CEILING(INDEX([1]系统模型!$VE:$VE,MATCH(C647,[1]系统模型!$A:$A,0))*POWER(C647/220,4),1)</f>
        <v>147</v>
      </c>
      <c r="R647" s="18">
        <f>INT(INDEX([1]系统模型!$VF:$VF,MATCH(C647,[1]系统模型!$A:$A,0))*MAX(POWER(C647/180,4),0.5))</f>
        <v>10152</v>
      </c>
      <c r="S647" s="5">
        <v>1000</v>
      </c>
      <c r="T647" s="25">
        <v>0</v>
      </c>
      <c r="U647" s="25">
        <v>0</v>
      </c>
      <c r="V647" s="25">
        <v>0</v>
      </c>
      <c r="W647" s="25">
        <v>0</v>
      </c>
      <c r="X647" s="25">
        <f t="shared" si="115"/>
        <v>507</v>
      </c>
      <c r="Y647" s="12">
        <v>0</v>
      </c>
      <c r="Z647" s="25">
        <v>100</v>
      </c>
      <c r="AA647" s="25">
        <v>150</v>
      </c>
      <c r="AB647" s="25">
        <v>0</v>
      </c>
      <c r="AC647" s="25">
        <v>0</v>
      </c>
      <c r="AD647" s="25">
        <v>0</v>
      </c>
      <c r="AE647" s="25">
        <f t="shared" si="116"/>
        <v>308</v>
      </c>
      <c r="AF647" s="25">
        <f t="shared" si="117"/>
        <v>308</v>
      </c>
      <c r="AG647" s="25">
        <v>0</v>
      </c>
      <c r="AH647" s="25">
        <f t="shared" si="118"/>
        <v>2800</v>
      </c>
      <c r="AI647" s="25">
        <f t="shared" si="119"/>
        <v>20</v>
      </c>
      <c r="AJ647" s="25">
        <v>1</v>
      </c>
      <c r="AK647" s="25">
        <v>1000</v>
      </c>
      <c r="AL647" s="25">
        <v>100</v>
      </c>
      <c r="AM647" s="26">
        <v>10</v>
      </c>
      <c r="AN647" s="26">
        <v>10</v>
      </c>
      <c r="AO647" s="22" t="s">
        <v>2211</v>
      </c>
      <c r="AP647" s="26">
        <v>0</v>
      </c>
      <c r="AQ647" s="26">
        <f t="shared" si="120"/>
        <v>350</v>
      </c>
      <c r="AR647" s="18" t="str">
        <f ca="1">CONCATENATE(OFFSET(Sheet1!$A$2,RANDBETWEEN(2,500),0,1,1),OFFSET(Sheet1!$A$2,RANDBETWEEN(2,500),RANDBETWEEN(1,5),1,1))</f>
        <v>伊娃</v>
      </c>
      <c r="AS647">
        <f>SUMPRODUCT(P647:AI647,Sheet2!$B$3:$U$3)</f>
        <v>89077</v>
      </c>
    </row>
    <row r="648" spans="1:45" x14ac:dyDescent="0.15">
      <c r="A648" s="18">
        <v>647</v>
      </c>
      <c r="B648" s="18" t="s">
        <v>2078</v>
      </c>
      <c r="C648" s="18">
        <f t="shared" si="110"/>
        <v>154</v>
      </c>
      <c r="D648" s="19">
        <f t="shared" si="111"/>
        <v>3</v>
      </c>
      <c r="E648" s="19">
        <f>VLOOKUP(MOD(A648,4),各职业基础配置!C$32:D$35,2,FALSE)</f>
        <v>9</v>
      </c>
      <c r="F648" s="19">
        <f>IF(A648&lt;900,INDEX(各职业基础配置!C$23:C$28,MOD(ROW(A648),4)+1),0)</f>
        <v>8</v>
      </c>
      <c r="G648" s="19">
        <f t="shared" si="112"/>
        <v>13</v>
      </c>
      <c r="H648" s="27">
        <f t="shared" si="113"/>
        <v>2</v>
      </c>
      <c r="I648" s="6" t="s">
        <v>164</v>
      </c>
      <c r="J648" s="23" t="str">
        <f>VLOOKUP(E648,各职业基础配置!$B$9:$C$12,2,FALSE)</f>
        <v>116|117|118|4201|120</v>
      </c>
      <c r="K648" s="18" t="str">
        <f>VLOOKUP(E648,各职业基础配置!$B$15:$C$18,2,FALSE)</f>
        <v>28|29|30|31</v>
      </c>
      <c r="L648" s="18" t="str">
        <f>VLOOKUP(E648,各职业基础配置!B:C,2,FALSE)</f>
        <v>[{28,1,1},{29,1,1},{30,1,1},{31,1,1},{10,1,1},{11,1,1},{12,1,1}]</v>
      </c>
      <c r="M648" s="18">
        <v>0</v>
      </c>
      <c r="N648" s="18">
        <f t="shared" si="114"/>
        <v>3</v>
      </c>
      <c r="O648" s="18">
        <f>SUMPRODUCT(P648:AI648,Sheet2!$B$3:$U$3)</f>
        <v>89052</v>
      </c>
      <c r="P648" s="18">
        <f>CEILING(INDEX([1]系统模型!$VD:$VD,MATCH(C648,[1]系统模型!$A:$A,0))*POWER(C648/220,3.8)-50+(1000-A648),1)</f>
        <v>1563</v>
      </c>
      <c r="Q648" s="18">
        <f>CEILING(INDEX([1]系统模型!$VE:$VE,MATCH(C648,[1]系统模型!$A:$A,0))*POWER(C648/220,4),1)</f>
        <v>147</v>
      </c>
      <c r="R648" s="18">
        <f>INT(INDEX([1]系统模型!$VF:$VF,MATCH(C648,[1]系统模型!$A:$A,0))*MAX(POWER(C648/180,4),0.5))</f>
        <v>10152</v>
      </c>
      <c r="S648" s="5">
        <v>1000</v>
      </c>
      <c r="T648" s="25">
        <v>0</v>
      </c>
      <c r="U648" s="25">
        <v>0</v>
      </c>
      <c r="V648" s="25">
        <v>0</v>
      </c>
      <c r="W648" s="25">
        <v>0</v>
      </c>
      <c r="X648" s="25">
        <f t="shared" si="115"/>
        <v>507</v>
      </c>
      <c r="Y648" s="12">
        <v>0</v>
      </c>
      <c r="Z648" s="25">
        <v>100</v>
      </c>
      <c r="AA648" s="25">
        <v>150</v>
      </c>
      <c r="AB648" s="25">
        <v>0</v>
      </c>
      <c r="AC648" s="25">
        <v>0</v>
      </c>
      <c r="AD648" s="25">
        <v>0</v>
      </c>
      <c r="AE648" s="25">
        <f t="shared" si="116"/>
        <v>308</v>
      </c>
      <c r="AF648" s="25">
        <f t="shared" si="117"/>
        <v>308</v>
      </c>
      <c r="AG648" s="25">
        <v>0</v>
      </c>
      <c r="AH648" s="25">
        <f t="shared" si="118"/>
        <v>2800</v>
      </c>
      <c r="AI648" s="25">
        <f t="shared" si="119"/>
        <v>20</v>
      </c>
      <c r="AJ648" s="25">
        <v>1</v>
      </c>
      <c r="AK648" s="25">
        <v>1000</v>
      </c>
      <c r="AL648" s="25">
        <v>100</v>
      </c>
      <c r="AM648" s="26">
        <v>10</v>
      </c>
      <c r="AN648" s="26">
        <v>10</v>
      </c>
      <c r="AO648" s="22" t="s">
        <v>2211</v>
      </c>
      <c r="AP648" s="26">
        <v>0</v>
      </c>
      <c r="AQ648" s="26">
        <f t="shared" si="120"/>
        <v>350</v>
      </c>
      <c r="AR648" s="18" t="str">
        <f ca="1">CONCATENATE(OFFSET(Sheet1!$A$2,RANDBETWEEN(2,500),0,1,1),OFFSET(Sheet1!$A$2,RANDBETWEEN(2,500),RANDBETWEEN(1,5),1,1))</f>
        <v>福斯特</v>
      </c>
      <c r="AS648">
        <f>SUMPRODUCT(P648:AI648,Sheet2!$B$3:$U$3)</f>
        <v>89052</v>
      </c>
    </row>
    <row r="649" spans="1:45" x14ac:dyDescent="0.15">
      <c r="A649" s="23">
        <v>648</v>
      </c>
      <c r="B649" s="18" t="s">
        <v>1034</v>
      </c>
      <c r="C649" s="18">
        <f t="shared" si="110"/>
        <v>154</v>
      </c>
      <c r="D649" s="19">
        <f t="shared" si="111"/>
        <v>2</v>
      </c>
      <c r="E649" s="19">
        <f>VLOOKUP(MOD(A649,4),各职业基础配置!C$32:D$35,2,FALSE)</f>
        <v>1</v>
      </c>
      <c r="F649" s="19">
        <f>IF(A649&lt;900,INDEX(各职业基础配置!C$23:C$28,MOD(ROW(A649),4)+1),0)</f>
        <v>13</v>
      </c>
      <c r="G649" s="19">
        <f t="shared" si="112"/>
        <v>13</v>
      </c>
      <c r="H649" s="27">
        <f t="shared" si="113"/>
        <v>2</v>
      </c>
      <c r="I649" s="6" t="s">
        <v>164</v>
      </c>
      <c r="J649" s="23" t="str">
        <f>VLOOKUP(E649,各职业基础配置!$B$9:$C$12,2,FALSE)</f>
        <v>101|102|103|4201|105</v>
      </c>
      <c r="K649" s="18" t="str">
        <f>VLOOKUP(E649,各职业基础配置!$B$15:$C$18,2,FALSE)</f>
        <v>24|25|26|27</v>
      </c>
      <c r="L649" s="18" t="str">
        <f>VLOOKUP(E649,各职业基础配置!B:C,2,FALSE)</f>
        <v>[{24,1,1},{25,1,1},{26,1,1},{27,1,1},{1,1,1},{2,1,1},{3,1,1}]</v>
      </c>
      <c r="M649" s="18">
        <v>0</v>
      </c>
      <c r="N649" s="18">
        <f t="shared" si="114"/>
        <v>3</v>
      </c>
      <c r="O649" s="18">
        <f>SUMPRODUCT(P649:AI649,Sheet2!$B$3:$U$3)</f>
        <v>89027</v>
      </c>
      <c r="P649" s="18">
        <f>CEILING(INDEX([1]系统模型!$VD:$VD,MATCH(C649,[1]系统模型!$A:$A,0))*POWER(C649/220,3.8)-50+(1000-A649),1)</f>
        <v>1562</v>
      </c>
      <c r="Q649" s="18">
        <f>CEILING(INDEX([1]系统模型!$VE:$VE,MATCH(C649,[1]系统模型!$A:$A,0))*POWER(C649/220,4),1)</f>
        <v>147</v>
      </c>
      <c r="R649" s="18">
        <f>INT(INDEX([1]系统模型!$VF:$VF,MATCH(C649,[1]系统模型!$A:$A,0))*MAX(POWER(C649/180,4),0.5))</f>
        <v>10152</v>
      </c>
      <c r="S649" s="5">
        <v>1000</v>
      </c>
      <c r="T649" s="25">
        <v>0</v>
      </c>
      <c r="U649" s="25">
        <v>0</v>
      </c>
      <c r="V649" s="25">
        <v>0</v>
      </c>
      <c r="W649" s="25">
        <v>0</v>
      </c>
      <c r="X649" s="25">
        <f t="shared" si="115"/>
        <v>507</v>
      </c>
      <c r="Y649" s="12">
        <v>0</v>
      </c>
      <c r="Z649" s="25">
        <v>100</v>
      </c>
      <c r="AA649" s="25">
        <v>150</v>
      </c>
      <c r="AB649" s="25">
        <v>0</v>
      </c>
      <c r="AC649" s="25">
        <v>0</v>
      </c>
      <c r="AD649" s="25">
        <v>0</v>
      </c>
      <c r="AE649" s="25">
        <f t="shared" si="116"/>
        <v>308</v>
      </c>
      <c r="AF649" s="25">
        <f t="shared" si="117"/>
        <v>308</v>
      </c>
      <c r="AG649" s="25">
        <v>0</v>
      </c>
      <c r="AH649" s="25">
        <f t="shared" si="118"/>
        <v>2800</v>
      </c>
      <c r="AI649" s="25">
        <f t="shared" si="119"/>
        <v>20</v>
      </c>
      <c r="AJ649" s="25">
        <v>1</v>
      </c>
      <c r="AK649" s="25">
        <v>1000</v>
      </c>
      <c r="AL649" s="25">
        <v>100</v>
      </c>
      <c r="AM649" s="26">
        <v>10</v>
      </c>
      <c r="AN649" s="26">
        <v>10</v>
      </c>
      <c r="AO649" s="22" t="s">
        <v>2211</v>
      </c>
      <c r="AP649" s="26">
        <v>0</v>
      </c>
      <c r="AQ649" s="26">
        <f t="shared" si="120"/>
        <v>340</v>
      </c>
      <c r="AR649" s="18" t="str">
        <f ca="1">CONCATENATE(OFFSET(Sheet1!$A$2,RANDBETWEEN(2,500),0,1,1),OFFSET(Sheet1!$A$2,RANDBETWEEN(2,500),RANDBETWEEN(1,5),1,1))</f>
        <v>詹理斯</v>
      </c>
      <c r="AS649">
        <f>SUMPRODUCT(P649:AI649,Sheet2!$B$3:$U$3)</f>
        <v>89027</v>
      </c>
    </row>
    <row r="650" spans="1:45" x14ac:dyDescent="0.15">
      <c r="A650" s="18">
        <v>649</v>
      </c>
      <c r="B650" s="18" t="s">
        <v>1092</v>
      </c>
      <c r="C650" s="18">
        <f t="shared" si="110"/>
        <v>153</v>
      </c>
      <c r="D650" s="19">
        <f t="shared" si="111"/>
        <v>3</v>
      </c>
      <c r="E650" s="19">
        <f>VLOOKUP(MOD(A650,4),各职业基础配置!C$32:D$35,2,FALSE)</f>
        <v>3</v>
      </c>
      <c r="F650" s="19">
        <f>IF(A650&lt;900,INDEX(各职业基础配置!C$23:C$28,MOD(ROW(A650),4)+1),0)</f>
        <v>14</v>
      </c>
      <c r="G650" s="19">
        <f t="shared" si="112"/>
        <v>13</v>
      </c>
      <c r="H650" s="27">
        <f t="shared" si="113"/>
        <v>2</v>
      </c>
      <c r="I650" s="6" t="s">
        <v>164</v>
      </c>
      <c r="J650" s="23" t="str">
        <f>VLOOKUP(E650,各职业基础配置!$B$9:$C$12,2,FALSE)</f>
        <v>106|107|108|4201|110</v>
      </c>
      <c r="K650" s="18" t="str">
        <f>VLOOKUP(E650,各职业基础配置!$B$15:$C$18,2,FALSE)</f>
        <v>20|21|22|23</v>
      </c>
      <c r="L650" s="18" t="str">
        <f>VLOOKUP(E650,各职业基础配置!B:C,2,FALSE)</f>
        <v>[{20,1,1},{21,1,1},{22,1,1},{23,1,1},{4,1,1},{5,1,1},{6,1,1}]</v>
      </c>
      <c r="M650" s="18">
        <v>0</v>
      </c>
      <c r="N650" s="18">
        <f t="shared" si="114"/>
        <v>7</v>
      </c>
      <c r="O650" s="18">
        <f>SUMPRODUCT(P650:AI650,Sheet2!$B$3:$U$3)</f>
        <v>87132</v>
      </c>
      <c r="P650" s="18">
        <f>CEILING(INDEX([1]系统模型!$VD:$VD,MATCH(C650,[1]系统模型!$A:$A,0))*POWER(C650/220,3.8)-50+(1000-A650),1)</f>
        <v>1525</v>
      </c>
      <c r="Q650" s="18">
        <f>CEILING(INDEX([1]系统模型!$VE:$VE,MATCH(C650,[1]系统模型!$A:$A,0))*POWER(C650/220,4),1)</f>
        <v>141</v>
      </c>
      <c r="R650" s="18">
        <f>INT(INDEX([1]系统模型!$VF:$VF,MATCH(C650,[1]系统模型!$A:$A,0))*MAX(POWER(C650/180,4),0.5))</f>
        <v>9807</v>
      </c>
      <c r="S650" s="5">
        <v>1000</v>
      </c>
      <c r="T650" s="25">
        <v>0</v>
      </c>
      <c r="U650" s="25">
        <v>0</v>
      </c>
      <c r="V650" s="25">
        <v>0</v>
      </c>
      <c r="W650" s="25">
        <v>0</v>
      </c>
      <c r="X650" s="25">
        <f t="shared" si="115"/>
        <v>490</v>
      </c>
      <c r="Y650" s="12">
        <v>0</v>
      </c>
      <c r="Z650" s="25">
        <v>100</v>
      </c>
      <c r="AA650" s="25">
        <v>150</v>
      </c>
      <c r="AB650" s="25">
        <v>0</v>
      </c>
      <c r="AC650" s="25">
        <v>0</v>
      </c>
      <c r="AD650" s="25">
        <v>0</v>
      </c>
      <c r="AE650" s="25">
        <f t="shared" si="116"/>
        <v>306</v>
      </c>
      <c r="AF650" s="25">
        <f t="shared" si="117"/>
        <v>306</v>
      </c>
      <c r="AG650" s="25">
        <v>0</v>
      </c>
      <c r="AH650" s="25">
        <f t="shared" si="118"/>
        <v>2725</v>
      </c>
      <c r="AI650" s="25">
        <f t="shared" si="119"/>
        <v>20</v>
      </c>
      <c r="AJ650" s="25">
        <v>1</v>
      </c>
      <c r="AK650" s="25">
        <v>1000</v>
      </c>
      <c r="AL650" s="25">
        <v>100</v>
      </c>
      <c r="AM650" s="26">
        <v>10</v>
      </c>
      <c r="AN650" s="26">
        <v>10</v>
      </c>
      <c r="AO650" s="22" t="s">
        <v>2211</v>
      </c>
      <c r="AP650" s="26">
        <v>0</v>
      </c>
      <c r="AQ650" s="26">
        <f t="shared" si="120"/>
        <v>340</v>
      </c>
      <c r="AR650" s="18" t="str">
        <f ca="1">CONCATENATE(OFFSET(Sheet1!$A$2,RANDBETWEEN(2,500),0,1,1),OFFSET(Sheet1!$A$2,RANDBETWEEN(2,500),RANDBETWEEN(1,5),1,1))</f>
        <v>伯克丽影</v>
      </c>
      <c r="AS650">
        <f>SUMPRODUCT(P650:AI650,Sheet2!$B$3:$U$3)</f>
        <v>87132</v>
      </c>
    </row>
    <row r="651" spans="1:45" x14ac:dyDescent="0.15">
      <c r="A651" s="18">
        <v>650</v>
      </c>
      <c r="B651" s="18" t="s">
        <v>2079</v>
      </c>
      <c r="C651" s="18">
        <f t="shared" si="110"/>
        <v>153</v>
      </c>
      <c r="D651" s="19">
        <f t="shared" si="111"/>
        <v>2</v>
      </c>
      <c r="E651" s="19">
        <f>VLOOKUP(MOD(A651,4),各职业基础配置!C$32:D$35,2,FALSE)</f>
        <v>6</v>
      </c>
      <c r="F651" s="19">
        <f>IF(A651&lt;900,INDEX(各职业基础配置!C$23:C$28,MOD(ROW(A651),4)+1),0)</f>
        <v>16</v>
      </c>
      <c r="G651" s="19">
        <f t="shared" si="112"/>
        <v>13</v>
      </c>
      <c r="H651" s="27">
        <f t="shared" si="113"/>
        <v>2</v>
      </c>
      <c r="I651" s="6" t="s">
        <v>164</v>
      </c>
      <c r="J651" s="23" t="str">
        <f>VLOOKUP(E651,各职业基础配置!$B$9:$C$12,2,FALSE)</f>
        <v>111|112|113|4201|115</v>
      </c>
      <c r="K651" s="18" t="str">
        <f>VLOOKUP(E651,各职业基础配置!$B$15:$C$18,2,FALSE)</f>
        <v>32|33|34</v>
      </c>
      <c r="L651" s="18" t="str">
        <f>VLOOKUP(E651,各职业基础配置!B:C,2,FALSE)</f>
        <v>[{32,1,1},{33,1,1},{34,1,1},{35,1,1},{7,1,1},{8,1,1},{9,1,1}]</v>
      </c>
      <c r="M651" s="18">
        <v>0</v>
      </c>
      <c r="N651" s="18">
        <f t="shared" si="114"/>
        <v>7</v>
      </c>
      <c r="O651" s="18">
        <f>SUMPRODUCT(P651:AI651,Sheet2!$B$3:$U$3)</f>
        <v>87107</v>
      </c>
      <c r="P651" s="18">
        <f>CEILING(INDEX([1]系统模型!$VD:$VD,MATCH(C651,[1]系统模型!$A:$A,0))*POWER(C651/220,3.8)-50+(1000-A651),1)</f>
        <v>1524</v>
      </c>
      <c r="Q651" s="18">
        <f>CEILING(INDEX([1]系统模型!$VE:$VE,MATCH(C651,[1]系统模型!$A:$A,0))*POWER(C651/220,4),1)</f>
        <v>141</v>
      </c>
      <c r="R651" s="18">
        <f>INT(INDEX([1]系统模型!$VF:$VF,MATCH(C651,[1]系统模型!$A:$A,0))*MAX(POWER(C651/180,4),0.5))</f>
        <v>9807</v>
      </c>
      <c r="S651" s="5">
        <v>1000</v>
      </c>
      <c r="T651" s="25">
        <v>0</v>
      </c>
      <c r="U651" s="25">
        <v>0</v>
      </c>
      <c r="V651" s="25">
        <v>0</v>
      </c>
      <c r="W651" s="25">
        <v>0</v>
      </c>
      <c r="X651" s="25">
        <f t="shared" si="115"/>
        <v>490</v>
      </c>
      <c r="Y651" s="12">
        <v>0</v>
      </c>
      <c r="Z651" s="25">
        <v>100</v>
      </c>
      <c r="AA651" s="25">
        <v>150</v>
      </c>
      <c r="AB651" s="25">
        <v>0</v>
      </c>
      <c r="AC651" s="25">
        <v>0</v>
      </c>
      <c r="AD651" s="25">
        <v>0</v>
      </c>
      <c r="AE651" s="25">
        <f t="shared" si="116"/>
        <v>306</v>
      </c>
      <c r="AF651" s="25">
        <f t="shared" si="117"/>
        <v>306</v>
      </c>
      <c r="AG651" s="25">
        <v>0</v>
      </c>
      <c r="AH651" s="25">
        <f t="shared" si="118"/>
        <v>2725</v>
      </c>
      <c r="AI651" s="25">
        <f t="shared" si="119"/>
        <v>20</v>
      </c>
      <c r="AJ651" s="25">
        <v>1</v>
      </c>
      <c r="AK651" s="25">
        <v>1000</v>
      </c>
      <c r="AL651" s="25">
        <v>100</v>
      </c>
      <c r="AM651" s="26">
        <v>10</v>
      </c>
      <c r="AN651" s="26">
        <v>10</v>
      </c>
      <c r="AO651" s="22" t="s">
        <v>2211</v>
      </c>
      <c r="AP651" s="26">
        <v>0</v>
      </c>
      <c r="AQ651" s="26">
        <f t="shared" si="120"/>
        <v>340</v>
      </c>
      <c r="AR651" s="18" t="str">
        <f ca="1">CONCATENATE(OFFSET(Sheet1!$A$2,RANDBETWEEN(2,500),0,1,1),OFFSET(Sheet1!$A$2,RANDBETWEEN(2,500),RANDBETWEEN(1,5),1,1))</f>
        <v>科菲</v>
      </c>
      <c r="AS651">
        <f>SUMPRODUCT(P651:AI651,Sheet2!$B$3:$U$3)</f>
        <v>87107</v>
      </c>
    </row>
    <row r="652" spans="1:45" x14ac:dyDescent="0.15">
      <c r="A652" s="23">
        <v>651</v>
      </c>
      <c r="B652" s="18" t="s">
        <v>1372</v>
      </c>
      <c r="C652" s="18">
        <f t="shared" si="110"/>
        <v>153</v>
      </c>
      <c r="D652" s="19">
        <f t="shared" si="111"/>
        <v>3</v>
      </c>
      <c r="E652" s="19">
        <f>VLOOKUP(MOD(A652,4),各职业基础配置!C$32:D$35,2,FALSE)</f>
        <v>9</v>
      </c>
      <c r="F652" s="19">
        <f>IF(A652&lt;900,INDEX(各职业基础配置!C$23:C$28,MOD(ROW(A652),4)+1),0)</f>
        <v>8</v>
      </c>
      <c r="G652" s="19">
        <f t="shared" si="112"/>
        <v>13</v>
      </c>
      <c r="H652" s="27">
        <f t="shared" si="113"/>
        <v>2</v>
      </c>
      <c r="I652" s="6" t="s">
        <v>164</v>
      </c>
      <c r="J652" s="23" t="str">
        <f>VLOOKUP(E652,各职业基础配置!$B$9:$C$12,2,FALSE)</f>
        <v>116|117|118|4201|120</v>
      </c>
      <c r="K652" s="18" t="str">
        <f>VLOOKUP(E652,各职业基础配置!$B$15:$C$18,2,FALSE)</f>
        <v>28|29|30|31</v>
      </c>
      <c r="L652" s="18" t="str">
        <f>VLOOKUP(E652,各职业基础配置!B:C,2,FALSE)</f>
        <v>[{28,1,1},{29,1,1},{30,1,1},{31,1,1},{10,1,1},{11,1,1},{12,1,1}]</v>
      </c>
      <c r="M652" s="18">
        <v>0</v>
      </c>
      <c r="N652" s="18">
        <f t="shared" si="114"/>
        <v>3</v>
      </c>
      <c r="O652" s="18">
        <f>SUMPRODUCT(P652:AI652,Sheet2!$B$3:$U$3)</f>
        <v>87082</v>
      </c>
      <c r="P652" s="18">
        <f>CEILING(INDEX([1]系统模型!$VD:$VD,MATCH(C652,[1]系统模型!$A:$A,0))*POWER(C652/220,3.8)-50+(1000-A652),1)</f>
        <v>1523</v>
      </c>
      <c r="Q652" s="18">
        <f>CEILING(INDEX([1]系统模型!$VE:$VE,MATCH(C652,[1]系统模型!$A:$A,0))*POWER(C652/220,4),1)</f>
        <v>141</v>
      </c>
      <c r="R652" s="18">
        <f>INT(INDEX([1]系统模型!$VF:$VF,MATCH(C652,[1]系统模型!$A:$A,0))*MAX(POWER(C652/180,4),0.5))</f>
        <v>9807</v>
      </c>
      <c r="S652" s="5">
        <v>1000</v>
      </c>
      <c r="T652" s="25">
        <v>0</v>
      </c>
      <c r="U652" s="25">
        <v>0</v>
      </c>
      <c r="V652" s="25">
        <v>0</v>
      </c>
      <c r="W652" s="25">
        <v>0</v>
      </c>
      <c r="X652" s="25">
        <f t="shared" si="115"/>
        <v>490</v>
      </c>
      <c r="Y652" s="12">
        <v>0</v>
      </c>
      <c r="Z652" s="25">
        <v>100</v>
      </c>
      <c r="AA652" s="25">
        <v>150</v>
      </c>
      <c r="AB652" s="25">
        <v>0</v>
      </c>
      <c r="AC652" s="25">
        <v>0</v>
      </c>
      <c r="AD652" s="25">
        <v>0</v>
      </c>
      <c r="AE652" s="25">
        <f t="shared" si="116"/>
        <v>306</v>
      </c>
      <c r="AF652" s="25">
        <f t="shared" si="117"/>
        <v>306</v>
      </c>
      <c r="AG652" s="25">
        <v>0</v>
      </c>
      <c r="AH652" s="25">
        <f t="shared" si="118"/>
        <v>2725</v>
      </c>
      <c r="AI652" s="25">
        <f t="shared" si="119"/>
        <v>20</v>
      </c>
      <c r="AJ652" s="25">
        <v>1</v>
      </c>
      <c r="AK652" s="25">
        <v>1000</v>
      </c>
      <c r="AL652" s="25">
        <v>100</v>
      </c>
      <c r="AM652" s="26">
        <v>10</v>
      </c>
      <c r="AN652" s="26">
        <v>10</v>
      </c>
      <c r="AO652" s="22" t="s">
        <v>2211</v>
      </c>
      <c r="AP652" s="26">
        <v>0</v>
      </c>
      <c r="AQ652" s="26">
        <f t="shared" si="120"/>
        <v>340</v>
      </c>
      <c r="AR652" s="18" t="str">
        <f ca="1">CONCATENATE(OFFSET(Sheet1!$A$2,RANDBETWEEN(2,500),0,1,1),OFFSET(Sheet1!$A$2,RANDBETWEEN(2,500),RANDBETWEEN(1,5),1,1))</f>
        <v>菲尔德</v>
      </c>
      <c r="AS652">
        <f>SUMPRODUCT(P652:AI652,Sheet2!$B$3:$U$3)</f>
        <v>87082</v>
      </c>
    </row>
    <row r="653" spans="1:45" x14ac:dyDescent="0.15">
      <c r="A653" s="18">
        <v>652</v>
      </c>
      <c r="B653" s="18" t="s">
        <v>2080</v>
      </c>
      <c r="C653" s="18">
        <f t="shared" si="110"/>
        <v>153</v>
      </c>
      <c r="D653" s="19">
        <f t="shared" si="111"/>
        <v>2</v>
      </c>
      <c r="E653" s="19">
        <f>VLOOKUP(MOD(A653,4),各职业基础配置!C$32:D$35,2,FALSE)</f>
        <v>1</v>
      </c>
      <c r="F653" s="19">
        <f>IF(A653&lt;900,INDEX(各职业基础配置!C$23:C$28,MOD(ROW(A653),4)+1),0)</f>
        <v>13</v>
      </c>
      <c r="G653" s="19">
        <f t="shared" si="112"/>
        <v>13</v>
      </c>
      <c r="H653" s="27">
        <f t="shared" si="113"/>
        <v>2</v>
      </c>
      <c r="I653" s="6" t="s">
        <v>164</v>
      </c>
      <c r="J653" s="23" t="str">
        <f>VLOOKUP(E653,各职业基础配置!$B$9:$C$12,2,FALSE)</f>
        <v>101|102|103|4201|105</v>
      </c>
      <c r="K653" s="18" t="str">
        <f>VLOOKUP(E653,各职业基础配置!$B$15:$C$18,2,FALSE)</f>
        <v>24|25|26|27</v>
      </c>
      <c r="L653" s="18" t="str">
        <f>VLOOKUP(E653,各职业基础配置!B:C,2,FALSE)</f>
        <v>[{24,1,1},{25,1,1},{26,1,1},{27,1,1},{1,1,1},{2,1,1},{3,1,1}]</v>
      </c>
      <c r="M653" s="18">
        <v>0</v>
      </c>
      <c r="N653" s="18">
        <f t="shared" si="114"/>
        <v>3</v>
      </c>
      <c r="O653" s="18">
        <f>SUMPRODUCT(P653:AI653,Sheet2!$B$3:$U$3)</f>
        <v>87057</v>
      </c>
      <c r="P653" s="18">
        <f>CEILING(INDEX([1]系统模型!$VD:$VD,MATCH(C653,[1]系统模型!$A:$A,0))*POWER(C653/220,3.8)-50+(1000-A653),1)</f>
        <v>1522</v>
      </c>
      <c r="Q653" s="18">
        <f>CEILING(INDEX([1]系统模型!$VE:$VE,MATCH(C653,[1]系统模型!$A:$A,0))*POWER(C653/220,4),1)</f>
        <v>141</v>
      </c>
      <c r="R653" s="18">
        <f>INT(INDEX([1]系统模型!$VF:$VF,MATCH(C653,[1]系统模型!$A:$A,0))*MAX(POWER(C653/180,4),0.5))</f>
        <v>9807</v>
      </c>
      <c r="S653" s="5">
        <v>1000</v>
      </c>
      <c r="T653" s="25">
        <v>0</v>
      </c>
      <c r="U653" s="25">
        <v>0</v>
      </c>
      <c r="V653" s="25">
        <v>0</v>
      </c>
      <c r="W653" s="25">
        <v>0</v>
      </c>
      <c r="X653" s="25">
        <f t="shared" si="115"/>
        <v>490</v>
      </c>
      <c r="Y653" s="12">
        <v>0</v>
      </c>
      <c r="Z653" s="25">
        <v>100</v>
      </c>
      <c r="AA653" s="25">
        <v>150</v>
      </c>
      <c r="AB653" s="25">
        <v>0</v>
      </c>
      <c r="AC653" s="25">
        <v>0</v>
      </c>
      <c r="AD653" s="25">
        <v>0</v>
      </c>
      <c r="AE653" s="25">
        <f t="shared" si="116"/>
        <v>306</v>
      </c>
      <c r="AF653" s="25">
        <f t="shared" si="117"/>
        <v>306</v>
      </c>
      <c r="AG653" s="25">
        <v>0</v>
      </c>
      <c r="AH653" s="25">
        <f t="shared" si="118"/>
        <v>2725</v>
      </c>
      <c r="AI653" s="25">
        <f t="shared" si="119"/>
        <v>20</v>
      </c>
      <c r="AJ653" s="25">
        <v>1</v>
      </c>
      <c r="AK653" s="25">
        <v>1000</v>
      </c>
      <c r="AL653" s="25">
        <v>100</v>
      </c>
      <c r="AM653" s="26">
        <v>10</v>
      </c>
      <c r="AN653" s="26">
        <v>10</v>
      </c>
      <c r="AO653" s="22" t="s">
        <v>2211</v>
      </c>
      <c r="AP653" s="26">
        <v>0</v>
      </c>
      <c r="AQ653" s="26">
        <f t="shared" si="120"/>
        <v>340</v>
      </c>
      <c r="AR653" s="18" t="str">
        <f ca="1">CONCATENATE(OFFSET(Sheet1!$A$2,RANDBETWEEN(2,500),0,1,1),OFFSET(Sheet1!$A$2,RANDBETWEEN(2,500),RANDBETWEEN(1,5),1,1))</f>
        <v>阿特利莎曼撤</v>
      </c>
      <c r="AS653">
        <f>SUMPRODUCT(P653:AI653,Sheet2!$B$3:$U$3)</f>
        <v>87057</v>
      </c>
    </row>
    <row r="654" spans="1:45" x14ac:dyDescent="0.15">
      <c r="A654" s="18">
        <v>653</v>
      </c>
      <c r="B654" s="18" t="s">
        <v>2081</v>
      </c>
      <c r="C654" s="18">
        <f t="shared" si="110"/>
        <v>153</v>
      </c>
      <c r="D654" s="19">
        <f t="shared" si="111"/>
        <v>3</v>
      </c>
      <c r="E654" s="19">
        <f>VLOOKUP(MOD(A654,4),各职业基础配置!C$32:D$35,2,FALSE)</f>
        <v>3</v>
      </c>
      <c r="F654" s="19">
        <f>IF(A654&lt;900,INDEX(各职业基础配置!C$23:C$28,MOD(ROW(A654),4)+1),0)</f>
        <v>14</v>
      </c>
      <c r="G654" s="19">
        <f t="shared" si="112"/>
        <v>13</v>
      </c>
      <c r="H654" s="27">
        <f t="shared" si="113"/>
        <v>2</v>
      </c>
      <c r="I654" s="6" t="s">
        <v>164</v>
      </c>
      <c r="J654" s="23" t="str">
        <f>VLOOKUP(E654,各职业基础配置!$B$9:$C$12,2,FALSE)</f>
        <v>106|107|108|4201|110</v>
      </c>
      <c r="K654" s="18" t="str">
        <f>VLOOKUP(E654,各职业基础配置!$B$15:$C$18,2,FALSE)</f>
        <v>20|21|22|23</v>
      </c>
      <c r="L654" s="18" t="str">
        <f>VLOOKUP(E654,各职业基础配置!B:C,2,FALSE)</f>
        <v>[{20,1,1},{21,1,1},{22,1,1},{23,1,1},{4,1,1},{5,1,1},{6,1,1}]</v>
      </c>
      <c r="M654" s="18">
        <v>0</v>
      </c>
      <c r="N654" s="18">
        <f t="shared" si="114"/>
        <v>7</v>
      </c>
      <c r="O654" s="18">
        <f>SUMPRODUCT(P654:AI654,Sheet2!$B$3:$U$3)</f>
        <v>87032</v>
      </c>
      <c r="P654" s="18">
        <f>CEILING(INDEX([1]系统模型!$VD:$VD,MATCH(C654,[1]系统模型!$A:$A,0))*POWER(C654/220,3.8)-50+(1000-A654),1)</f>
        <v>1521</v>
      </c>
      <c r="Q654" s="18">
        <f>CEILING(INDEX([1]系统模型!$VE:$VE,MATCH(C654,[1]系统模型!$A:$A,0))*POWER(C654/220,4),1)</f>
        <v>141</v>
      </c>
      <c r="R654" s="18">
        <f>INT(INDEX([1]系统模型!$VF:$VF,MATCH(C654,[1]系统模型!$A:$A,0))*MAX(POWER(C654/180,4),0.5))</f>
        <v>9807</v>
      </c>
      <c r="S654" s="5">
        <v>1000</v>
      </c>
      <c r="T654" s="25">
        <v>0</v>
      </c>
      <c r="U654" s="25">
        <v>0</v>
      </c>
      <c r="V654" s="25">
        <v>0</v>
      </c>
      <c r="W654" s="25">
        <v>0</v>
      </c>
      <c r="X654" s="25">
        <f t="shared" si="115"/>
        <v>490</v>
      </c>
      <c r="Y654" s="12">
        <v>0</v>
      </c>
      <c r="Z654" s="25">
        <v>100</v>
      </c>
      <c r="AA654" s="25">
        <v>150</v>
      </c>
      <c r="AB654" s="25">
        <v>0</v>
      </c>
      <c r="AC654" s="25">
        <v>0</v>
      </c>
      <c r="AD654" s="25">
        <v>0</v>
      </c>
      <c r="AE654" s="25">
        <f t="shared" si="116"/>
        <v>306</v>
      </c>
      <c r="AF654" s="25">
        <f t="shared" si="117"/>
        <v>306</v>
      </c>
      <c r="AG654" s="25">
        <v>0</v>
      </c>
      <c r="AH654" s="25">
        <f t="shared" si="118"/>
        <v>2725</v>
      </c>
      <c r="AI654" s="25">
        <f t="shared" si="119"/>
        <v>20</v>
      </c>
      <c r="AJ654" s="25">
        <v>1</v>
      </c>
      <c r="AK654" s="25">
        <v>1000</v>
      </c>
      <c r="AL654" s="25">
        <v>100</v>
      </c>
      <c r="AM654" s="26">
        <v>10</v>
      </c>
      <c r="AN654" s="26">
        <v>10</v>
      </c>
      <c r="AO654" s="22" t="s">
        <v>2211</v>
      </c>
      <c r="AP654" s="26">
        <v>0</v>
      </c>
      <c r="AQ654" s="26">
        <f t="shared" si="120"/>
        <v>340</v>
      </c>
      <c r="AR654" s="18" t="str">
        <f ca="1">CONCATENATE(OFFSET(Sheet1!$A$2,RANDBETWEEN(2,500),0,1,1),OFFSET(Sheet1!$A$2,RANDBETWEEN(2,500),RANDBETWEEN(1,5),1,1))</f>
        <v>库珀</v>
      </c>
      <c r="AS654">
        <f>SUMPRODUCT(P654:AI654,Sheet2!$B$3:$U$3)</f>
        <v>87032</v>
      </c>
    </row>
    <row r="655" spans="1:45" x14ac:dyDescent="0.15">
      <c r="A655" s="23">
        <v>654</v>
      </c>
      <c r="B655" s="18" t="s">
        <v>417</v>
      </c>
      <c r="C655" s="18">
        <f t="shared" si="110"/>
        <v>153</v>
      </c>
      <c r="D655" s="19">
        <f t="shared" si="111"/>
        <v>2</v>
      </c>
      <c r="E655" s="19">
        <f>VLOOKUP(MOD(A655,4),各职业基础配置!C$32:D$35,2,FALSE)</f>
        <v>6</v>
      </c>
      <c r="F655" s="19">
        <f>IF(A655&lt;900,INDEX(各职业基础配置!C$23:C$28,MOD(ROW(A655),4)+1),0)</f>
        <v>16</v>
      </c>
      <c r="G655" s="19">
        <f t="shared" si="112"/>
        <v>13</v>
      </c>
      <c r="H655" s="27">
        <f t="shared" si="113"/>
        <v>2</v>
      </c>
      <c r="I655" s="6" t="s">
        <v>164</v>
      </c>
      <c r="J655" s="23" t="str">
        <f>VLOOKUP(E655,各职业基础配置!$B$9:$C$12,2,FALSE)</f>
        <v>111|112|113|4201|115</v>
      </c>
      <c r="K655" s="18" t="str">
        <f>VLOOKUP(E655,各职业基础配置!$B$15:$C$18,2,FALSE)</f>
        <v>32|33|34</v>
      </c>
      <c r="L655" s="18" t="str">
        <f>VLOOKUP(E655,各职业基础配置!B:C,2,FALSE)</f>
        <v>[{32,1,1},{33,1,1},{34,1,1},{35,1,1},{7,1,1},{8,1,1},{9,1,1}]</v>
      </c>
      <c r="M655" s="18">
        <v>0</v>
      </c>
      <c r="N655" s="18">
        <f t="shared" si="114"/>
        <v>7</v>
      </c>
      <c r="O655" s="18">
        <f>SUMPRODUCT(P655:AI655,Sheet2!$B$3:$U$3)</f>
        <v>87007</v>
      </c>
      <c r="P655" s="18">
        <f>CEILING(INDEX([1]系统模型!$VD:$VD,MATCH(C655,[1]系统模型!$A:$A,0))*POWER(C655/220,3.8)-50+(1000-A655),1)</f>
        <v>1520</v>
      </c>
      <c r="Q655" s="18">
        <f>CEILING(INDEX([1]系统模型!$VE:$VE,MATCH(C655,[1]系统模型!$A:$A,0))*POWER(C655/220,4),1)</f>
        <v>141</v>
      </c>
      <c r="R655" s="18">
        <f>INT(INDEX([1]系统模型!$VF:$VF,MATCH(C655,[1]系统模型!$A:$A,0))*MAX(POWER(C655/180,4),0.5))</f>
        <v>9807</v>
      </c>
      <c r="S655" s="5">
        <v>1000</v>
      </c>
      <c r="T655" s="25">
        <v>0</v>
      </c>
      <c r="U655" s="25">
        <v>0</v>
      </c>
      <c r="V655" s="25">
        <v>0</v>
      </c>
      <c r="W655" s="25">
        <v>0</v>
      </c>
      <c r="X655" s="25">
        <f t="shared" si="115"/>
        <v>490</v>
      </c>
      <c r="Y655" s="12">
        <v>0</v>
      </c>
      <c r="Z655" s="25">
        <v>100</v>
      </c>
      <c r="AA655" s="25">
        <v>150</v>
      </c>
      <c r="AB655" s="25">
        <v>0</v>
      </c>
      <c r="AC655" s="25">
        <v>0</v>
      </c>
      <c r="AD655" s="25">
        <v>0</v>
      </c>
      <c r="AE655" s="25">
        <f t="shared" si="116"/>
        <v>306</v>
      </c>
      <c r="AF655" s="25">
        <f t="shared" si="117"/>
        <v>306</v>
      </c>
      <c r="AG655" s="25">
        <v>0</v>
      </c>
      <c r="AH655" s="25">
        <f t="shared" si="118"/>
        <v>2725</v>
      </c>
      <c r="AI655" s="25">
        <f t="shared" si="119"/>
        <v>20</v>
      </c>
      <c r="AJ655" s="25">
        <v>1</v>
      </c>
      <c r="AK655" s="25">
        <v>1000</v>
      </c>
      <c r="AL655" s="25">
        <v>100</v>
      </c>
      <c r="AM655" s="26">
        <v>10</v>
      </c>
      <c r="AN655" s="26">
        <v>10</v>
      </c>
      <c r="AO655" s="22" t="s">
        <v>2211</v>
      </c>
      <c r="AP655" s="26">
        <v>0</v>
      </c>
      <c r="AQ655" s="26">
        <f t="shared" si="120"/>
        <v>340</v>
      </c>
      <c r="AR655" s="18" t="str">
        <f ca="1">CONCATENATE(OFFSET(Sheet1!$A$2,RANDBETWEEN(2,500),0,1,1),OFFSET(Sheet1!$A$2,RANDBETWEEN(2,500),RANDBETWEEN(1,5),1,1))</f>
        <v>白壁德羽毛</v>
      </c>
      <c r="AS655">
        <f>SUMPRODUCT(P655:AI655,Sheet2!$B$3:$U$3)</f>
        <v>87007</v>
      </c>
    </row>
    <row r="656" spans="1:45" x14ac:dyDescent="0.15">
      <c r="A656" s="18">
        <v>655</v>
      </c>
      <c r="B656" s="18" t="s">
        <v>2082</v>
      </c>
      <c r="C656" s="18">
        <f t="shared" si="110"/>
        <v>153</v>
      </c>
      <c r="D656" s="19">
        <f t="shared" si="111"/>
        <v>3</v>
      </c>
      <c r="E656" s="19">
        <f>VLOOKUP(MOD(A656,4),各职业基础配置!C$32:D$35,2,FALSE)</f>
        <v>9</v>
      </c>
      <c r="F656" s="19">
        <f>IF(A656&lt;900,INDEX(各职业基础配置!C$23:C$28,MOD(ROW(A656),4)+1),0)</f>
        <v>8</v>
      </c>
      <c r="G656" s="19">
        <f t="shared" si="112"/>
        <v>13</v>
      </c>
      <c r="H656" s="27">
        <f t="shared" si="113"/>
        <v>2</v>
      </c>
      <c r="I656" s="6" t="s">
        <v>164</v>
      </c>
      <c r="J656" s="23" t="str">
        <f>VLOOKUP(E656,各职业基础配置!$B$9:$C$12,2,FALSE)</f>
        <v>116|117|118|4201|120</v>
      </c>
      <c r="K656" s="18" t="str">
        <f>VLOOKUP(E656,各职业基础配置!$B$15:$C$18,2,FALSE)</f>
        <v>28|29|30|31</v>
      </c>
      <c r="L656" s="18" t="str">
        <f>VLOOKUP(E656,各职业基础配置!B:C,2,FALSE)</f>
        <v>[{28,1,1},{29,1,1},{30,1,1},{31,1,1},{10,1,1},{11,1,1},{12,1,1}]</v>
      </c>
      <c r="M656" s="18">
        <v>0</v>
      </c>
      <c r="N656" s="18">
        <f t="shared" si="114"/>
        <v>3</v>
      </c>
      <c r="O656" s="18">
        <f>SUMPRODUCT(P656:AI656,Sheet2!$B$3:$U$3)</f>
        <v>86982</v>
      </c>
      <c r="P656" s="18">
        <f>CEILING(INDEX([1]系统模型!$VD:$VD,MATCH(C656,[1]系统模型!$A:$A,0))*POWER(C656/220,3.8)-50+(1000-A656),1)</f>
        <v>1519</v>
      </c>
      <c r="Q656" s="18">
        <f>CEILING(INDEX([1]系统模型!$VE:$VE,MATCH(C656,[1]系统模型!$A:$A,0))*POWER(C656/220,4),1)</f>
        <v>141</v>
      </c>
      <c r="R656" s="18">
        <f>INT(INDEX([1]系统模型!$VF:$VF,MATCH(C656,[1]系统模型!$A:$A,0))*MAX(POWER(C656/180,4),0.5))</f>
        <v>9807</v>
      </c>
      <c r="S656" s="5">
        <v>1000</v>
      </c>
      <c r="T656" s="25">
        <v>0</v>
      </c>
      <c r="U656" s="25">
        <v>0</v>
      </c>
      <c r="V656" s="25">
        <v>0</v>
      </c>
      <c r="W656" s="25">
        <v>0</v>
      </c>
      <c r="X656" s="25">
        <f t="shared" si="115"/>
        <v>490</v>
      </c>
      <c r="Y656" s="12">
        <v>0</v>
      </c>
      <c r="Z656" s="25">
        <v>100</v>
      </c>
      <c r="AA656" s="25">
        <v>150</v>
      </c>
      <c r="AB656" s="25">
        <v>0</v>
      </c>
      <c r="AC656" s="25">
        <v>0</v>
      </c>
      <c r="AD656" s="25">
        <v>0</v>
      </c>
      <c r="AE656" s="25">
        <f t="shared" si="116"/>
        <v>306</v>
      </c>
      <c r="AF656" s="25">
        <f t="shared" si="117"/>
        <v>306</v>
      </c>
      <c r="AG656" s="25">
        <v>0</v>
      </c>
      <c r="AH656" s="25">
        <f t="shared" si="118"/>
        <v>2725</v>
      </c>
      <c r="AI656" s="25">
        <f t="shared" si="119"/>
        <v>20</v>
      </c>
      <c r="AJ656" s="25">
        <v>1</v>
      </c>
      <c r="AK656" s="25">
        <v>1000</v>
      </c>
      <c r="AL656" s="25">
        <v>100</v>
      </c>
      <c r="AM656" s="26">
        <v>10</v>
      </c>
      <c r="AN656" s="26">
        <v>10</v>
      </c>
      <c r="AO656" s="22" t="s">
        <v>2211</v>
      </c>
      <c r="AP656" s="26">
        <v>0</v>
      </c>
      <c r="AQ656" s="26">
        <f t="shared" si="120"/>
        <v>340</v>
      </c>
      <c r="AR656" s="18" t="str">
        <f ca="1">CONCATENATE(OFFSET(Sheet1!$A$2,RANDBETWEEN(2,500),0,1,1),OFFSET(Sheet1!$A$2,RANDBETWEEN(2,500),RANDBETWEEN(1,5),1,1))</f>
        <v>切斯特顿</v>
      </c>
      <c r="AS656">
        <f>SUMPRODUCT(P656:AI656,Sheet2!$B$3:$U$3)</f>
        <v>86982</v>
      </c>
    </row>
    <row r="657" spans="1:45" x14ac:dyDescent="0.15">
      <c r="A657" s="18">
        <v>656</v>
      </c>
      <c r="B657" s="18" t="s">
        <v>2083</v>
      </c>
      <c r="C657" s="18">
        <f t="shared" si="110"/>
        <v>152</v>
      </c>
      <c r="D657" s="19">
        <f t="shared" si="111"/>
        <v>2</v>
      </c>
      <c r="E657" s="19">
        <f>VLOOKUP(MOD(A657,4),各职业基础配置!C$32:D$35,2,FALSE)</f>
        <v>1</v>
      </c>
      <c r="F657" s="19">
        <f>IF(A657&lt;900,INDEX(各职业基础配置!C$23:C$28,MOD(ROW(A657),4)+1),0)</f>
        <v>13</v>
      </c>
      <c r="G657" s="19">
        <f t="shared" si="112"/>
        <v>12</v>
      </c>
      <c r="H657" s="27">
        <f t="shared" si="113"/>
        <v>2</v>
      </c>
      <c r="I657" s="6" t="s">
        <v>164</v>
      </c>
      <c r="J657" s="23" t="str">
        <f>VLOOKUP(E657,各职业基础配置!$B$9:$C$12,2,FALSE)</f>
        <v>101|102|103|4201|105</v>
      </c>
      <c r="K657" s="18" t="str">
        <f>VLOOKUP(E657,各职业基础配置!$B$15:$C$18,2,FALSE)</f>
        <v>24|25|26|27</v>
      </c>
      <c r="L657" s="18" t="str">
        <f>VLOOKUP(E657,各职业基础配置!B:C,2,FALSE)</f>
        <v>[{24,1,1},{25,1,1},{26,1,1},{27,1,1},{1,1,1},{2,1,1},{3,1,1}]</v>
      </c>
      <c r="M657" s="18">
        <v>0</v>
      </c>
      <c r="N657" s="18">
        <f t="shared" si="114"/>
        <v>3</v>
      </c>
      <c r="O657" s="18">
        <f>SUMPRODUCT(P657:AI657,Sheet2!$B$3:$U$3)</f>
        <v>85044</v>
      </c>
      <c r="P657" s="18">
        <f>CEILING(INDEX([1]系统模型!$VD:$VD,MATCH(C657,[1]系统模型!$A:$A,0))*POWER(C657/220,3.8)-50+(1000-A657),1)</f>
        <v>1480</v>
      </c>
      <c r="Q657" s="18">
        <f>CEILING(INDEX([1]系统模型!$VE:$VE,MATCH(C657,[1]系统模型!$A:$A,0))*POWER(C657/220,4),1)</f>
        <v>136</v>
      </c>
      <c r="R657" s="18">
        <f>INT(INDEX([1]系统模型!$VF:$VF,MATCH(C657,[1]系统模型!$A:$A,0))*MAX(POWER(C657/180,4),0.5))</f>
        <v>9469</v>
      </c>
      <c r="S657" s="5">
        <v>1000</v>
      </c>
      <c r="T657" s="25">
        <v>0</v>
      </c>
      <c r="U657" s="25">
        <v>0</v>
      </c>
      <c r="V657" s="25">
        <v>0</v>
      </c>
      <c r="W657" s="25">
        <v>0</v>
      </c>
      <c r="X657" s="25">
        <f t="shared" si="115"/>
        <v>473</v>
      </c>
      <c r="Y657" s="12">
        <v>0</v>
      </c>
      <c r="Z657" s="25">
        <v>100</v>
      </c>
      <c r="AA657" s="25">
        <v>150</v>
      </c>
      <c r="AB657" s="25">
        <v>0</v>
      </c>
      <c r="AC657" s="25">
        <v>0</v>
      </c>
      <c r="AD657" s="25">
        <v>0</v>
      </c>
      <c r="AE657" s="25">
        <f t="shared" si="116"/>
        <v>304</v>
      </c>
      <c r="AF657" s="25">
        <f t="shared" si="117"/>
        <v>304</v>
      </c>
      <c r="AG657" s="25">
        <v>0</v>
      </c>
      <c r="AH657" s="25">
        <f t="shared" si="118"/>
        <v>2650</v>
      </c>
      <c r="AI657" s="25">
        <f t="shared" si="119"/>
        <v>19</v>
      </c>
      <c r="AJ657" s="25">
        <v>1</v>
      </c>
      <c r="AK657" s="25">
        <v>1000</v>
      </c>
      <c r="AL657" s="25">
        <v>100</v>
      </c>
      <c r="AM657" s="26">
        <v>10</v>
      </c>
      <c r="AN657" s="26">
        <v>10</v>
      </c>
      <c r="AO657" s="22" t="s">
        <v>2211</v>
      </c>
      <c r="AP657" s="26">
        <v>0</v>
      </c>
      <c r="AQ657" s="26">
        <f t="shared" si="120"/>
        <v>340</v>
      </c>
      <c r="AR657" s="18" t="str">
        <f ca="1">CONCATENATE(OFFSET(Sheet1!$A$2,RANDBETWEEN(2,500),0,1,1),OFFSET(Sheet1!$A$2,RANDBETWEEN(2,500),RANDBETWEEN(1,5),1,1))</f>
        <v>德莱登夏侯</v>
      </c>
      <c r="AS657">
        <f>SUMPRODUCT(P657:AI657,Sheet2!$B$3:$U$3)</f>
        <v>85044</v>
      </c>
    </row>
    <row r="658" spans="1:45" x14ac:dyDescent="0.15">
      <c r="A658" s="23">
        <v>657</v>
      </c>
      <c r="B658" s="18" t="s">
        <v>1335</v>
      </c>
      <c r="C658" s="18">
        <f t="shared" si="110"/>
        <v>152</v>
      </c>
      <c r="D658" s="19">
        <f t="shared" si="111"/>
        <v>3</v>
      </c>
      <c r="E658" s="19">
        <f>VLOOKUP(MOD(A658,4),各职业基础配置!C$32:D$35,2,FALSE)</f>
        <v>3</v>
      </c>
      <c r="F658" s="19">
        <f>IF(A658&lt;900,INDEX(各职业基础配置!C$23:C$28,MOD(ROW(A658),4)+1),0)</f>
        <v>14</v>
      </c>
      <c r="G658" s="19">
        <f t="shared" si="112"/>
        <v>12</v>
      </c>
      <c r="H658" s="27">
        <f t="shared" si="113"/>
        <v>2</v>
      </c>
      <c r="I658" s="6" t="s">
        <v>164</v>
      </c>
      <c r="J658" s="23" t="str">
        <f>VLOOKUP(E658,各职业基础配置!$B$9:$C$12,2,FALSE)</f>
        <v>106|107|108|4201|110</v>
      </c>
      <c r="K658" s="18" t="str">
        <f>VLOOKUP(E658,各职业基础配置!$B$15:$C$18,2,FALSE)</f>
        <v>20|21|22|23</v>
      </c>
      <c r="L658" s="18" t="str">
        <f>VLOOKUP(E658,各职业基础配置!B:C,2,FALSE)</f>
        <v>[{20,1,1},{21,1,1},{22,1,1},{23,1,1},{4,1,1},{5,1,1},{6,1,1}]</v>
      </c>
      <c r="M658" s="18">
        <v>0</v>
      </c>
      <c r="N658" s="18">
        <f t="shared" si="114"/>
        <v>7</v>
      </c>
      <c r="O658" s="18">
        <f>SUMPRODUCT(P658:AI658,Sheet2!$B$3:$U$3)</f>
        <v>85019</v>
      </c>
      <c r="P658" s="18">
        <f>CEILING(INDEX([1]系统模型!$VD:$VD,MATCH(C658,[1]系统模型!$A:$A,0))*POWER(C658/220,3.8)-50+(1000-A658),1)</f>
        <v>1479</v>
      </c>
      <c r="Q658" s="18">
        <f>CEILING(INDEX([1]系统模型!$VE:$VE,MATCH(C658,[1]系统模型!$A:$A,0))*POWER(C658/220,4),1)</f>
        <v>136</v>
      </c>
      <c r="R658" s="18">
        <f>INT(INDEX([1]系统模型!$VF:$VF,MATCH(C658,[1]系统模型!$A:$A,0))*MAX(POWER(C658/180,4),0.5))</f>
        <v>9469</v>
      </c>
      <c r="S658" s="5">
        <v>1000</v>
      </c>
      <c r="T658" s="25">
        <v>0</v>
      </c>
      <c r="U658" s="25">
        <v>0</v>
      </c>
      <c r="V658" s="25">
        <v>0</v>
      </c>
      <c r="W658" s="25">
        <v>0</v>
      </c>
      <c r="X658" s="25">
        <f t="shared" si="115"/>
        <v>473</v>
      </c>
      <c r="Y658" s="12">
        <v>0</v>
      </c>
      <c r="Z658" s="25">
        <v>100</v>
      </c>
      <c r="AA658" s="25">
        <v>150</v>
      </c>
      <c r="AB658" s="25">
        <v>0</v>
      </c>
      <c r="AC658" s="25">
        <v>0</v>
      </c>
      <c r="AD658" s="25">
        <v>0</v>
      </c>
      <c r="AE658" s="25">
        <f t="shared" si="116"/>
        <v>304</v>
      </c>
      <c r="AF658" s="25">
        <f t="shared" si="117"/>
        <v>304</v>
      </c>
      <c r="AG658" s="25">
        <v>0</v>
      </c>
      <c r="AH658" s="25">
        <f t="shared" si="118"/>
        <v>2650</v>
      </c>
      <c r="AI658" s="25">
        <f t="shared" si="119"/>
        <v>19</v>
      </c>
      <c r="AJ658" s="25">
        <v>1</v>
      </c>
      <c r="AK658" s="25">
        <v>1000</v>
      </c>
      <c r="AL658" s="25">
        <v>100</v>
      </c>
      <c r="AM658" s="26">
        <v>10</v>
      </c>
      <c r="AN658" s="26">
        <v>10</v>
      </c>
      <c r="AO658" s="22" t="s">
        <v>2211</v>
      </c>
      <c r="AP658" s="26">
        <v>0</v>
      </c>
      <c r="AQ658" s="26">
        <f t="shared" si="120"/>
        <v>330</v>
      </c>
      <c r="AR658" s="18" t="str">
        <f ca="1">CONCATENATE(OFFSET(Sheet1!$A$2,RANDBETWEEN(2,500),0,1,1),OFFSET(Sheet1!$A$2,RANDBETWEEN(2,500),RANDBETWEEN(1,5),1,1))</f>
        <v>尤金</v>
      </c>
      <c r="AS658">
        <f>SUMPRODUCT(P658:AI658,Sheet2!$B$3:$U$3)</f>
        <v>85019</v>
      </c>
    </row>
    <row r="659" spans="1:45" x14ac:dyDescent="0.15">
      <c r="A659" s="18">
        <v>658</v>
      </c>
      <c r="B659" s="18" t="s">
        <v>2084</v>
      </c>
      <c r="C659" s="18">
        <f t="shared" si="110"/>
        <v>152</v>
      </c>
      <c r="D659" s="19">
        <f t="shared" si="111"/>
        <v>2</v>
      </c>
      <c r="E659" s="19">
        <f>VLOOKUP(MOD(A659,4),各职业基础配置!C$32:D$35,2,FALSE)</f>
        <v>6</v>
      </c>
      <c r="F659" s="19">
        <f>IF(A659&lt;900,INDEX(各职业基础配置!C$23:C$28,MOD(ROW(A659),4)+1),0)</f>
        <v>16</v>
      </c>
      <c r="G659" s="19">
        <f t="shared" si="112"/>
        <v>12</v>
      </c>
      <c r="H659" s="27">
        <f t="shared" si="113"/>
        <v>2</v>
      </c>
      <c r="I659" s="6" t="s">
        <v>164</v>
      </c>
      <c r="J659" s="23" t="str">
        <f>VLOOKUP(E659,各职业基础配置!$B$9:$C$12,2,FALSE)</f>
        <v>111|112|113|4201|115</v>
      </c>
      <c r="K659" s="18" t="str">
        <f>VLOOKUP(E659,各职业基础配置!$B$15:$C$18,2,FALSE)</f>
        <v>32|33|34</v>
      </c>
      <c r="L659" s="18" t="str">
        <f>VLOOKUP(E659,各职业基础配置!B:C,2,FALSE)</f>
        <v>[{32,1,1},{33,1,1},{34,1,1},{35,1,1},{7,1,1},{8,1,1},{9,1,1}]</v>
      </c>
      <c r="M659" s="18">
        <v>0</v>
      </c>
      <c r="N659" s="18">
        <f t="shared" si="114"/>
        <v>7</v>
      </c>
      <c r="O659" s="18">
        <f>SUMPRODUCT(P659:AI659,Sheet2!$B$3:$U$3)</f>
        <v>84994</v>
      </c>
      <c r="P659" s="18">
        <f>CEILING(INDEX([1]系统模型!$VD:$VD,MATCH(C659,[1]系统模型!$A:$A,0))*POWER(C659/220,3.8)-50+(1000-A659),1)</f>
        <v>1478</v>
      </c>
      <c r="Q659" s="18">
        <f>CEILING(INDEX([1]系统模型!$VE:$VE,MATCH(C659,[1]系统模型!$A:$A,0))*POWER(C659/220,4),1)</f>
        <v>136</v>
      </c>
      <c r="R659" s="18">
        <f>INT(INDEX([1]系统模型!$VF:$VF,MATCH(C659,[1]系统模型!$A:$A,0))*MAX(POWER(C659/180,4),0.5))</f>
        <v>9469</v>
      </c>
      <c r="S659" s="5">
        <v>1000</v>
      </c>
      <c r="T659" s="25">
        <v>0</v>
      </c>
      <c r="U659" s="25">
        <v>0</v>
      </c>
      <c r="V659" s="25">
        <v>0</v>
      </c>
      <c r="W659" s="25">
        <v>0</v>
      </c>
      <c r="X659" s="25">
        <f t="shared" si="115"/>
        <v>473</v>
      </c>
      <c r="Y659" s="12">
        <v>0</v>
      </c>
      <c r="Z659" s="25">
        <v>100</v>
      </c>
      <c r="AA659" s="25">
        <v>150</v>
      </c>
      <c r="AB659" s="25">
        <v>0</v>
      </c>
      <c r="AC659" s="25">
        <v>0</v>
      </c>
      <c r="AD659" s="25">
        <v>0</v>
      </c>
      <c r="AE659" s="25">
        <f t="shared" si="116"/>
        <v>304</v>
      </c>
      <c r="AF659" s="25">
        <f t="shared" si="117"/>
        <v>304</v>
      </c>
      <c r="AG659" s="25">
        <v>0</v>
      </c>
      <c r="AH659" s="25">
        <f t="shared" si="118"/>
        <v>2650</v>
      </c>
      <c r="AI659" s="25">
        <f t="shared" si="119"/>
        <v>19</v>
      </c>
      <c r="AJ659" s="25">
        <v>1</v>
      </c>
      <c r="AK659" s="25">
        <v>1000</v>
      </c>
      <c r="AL659" s="25">
        <v>100</v>
      </c>
      <c r="AM659" s="26">
        <v>10</v>
      </c>
      <c r="AN659" s="26">
        <v>10</v>
      </c>
      <c r="AO659" s="22" t="s">
        <v>2211</v>
      </c>
      <c r="AP659" s="26">
        <v>0</v>
      </c>
      <c r="AQ659" s="26">
        <f t="shared" si="120"/>
        <v>330</v>
      </c>
      <c r="AR659" s="18" t="str">
        <f ca="1">CONCATENATE(OFFSET(Sheet1!$A$2,RANDBETWEEN(2,500),0,1,1),OFFSET(Sheet1!$A$2,RANDBETWEEN(2,500),RANDBETWEEN(1,5),1,1))</f>
        <v>库珀</v>
      </c>
      <c r="AS659">
        <f>SUMPRODUCT(P659:AI659,Sheet2!$B$3:$U$3)</f>
        <v>84994</v>
      </c>
    </row>
    <row r="660" spans="1:45" x14ac:dyDescent="0.15">
      <c r="A660" s="18">
        <v>659</v>
      </c>
      <c r="B660" s="18" t="s">
        <v>281</v>
      </c>
      <c r="C660" s="18">
        <f t="shared" si="110"/>
        <v>152</v>
      </c>
      <c r="D660" s="19">
        <f t="shared" si="111"/>
        <v>3</v>
      </c>
      <c r="E660" s="19">
        <f>VLOOKUP(MOD(A660,4),各职业基础配置!C$32:D$35,2,FALSE)</f>
        <v>9</v>
      </c>
      <c r="F660" s="19">
        <f>IF(A660&lt;900,INDEX(各职业基础配置!C$23:C$28,MOD(ROW(A660),4)+1),0)</f>
        <v>8</v>
      </c>
      <c r="G660" s="19">
        <f t="shared" si="112"/>
        <v>12</v>
      </c>
      <c r="H660" s="27">
        <f t="shared" si="113"/>
        <v>2</v>
      </c>
      <c r="I660" s="6" t="s">
        <v>164</v>
      </c>
      <c r="J660" s="23" t="str">
        <f>VLOOKUP(E660,各职业基础配置!$B$9:$C$12,2,FALSE)</f>
        <v>116|117|118|4201|120</v>
      </c>
      <c r="K660" s="18" t="str">
        <f>VLOOKUP(E660,各职业基础配置!$B$15:$C$18,2,FALSE)</f>
        <v>28|29|30|31</v>
      </c>
      <c r="L660" s="18" t="str">
        <f>VLOOKUP(E660,各职业基础配置!B:C,2,FALSE)</f>
        <v>[{28,1,1},{29,1,1},{30,1,1},{31,1,1},{10,1,1},{11,1,1},{12,1,1}]</v>
      </c>
      <c r="M660" s="18">
        <v>0</v>
      </c>
      <c r="N660" s="18">
        <f t="shared" si="114"/>
        <v>3</v>
      </c>
      <c r="O660" s="18">
        <f>SUMPRODUCT(P660:AI660,Sheet2!$B$3:$U$3)</f>
        <v>84969</v>
      </c>
      <c r="P660" s="18">
        <f>CEILING(INDEX([1]系统模型!$VD:$VD,MATCH(C660,[1]系统模型!$A:$A,0))*POWER(C660/220,3.8)-50+(1000-A660),1)</f>
        <v>1477</v>
      </c>
      <c r="Q660" s="18">
        <f>CEILING(INDEX([1]系统模型!$VE:$VE,MATCH(C660,[1]系统模型!$A:$A,0))*POWER(C660/220,4),1)</f>
        <v>136</v>
      </c>
      <c r="R660" s="18">
        <f>INT(INDEX([1]系统模型!$VF:$VF,MATCH(C660,[1]系统模型!$A:$A,0))*MAX(POWER(C660/180,4),0.5))</f>
        <v>9469</v>
      </c>
      <c r="S660" s="5">
        <v>1000</v>
      </c>
      <c r="T660" s="25">
        <v>0</v>
      </c>
      <c r="U660" s="25">
        <v>0</v>
      </c>
      <c r="V660" s="25">
        <v>0</v>
      </c>
      <c r="W660" s="25">
        <v>0</v>
      </c>
      <c r="X660" s="25">
        <f t="shared" si="115"/>
        <v>473</v>
      </c>
      <c r="Y660" s="12">
        <v>0</v>
      </c>
      <c r="Z660" s="25">
        <v>100</v>
      </c>
      <c r="AA660" s="25">
        <v>150</v>
      </c>
      <c r="AB660" s="25">
        <v>0</v>
      </c>
      <c r="AC660" s="25">
        <v>0</v>
      </c>
      <c r="AD660" s="25">
        <v>0</v>
      </c>
      <c r="AE660" s="25">
        <f t="shared" si="116"/>
        <v>304</v>
      </c>
      <c r="AF660" s="25">
        <f t="shared" si="117"/>
        <v>304</v>
      </c>
      <c r="AG660" s="25">
        <v>0</v>
      </c>
      <c r="AH660" s="25">
        <f t="shared" si="118"/>
        <v>2650</v>
      </c>
      <c r="AI660" s="25">
        <f t="shared" si="119"/>
        <v>19</v>
      </c>
      <c r="AJ660" s="25">
        <v>1</v>
      </c>
      <c r="AK660" s="25">
        <v>1000</v>
      </c>
      <c r="AL660" s="25">
        <v>100</v>
      </c>
      <c r="AM660" s="26">
        <v>10</v>
      </c>
      <c r="AN660" s="26">
        <v>10</v>
      </c>
      <c r="AO660" s="22" t="s">
        <v>2211</v>
      </c>
      <c r="AP660" s="26">
        <v>0</v>
      </c>
      <c r="AQ660" s="26">
        <f t="shared" si="120"/>
        <v>330</v>
      </c>
      <c r="AR660" s="18" t="str">
        <f ca="1">CONCATENATE(OFFSET(Sheet1!$A$2,RANDBETWEEN(2,500),0,1,1),OFFSET(Sheet1!$A$2,RANDBETWEEN(2,500),RANDBETWEEN(1,5),1,1))</f>
        <v>霍齐亚伊芳</v>
      </c>
      <c r="AS660">
        <f>SUMPRODUCT(P660:AI660,Sheet2!$B$3:$U$3)</f>
        <v>84969</v>
      </c>
    </row>
    <row r="661" spans="1:45" x14ac:dyDescent="0.15">
      <c r="A661" s="23">
        <v>660</v>
      </c>
      <c r="B661" s="18" t="s">
        <v>1367</v>
      </c>
      <c r="C661" s="18">
        <f t="shared" si="110"/>
        <v>152</v>
      </c>
      <c r="D661" s="19">
        <f t="shared" si="111"/>
        <v>2</v>
      </c>
      <c r="E661" s="19">
        <f>VLOOKUP(MOD(A661,4),各职业基础配置!C$32:D$35,2,FALSE)</f>
        <v>1</v>
      </c>
      <c r="F661" s="19">
        <f>IF(A661&lt;900,INDEX(各职业基础配置!C$23:C$28,MOD(ROW(A661),4)+1),0)</f>
        <v>13</v>
      </c>
      <c r="G661" s="19">
        <f t="shared" si="112"/>
        <v>12</v>
      </c>
      <c r="H661" s="27">
        <f t="shared" si="113"/>
        <v>2</v>
      </c>
      <c r="I661" s="6" t="s">
        <v>164</v>
      </c>
      <c r="J661" s="23" t="str">
        <f>VLOOKUP(E661,各职业基础配置!$B$9:$C$12,2,FALSE)</f>
        <v>101|102|103|4201|105</v>
      </c>
      <c r="K661" s="18" t="str">
        <f>VLOOKUP(E661,各职业基础配置!$B$15:$C$18,2,FALSE)</f>
        <v>24|25|26|27</v>
      </c>
      <c r="L661" s="18" t="str">
        <f>VLOOKUP(E661,各职业基础配置!B:C,2,FALSE)</f>
        <v>[{24,1,1},{25,1,1},{26,1,1},{27,1,1},{1,1,1},{2,1,1},{3,1,1}]</v>
      </c>
      <c r="M661" s="18">
        <v>0</v>
      </c>
      <c r="N661" s="18">
        <f t="shared" si="114"/>
        <v>3</v>
      </c>
      <c r="O661" s="18">
        <f>SUMPRODUCT(P661:AI661,Sheet2!$B$3:$U$3)</f>
        <v>84944</v>
      </c>
      <c r="P661" s="18">
        <f>CEILING(INDEX([1]系统模型!$VD:$VD,MATCH(C661,[1]系统模型!$A:$A,0))*POWER(C661/220,3.8)-50+(1000-A661),1)</f>
        <v>1476</v>
      </c>
      <c r="Q661" s="18">
        <f>CEILING(INDEX([1]系统模型!$VE:$VE,MATCH(C661,[1]系统模型!$A:$A,0))*POWER(C661/220,4),1)</f>
        <v>136</v>
      </c>
      <c r="R661" s="18">
        <f>INT(INDEX([1]系统模型!$VF:$VF,MATCH(C661,[1]系统模型!$A:$A,0))*MAX(POWER(C661/180,4),0.5))</f>
        <v>9469</v>
      </c>
      <c r="S661" s="5">
        <v>1000</v>
      </c>
      <c r="T661" s="25">
        <v>0</v>
      </c>
      <c r="U661" s="25">
        <v>0</v>
      </c>
      <c r="V661" s="25">
        <v>0</v>
      </c>
      <c r="W661" s="25">
        <v>0</v>
      </c>
      <c r="X661" s="25">
        <f t="shared" si="115"/>
        <v>473</v>
      </c>
      <c r="Y661" s="12">
        <v>0</v>
      </c>
      <c r="Z661" s="25">
        <v>100</v>
      </c>
      <c r="AA661" s="25">
        <v>150</v>
      </c>
      <c r="AB661" s="25">
        <v>0</v>
      </c>
      <c r="AC661" s="25">
        <v>0</v>
      </c>
      <c r="AD661" s="25">
        <v>0</v>
      </c>
      <c r="AE661" s="25">
        <f t="shared" si="116"/>
        <v>304</v>
      </c>
      <c r="AF661" s="25">
        <f t="shared" si="117"/>
        <v>304</v>
      </c>
      <c r="AG661" s="25">
        <v>0</v>
      </c>
      <c r="AH661" s="25">
        <f t="shared" si="118"/>
        <v>2650</v>
      </c>
      <c r="AI661" s="25">
        <f t="shared" si="119"/>
        <v>19</v>
      </c>
      <c r="AJ661" s="25">
        <v>1</v>
      </c>
      <c r="AK661" s="25">
        <v>1000</v>
      </c>
      <c r="AL661" s="25">
        <v>100</v>
      </c>
      <c r="AM661" s="26">
        <v>10</v>
      </c>
      <c r="AN661" s="26">
        <v>10</v>
      </c>
      <c r="AO661" s="22" t="s">
        <v>2211</v>
      </c>
      <c r="AP661" s="26">
        <v>0</v>
      </c>
      <c r="AQ661" s="26">
        <f t="shared" si="120"/>
        <v>330</v>
      </c>
      <c r="AR661" s="18" t="str">
        <f ca="1">CONCATENATE(OFFSET(Sheet1!$A$2,RANDBETWEEN(2,500),0,1,1),OFFSET(Sheet1!$A$2,RANDBETWEEN(2,500),RANDBETWEEN(1,5),1,1))</f>
        <v>查普曼波比</v>
      </c>
      <c r="AS661">
        <f>SUMPRODUCT(P661:AI661,Sheet2!$B$3:$U$3)</f>
        <v>84944</v>
      </c>
    </row>
    <row r="662" spans="1:45" x14ac:dyDescent="0.15">
      <c r="A662" s="18">
        <v>661</v>
      </c>
      <c r="B662" s="18" t="s">
        <v>956</v>
      </c>
      <c r="C662" s="18">
        <f t="shared" si="110"/>
        <v>152</v>
      </c>
      <c r="D662" s="19">
        <f t="shared" si="111"/>
        <v>3</v>
      </c>
      <c r="E662" s="19">
        <f>VLOOKUP(MOD(A662,4),各职业基础配置!C$32:D$35,2,FALSE)</f>
        <v>3</v>
      </c>
      <c r="F662" s="19">
        <f>IF(A662&lt;900,INDEX(各职业基础配置!C$23:C$28,MOD(ROW(A662),4)+1),0)</f>
        <v>14</v>
      </c>
      <c r="G662" s="19">
        <f t="shared" si="112"/>
        <v>12</v>
      </c>
      <c r="H662" s="27">
        <f t="shared" si="113"/>
        <v>2</v>
      </c>
      <c r="I662" s="6" t="s">
        <v>164</v>
      </c>
      <c r="J662" s="23" t="str">
        <f>VLOOKUP(E662,各职业基础配置!$B$9:$C$12,2,FALSE)</f>
        <v>106|107|108|4201|110</v>
      </c>
      <c r="K662" s="18" t="str">
        <f>VLOOKUP(E662,各职业基础配置!$B$15:$C$18,2,FALSE)</f>
        <v>20|21|22|23</v>
      </c>
      <c r="L662" s="18" t="str">
        <f>VLOOKUP(E662,各职业基础配置!B:C,2,FALSE)</f>
        <v>[{20,1,1},{21,1,1},{22,1,1},{23,1,1},{4,1,1},{5,1,1},{6,1,1}]</v>
      </c>
      <c r="M662" s="18">
        <v>0</v>
      </c>
      <c r="N662" s="18">
        <f t="shared" si="114"/>
        <v>7</v>
      </c>
      <c r="O662" s="18">
        <f>SUMPRODUCT(P662:AI662,Sheet2!$B$3:$U$3)</f>
        <v>84919</v>
      </c>
      <c r="P662" s="18">
        <f>CEILING(INDEX([1]系统模型!$VD:$VD,MATCH(C662,[1]系统模型!$A:$A,0))*POWER(C662/220,3.8)-50+(1000-A662),1)</f>
        <v>1475</v>
      </c>
      <c r="Q662" s="18">
        <f>CEILING(INDEX([1]系统模型!$VE:$VE,MATCH(C662,[1]系统模型!$A:$A,0))*POWER(C662/220,4),1)</f>
        <v>136</v>
      </c>
      <c r="R662" s="18">
        <f>INT(INDEX([1]系统模型!$VF:$VF,MATCH(C662,[1]系统模型!$A:$A,0))*MAX(POWER(C662/180,4),0.5))</f>
        <v>9469</v>
      </c>
      <c r="S662" s="5">
        <v>1000</v>
      </c>
      <c r="T662" s="25">
        <v>0</v>
      </c>
      <c r="U662" s="25">
        <v>0</v>
      </c>
      <c r="V662" s="25">
        <v>0</v>
      </c>
      <c r="W662" s="25">
        <v>0</v>
      </c>
      <c r="X662" s="25">
        <f t="shared" si="115"/>
        <v>473</v>
      </c>
      <c r="Y662" s="12">
        <v>0</v>
      </c>
      <c r="Z662" s="25">
        <v>100</v>
      </c>
      <c r="AA662" s="25">
        <v>150</v>
      </c>
      <c r="AB662" s="25">
        <v>0</v>
      </c>
      <c r="AC662" s="25">
        <v>0</v>
      </c>
      <c r="AD662" s="25">
        <v>0</v>
      </c>
      <c r="AE662" s="25">
        <f t="shared" si="116"/>
        <v>304</v>
      </c>
      <c r="AF662" s="25">
        <f t="shared" si="117"/>
        <v>304</v>
      </c>
      <c r="AG662" s="25">
        <v>0</v>
      </c>
      <c r="AH662" s="25">
        <f t="shared" si="118"/>
        <v>2650</v>
      </c>
      <c r="AI662" s="25">
        <f t="shared" si="119"/>
        <v>19</v>
      </c>
      <c r="AJ662" s="25">
        <v>1</v>
      </c>
      <c r="AK662" s="25">
        <v>1000</v>
      </c>
      <c r="AL662" s="25">
        <v>100</v>
      </c>
      <c r="AM662" s="26">
        <v>10</v>
      </c>
      <c r="AN662" s="26">
        <v>10</v>
      </c>
      <c r="AO662" s="22" t="s">
        <v>2211</v>
      </c>
      <c r="AP662" s="26">
        <v>0</v>
      </c>
      <c r="AQ662" s="26">
        <f t="shared" si="120"/>
        <v>330</v>
      </c>
      <c r="AR662" s="18" t="str">
        <f ca="1">CONCATENATE(OFFSET(Sheet1!$A$2,RANDBETWEEN(2,500),0,1,1),OFFSET(Sheet1!$A$2,RANDBETWEEN(2,500),RANDBETWEEN(1,5),1,1))</f>
        <v>弗劳尔</v>
      </c>
      <c r="AS662">
        <f>SUMPRODUCT(P662:AI662,Sheet2!$B$3:$U$3)</f>
        <v>84919</v>
      </c>
    </row>
    <row r="663" spans="1:45" x14ac:dyDescent="0.15">
      <c r="A663" s="18">
        <v>662</v>
      </c>
      <c r="B663" s="18" t="s">
        <v>853</v>
      </c>
      <c r="C663" s="18">
        <f t="shared" si="110"/>
        <v>152</v>
      </c>
      <c r="D663" s="19">
        <f t="shared" si="111"/>
        <v>2</v>
      </c>
      <c r="E663" s="19">
        <f>VLOOKUP(MOD(A663,4),各职业基础配置!C$32:D$35,2,FALSE)</f>
        <v>6</v>
      </c>
      <c r="F663" s="19">
        <f>IF(A663&lt;900,INDEX(各职业基础配置!C$23:C$28,MOD(ROW(A663),4)+1),0)</f>
        <v>16</v>
      </c>
      <c r="G663" s="19">
        <f t="shared" si="112"/>
        <v>12</v>
      </c>
      <c r="H663" s="27">
        <f t="shared" si="113"/>
        <v>2</v>
      </c>
      <c r="I663" s="6" t="s">
        <v>164</v>
      </c>
      <c r="J663" s="23" t="str">
        <f>VLOOKUP(E663,各职业基础配置!$B$9:$C$12,2,FALSE)</f>
        <v>111|112|113|4201|115</v>
      </c>
      <c r="K663" s="18" t="str">
        <f>VLOOKUP(E663,各职业基础配置!$B$15:$C$18,2,FALSE)</f>
        <v>32|33|34</v>
      </c>
      <c r="L663" s="18" t="str">
        <f>VLOOKUP(E663,各职业基础配置!B:C,2,FALSE)</f>
        <v>[{32,1,1},{33,1,1},{34,1,1},{35,1,1},{7,1,1},{8,1,1},{9,1,1}]</v>
      </c>
      <c r="M663" s="18">
        <v>0</v>
      </c>
      <c r="N663" s="18">
        <f t="shared" si="114"/>
        <v>7</v>
      </c>
      <c r="O663" s="18">
        <f>SUMPRODUCT(P663:AI663,Sheet2!$B$3:$U$3)</f>
        <v>84894</v>
      </c>
      <c r="P663" s="18">
        <f>CEILING(INDEX([1]系统模型!$VD:$VD,MATCH(C663,[1]系统模型!$A:$A,0))*POWER(C663/220,3.8)-50+(1000-A663),1)</f>
        <v>1474</v>
      </c>
      <c r="Q663" s="18">
        <f>CEILING(INDEX([1]系统模型!$VE:$VE,MATCH(C663,[1]系统模型!$A:$A,0))*POWER(C663/220,4),1)</f>
        <v>136</v>
      </c>
      <c r="R663" s="18">
        <f>INT(INDEX([1]系统模型!$VF:$VF,MATCH(C663,[1]系统模型!$A:$A,0))*MAX(POWER(C663/180,4),0.5))</f>
        <v>9469</v>
      </c>
      <c r="S663" s="5">
        <v>1000</v>
      </c>
      <c r="T663" s="25">
        <v>0</v>
      </c>
      <c r="U663" s="25">
        <v>0</v>
      </c>
      <c r="V663" s="25">
        <v>0</v>
      </c>
      <c r="W663" s="25">
        <v>0</v>
      </c>
      <c r="X663" s="25">
        <f t="shared" si="115"/>
        <v>473</v>
      </c>
      <c r="Y663" s="12">
        <v>0</v>
      </c>
      <c r="Z663" s="25">
        <v>100</v>
      </c>
      <c r="AA663" s="25">
        <v>150</v>
      </c>
      <c r="AB663" s="25">
        <v>0</v>
      </c>
      <c r="AC663" s="25">
        <v>0</v>
      </c>
      <c r="AD663" s="25">
        <v>0</v>
      </c>
      <c r="AE663" s="25">
        <f t="shared" si="116"/>
        <v>304</v>
      </c>
      <c r="AF663" s="25">
        <f t="shared" si="117"/>
        <v>304</v>
      </c>
      <c r="AG663" s="25">
        <v>0</v>
      </c>
      <c r="AH663" s="25">
        <f t="shared" si="118"/>
        <v>2650</v>
      </c>
      <c r="AI663" s="25">
        <f t="shared" si="119"/>
        <v>19</v>
      </c>
      <c r="AJ663" s="25">
        <v>1</v>
      </c>
      <c r="AK663" s="25">
        <v>1000</v>
      </c>
      <c r="AL663" s="25">
        <v>100</v>
      </c>
      <c r="AM663" s="26">
        <v>10</v>
      </c>
      <c r="AN663" s="26">
        <v>10</v>
      </c>
      <c r="AO663" s="22" t="s">
        <v>2211</v>
      </c>
      <c r="AP663" s="26">
        <v>0</v>
      </c>
      <c r="AQ663" s="26">
        <f t="shared" si="120"/>
        <v>330</v>
      </c>
      <c r="AR663" s="18" t="str">
        <f ca="1">CONCATENATE(OFFSET(Sheet1!$A$2,RANDBETWEEN(2,500),0,1,1),OFFSET(Sheet1!$A$2,RANDBETWEEN(2,500),RANDBETWEEN(1,5),1,1))</f>
        <v>埃迪</v>
      </c>
      <c r="AS663">
        <f>SUMPRODUCT(P663:AI663,Sheet2!$B$3:$U$3)</f>
        <v>84894</v>
      </c>
    </row>
    <row r="664" spans="1:45" x14ac:dyDescent="0.15">
      <c r="A664" s="23">
        <v>663</v>
      </c>
      <c r="B664" s="18" t="s">
        <v>1378</v>
      </c>
      <c r="C664" s="18">
        <f t="shared" si="110"/>
        <v>151</v>
      </c>
      <c r="D664" s="19">
        <f t="shared" si="111"/>
        <v>3</v>
      </c>
      <c r="E664" s="19">
        <f>VLOOKUP(MOD(A664,4),各职业基础配置!C$32:D$35,2,FALSE)</f>
        <v>9</v>
      </c>
      <c r="F664" s="19">
        <f>IF(A664&lt;900,INDEX(各职业基础配置!C$23:C$28,MOD(ROW(A664),4)+1),0)</f>
        <v>8</v>
      </c>
      <c r="G664" s="19">
        <f t="shared" si="112"/>
        <v>12</v>
      </c>
      <c r="H664" s="27">
        <f t="shared" si="113"/>
        <v>2</v>
      </c>
      <c r="I664" s="6" t="s">
        <v>164</v>
      </c>
      <c r="J664" s="23" t="str">
        <f>VLOOKUP(E664,各职业基础配置!$B$9:$C$12,2,FALSE)</f>
        <v>116|117|118|4201|120</v>
      </c>
      <c r="K664" s="18" t="str">
        <f>VLOOKUP(E664,各职业基础配置!$B$15:$C$18,2,FALSE)</f>
        <v>28|29|30|31</v>
      </c>
      <c r="L664" s="18" t="str">
        <f>VLOOKUP(E664,各职业基础配置!B:C,2,FALSE)</f>
        <v>[{28,1,1},{29,1,1},{30,1,1},{31,1,1},{10,1,1},{11,1,1},{12,1,1}]</v>
      </c>
      <c r="M664" s="18">
        <v>0</v>
      </c>
      <c r="N664" s="18">
        <f t="shared" si="114"/>
        <v>3</v>
      </c>
      <c r="O664" s="18">
        <f>SUMPRODUCT(P664:AI664,Sheet2!$B$3:$U$3)</f>
        <v>82920</v>
      </c>
      <c r="P664" s="18">
        <f>CEILING(INDEX([1]系统模型!$VD:$VD,MATCH(C664,[1]系统模型!$A:$A,0))*POWER(C664/220,3.8)-50+(1000-A664),1)</f>
        <v>1429</v>
      </c>
      <c r="Q664" s="18">
        <f>CEILING(INDEX([1]系统模型!$VE:$VE,MATCH(C664,[1]系统模型!$A:$A,0))*POWER(C664/220,4),1)</f>
        <v>131</v>
      </c>
      <c r="R664" s="18">
        <f>INT(INDEX([1]系统模型!$VF:$VF,MATCH(C664,[1]系统模型!$A:$A,0))*MAX(POWER(C664/180,4),0.5))</f>
        <v>9220</v>
      </c>
      <c r="S664" s="5">
        <v>1000</v>
      </c>
      <c r="T664" s="25">
        <v>0</v>
      </c>
      <c r="U664" s="25">
        <v>0</v>
      </c>
      <c r="V664" s="25">
        <v>0</v>
      </c>
      <c r="W664" s="25">
        <v>0</v>
      </c>
      <c r="X664" s="25">
        <f t="shared" si="115"/>
        <v>461</v>
      </c>
      <c r="Y664" s="12">
        <v>0</v>
      </c>
      <c r="Z664" s="25">
        <v>100</v>
      </c>
      <c r="AA664" s="25">
        <v>150</v>
      </c>
      <c r="AB664" s="25">
        <v>0</v>
      </c>
      <c r="AC664" s="25">
        <v>0</v>
      </c>
      <c r="AD664" s="25">
        <v>0</v>
      </c>
      <c r="AE664" s="25">
        <f t="shared" si="116"/>
        <v>302</v>
      </c>
      <c r="AF664" s="25">
        <f t="shared" si="117"/>
        <v>302</v>
      </c>
      <c r="AG664" s="25">
        <v>0</v>
      </c>
      <c r="AH664" s="25">
        <f t="shared" si="118"/>
        <v>2575</v>
      </c>
      <c r="AI664" s="25">
        <f t="shared" si="119"/>
        <v>19</v>
      </c>
      <c r="AJ664" s="25">
        <v>1</v>
      </c>
      <c r="AK664" s="25">
        <v>1000</v>
      </c>
      <c r="AL664" s="25">
        <v>100</v>
      </c>
      <c r="AM664" s="26">
        <v>10</v>
      </c>
      <c r="AN664" s="26">
        <v>10</v>
      </c>
      <c r="AO664" s="22" t="s">
        <v>2211</v>
      </c>
      <c r="AP664" s="26">
        <v>0</v>
      </c>
      <c r="AQ664" s="26">
        <f t="shared" si="120"/>
        <v>330</v>
      </c>
      <c r="AR664" s="18" t="str">
        <f ca="1">CONCATENATE(OFFSET(Sheet1!$A$2,RANDBETWEEN(2,500),0,1,1),OFFSET(Sheet1!$A$2,RANDBETWEEN(2,500),RANDBETWEEN(1,5),1,1))</f>
        <v>贝克</v>
      </c>
      <c r="AS664">
        <f>SUMPRODUCT(P664:AI664,Sheet2!$B$3:$U$3)</f>
        <v>82920</v>
      </c>
    </row>
    <row r="665" spans="1:45" x14ac:dyDescent="0.15">
      <c r="A665" s="18">
        <v>664</v>
      </c>
      <c r="B665" s="18" t="s">
        <v>455</v>
      </c>
      <c r="C665" s="18">
        <f t="shared" si="110"/>
        <v>151</v>
      </c>
      <c r="D665" s="19">
        <f t="shared" si="111"/>
        <v>2</v>
      </c>
      <c r="E665" s="19">
        <f>VLOOKUP(MOD(A665,4),各职业基础配置!C$32:D$35,2,FALSE)</f>
        <v>1</v>
      </c>
      <c r="F665" s="19">
        <f>IF(A665&lt;900,INDEX(各职业基础配置!C$23:C$28,MOD(ROW(A665),4)+1),0)</f>
        <v>13</v>
      </c>
      <c r="G665" s="19">
        <f t="shared" si="112"/>
        <v>12</v>
      </c>
      <c r="H665" s="27">
        <f t="shared" si="113"/>
        <v>2</v>
      </c>
      <c r="I665" s="6" t="s">
        <v>164</v>
      </c>
      <c r="J665" s="23" t="str">
        <f>VLOOKUP(E665,各职业基础配置!$B$9:$C$12,2,FALSE)</f>
        <v>101|102|103|4201|105</v>
      </c>
      <c r="K665" s="18" t="str">
        <f>VLOOKUP(E665,各职业基础配置!$B$15:$C$18,2,FALSE)</f>
        <v>24|25|26|27</v>
      </c>
      <c r="L665" s="18" t="str">
        <f>VLOOKUP(E665,各职业基础配置!B:C,2,FALSE)</f>
        <v>[{24,1,1},{25,1,1},{26,1,1},{27,1,1},{1,1,1},{2,1,1},{3,1,1}]</v>
      </c>
      <c r="M665" s="18">
        <v>0</v>
      </c>
      <c r="N665" s="18">
        <f t="shared" si="114"/>
        <v>3</v>
      </c>
      <c r="O665" s="18">
        <f>SUMPRODUCT(P665:AI665,Sheet2!$B$3:$U$3)</f>
        <v>82895</v>
      </c>
      <c r="P665" s="18">
        <f>CEILING(INDEX([1]系统模型!$VD:$VD,MATCH(C665,[1]系统模型!$A:$A,0))*POWER(C665/220,3.8)-50+(1000-A665),1)</f>
        <v>1428</v>
      </c>
      <c r="Q665" s="18">
        <f>CEILING(INDEX([1]系统模型!$VE:$VE,MATCH(C665,[1]系统模型!$A:$A,0))*POWER(C665/220,4),1)</f>
        <v>131</v>
      </c>
      <c r="R665" s="18">
        <f>INT(INDEX([1]系统模型!$VF:$VF,MATCH(C665,[1]系统模型!$A:$A,0))*MAX(POWER(C665/180,4),0.5))</f>
        <v>9220</v>
      </c>
      <c r="S665" s="5">
        <v>1000</v>
      </c>
      <c r="T665" s="25">
        <v>0</v>
      </c>
      <c r="U665" s="25">
        <v>0</v>
      </c>
      <c r="V665" s="25">
        <v>0</v>
      </c>
      <c r="W665" s="25">
        <v>0</v>
      </c>
      <c r="X665" s="25">
        <f t="shared" si="115"/>
        <v>461</v>
      </c>
      <c r="Y665" s="12">
        <v>0</v>
      </c>
      <c r="Z665" s="25">
        <v>100</v>
      </c>
      <c r="AA665" s="25">
        <v>150</v>
      </c>
      <c r="AB665" s="25">
        <v>0</v>
      </c>
      <c r="AC665" s="25">
        <v>0</v>
      </c>
      <c r="AD665" s="25">
        <v>0</v>
      </c>
      <c r="AE665" s="25">
        <f t="shared" si="116"/>
        <v>302</v>
      </c>
      <c r="AF665" s="25">
        <f t="shared" si="117"/>
        <v>302</v>
      </c>
      <c r="AG665" s="25">
        <v>0</v>
      </c>
      <c r="AH665" s="25">
        <f t="shared" si="118"/>
        <v>2575</v>
      </c>
      <c r="AI665" s="25">
        <f t="shared" si="119"/>
        <v>19</v>
      </c>
      <c r="AJ665" s="25">
        <v>1</v>
      </c>
      <c r="AK665" s="25">
        <v>1000</v>
      </c>
      <c r="AL665" s="25">
        <v>100</v>
      </c>
      <c r="AM665" s="26">
        <v>10</v>
      </c>
      <c r="AN665" s="26">
        <v>10</v>
      </c>
      <c r="AO665" s="22" t="s">
        <v>2211</v>
      </c>
      <c r="AP665" s="26">
        <v>0</v>
      </c>
      <c r="AQ665" s="26">
        <f t="shared" si="120"/>
        <v>330</v>
      </c>
      <c r="AR665" s="18" t="str">
        <f ca="1">CONCATENATE(OFFSET(Sheet1!$A$2,RANDBETWEEN(2,500),0,1,1),OFFSET(Sheet1!$A$2,RANDBETWEEN(2,500),RANDBETWEEN(1,5),1,1))</f>
        <v>布赖特维达</v>
      </c>
      <c r="AS665">
        <f>SUMPRODUCT(P665:AI665,Sheet2!$B$3:$U$3)</f>
        <v>82895</v>
      </c>
    </row>
    <row r="666" spans="1:45" x14ac:dyDescent="0.15">
      <c r="A666" s="18">
        <v>665</v>
      </c>
      <c r="B666" s="18" t="s">
        <v>1243</v>
      </c>
      <c r="C666" s="18">
        <f t="shared" si="110"/>
        <v>151</v>
      </c>
      <c r="D666" s="19">
        <f t="shared" si="111"/>
        <v>3</v>
      </c>
      <c r="E666" s="19">
        <f>VLOOKUP(MOD(A666,4),各职业基础配置!C$32:D$35,2,FALSE)</f>
        <v>3</v>
      </c>
      <c r="F666" s="19">
        <f>IF(A666&lt;900,INDEX(各职业基础配置!C$23:C$28,MOD(ROW(A666),4)+1),0)</f>
        <v>14</v>
      </c>
      <c r="G666" s="19">
        <f t="shared" si="112"/>
        <v>12</v>
      </c>
      <c r="H666" s="27">
        <f t="shared" si="113"/>
        <v>2</v>
      </c>
      <c r="I666" s="6" t="s">
        <v>164</v>
      </c>
      <c r="J666" s="23" t="str">
        <f>VLOOKUP(E666,各职业基础配置!$B$9:$C$12,2,FALSE)</f>
        <v>106|107|108|4201|110</v>
      </c>
      <c r="K666" s="18" t="str">
        <f>VLOOKUP(E666,各职业基础配置!$B$15:$C$18,2,FALSE)</f>
        <v>20|21|22|23</v>
      </c>
      <c r="L666" s="18" t="str">
        <f>VLOOKUP(E666,各职业基础配置!B:C,2,FALSE)</f>
        <v>[{20,1,1},{21,1,1},{22,1,1},{23,1,1},{4,1,1},{5,1,1},{6,1,1}]</v>
      </c>
      <c r="M666" s="18">
        <v>0</v>
      </c>
      <c r="N666" s="18">
        <f t="shared" si="114"/>
        <v>7</v>
      </c>
      <c r="O666" s="18">
        <f>SUMPRODUCT(P666:AI666,Sheet2!$B$3:$U$3)</f>
        <v>82870</v>
      </c>
      <c r="P666" s="18">
        <f>CEILING(INDEX([1]系统模型!$VD:$VD,MATCH(C666,[1]系统模型!$A:$A,0))*POWER(C666/220,3.8)-50+(1000-A666),1)</f>
        <v>1427</v>
      </c>
      <c r="Q666" s="18">
        <f>CEILING(INDEX([1]系统模型!$VE:$VE,MATCH(C666,[1]系统模型!$A:$A,0))*POWER(C666/220,4),1)</f>
        <v>131</v>
      </c>
      <c r="R666" s="18">
        <f>INT(INDEX([1]系统模型!$VF:$VF,MATCH(C666,[1]系统模型!$A:$A,0))*MAX(POWER(C666/180,4),0.5))</f>
        <v>9220</v>
      </c>
      <c r="S666" s="5">
        <v>1000</v>
      </c>
      <c r="T666" s="25">
        <v>0</v>
      </c>
      <c r="U666" s="25">
        <v>0</v>
      </c>
      <c r="V666" s="25">
        <v>0</v>
      </c>
      <c r="W666" s="25">
        <v>0</v>
      </c>
      <c r="X666" s="25">
        <f t="shared" si="115"/>
        <v>461</v>
      </c>
      <c r="Y666" s="12">
        <v>0</v>
      </c>
      <c r="Z666" s="25">
        <v>100</v>
      </c>
      <c r="AA666" s="25">
        <v>150</v>
      </c>
      <c r="AB666" s="25">
        <v>0</v>
      </c>
      <c r="AC666" s="25">
        <v>0</v>
      </c>
      <c r="AD666" s="25">
        <v>0</v>
      </c>
      <c r="AE666" s="25">
        <f t="shared" si="116"/>
        <v>302</v>
      </c>
      <c r="AF666" s="25">
        <f t="shared" si="117"/>
        <v>302</v>
      </c>
      <c r="AG666" s="25">
        <v>0</v>
      </c>
      <c r="AH666" s="25">
        <f t="shared" si="118"/>
        <v>2575</v>
      </c>
      <c r="AI666" s="25">
        <f t="shared" si="119"/>
        <v>19</v>
      </c>
      <c r="AJ666" s="25">
        <v>1</v>
      </c>
      <c r="AK666" s="25">
        <v>1000</v>
      </c>
      <c r="AL666" s="25">
        <v>100</v>
      </c>
      <c r="AM666" s="26">
        <v>10</v>
      </c>
      <c r="AN666" s="26">
        <v>10</v>
      </c>
      <c r="AO666" s="22" t="s">
        <v>2211</v>
      </c>
      <c r="AP666" s="26">
        <v>0</v>
      </c>
      <c r="AQ666" s="26">
        <f t="shared" si="120"/>
        <v>330</v>
      </c>
      <c r="AR666" s="18" t="str">
        <f ca="1">CONCATENATE(OFFSET(Sheet1!$A$2,RANDBETWEEN(2,500),0,1,1),OFFSET(Sheet1!$A$2,RANDBETWEEN(2,500),RANDBETWEEN(1,5),1,1))</f>
        <v>伯纳德嘉利</v>
      </c>
      <c r="AS666">
        <f>SUMPRODUCT(P666:AI666,Sheet2!$B$3:$U$3)</f>
        <v>82870</v>
      </c>
    </row>
    <row r="667" spans="1:45" x14ac:dyDescent="0.15">
      <c r="A667" s="23">
        <v>666</v>
      </c>
      <c r="B667" s="18" t="s">
        <v>410</v>
      </c>
      <c r="C667" s="18">
        <f t="shared" si="110"/>
        <v>151</v>
      </c>
      <c r="D667" s="19">
        <f t="shared" si="111"/>
        <v>2</v>
      </c>
      <c r="E667" s="19">
        <f>VLOOKUP(MOD(A667,4),各职业基础配置!C$32:D$35,2,FALSE)</f>
        <v>6</v>
      </c>
      <c r="F667" s="19">
        <f>IF(A667&lt;900,INDEX(各职业基础配置!C$23:C$28,MOD(ROW(A667),4)+1),0)</f>
        <v>16</v>
      </c>
      <c r="G667" s="19">
        <f t="shared" si="112"/>
        <v>12</v>
      </c>
      <c r="H667" s="27">
        <f t="shared" si="113"/>
        <v>2</v>
      </c>
      <c r="I667" s="6" t="s">
        <v>164</v>
      </c>
      <c r="J667" s="23" t="str">
        <f>VLOOKUP(E667,各职业基础配置!$B$9:$C$12,2,FALSE)</f>
        <v>111|112|113|4201|115</v>
      </c>
      <c r="K667" s="18" t="str">
        <f>VLOOKUP(E667,各职业基础配置!$B$15:$C$18,2,FALSE)</f>
        <v>32|33|34</v>
      </c>
      <c r="L667" s="18" t="str">
        <f>VLOOKUP(E667,各职业基础配置!B:C,2,FALSE)</f>
        <v>[{32,1,1},{33,1,1},{34,1,1},{35,1,1},{7,1,1},{8,1,1},{9,1,1}]</v>
      </c>
      <c r="M667" s="18">
        <v>0</v>
      </c>
      <c r="N667" s="18">
        <f t="shared" si="114"/>
        <v>7</v>
      </c>
      <c r="O667" s="18">
        <f>SUMPRODUCT(P667:AI667,Sheet2!$B$3:$U$3)</f>
        <v>82845</v>
      </c>
      <c r="P667" s="18">
        <f>CEILING(INDEX([1]系统模型!$VD:$VD,MATCH(C667,[1]系统模型!$A:$A,0))*POWER(C667/220,3.8)-50+(1000-A667),1)</f>
        <v>1426</v>
      </c>
      <c r="Q667" s="18">
        <f>CEILING(INDEX([1]系统模型!$VE:$VE,MATCH(C667,[1]系统模型!$A:$A,0))*POWER(C667/220,4),1)</f>
        <v>131</v>
      </c>
      <c r="R667" s="18">
        <f>INT(INDEX([1]系统模型!$VF:$VF,MATCH(C667,[1]系统模型!$A:$A,0))*MAX(POWER(C667/180,4),0.5))</f>
        <v>9220</v>
      </c>
      <c r="S667" s="5">
        <v>1000</v>
      </c>
      <c r="T667" s="25">
        <v>0</v>
      </c>
      <c r="U667" s="25">
        <v>0</v>
      </c>
      <c r="V667" s="25">
        <v>0</v>
      </c>
      <c r="W667" s="25">
        <v>0</v>
      </c>
      <c r="X667" s="25">
        <f t="shared" si="115"/>
        <v>461</v>
      </c>
      <c r="Y667" s="12">
        <v>0</v>
      </c>
      <c r="Z667" s="25">
        <v>100</v>
      </c>
      <c r="AA667" s="25">
        <v>150</v>
      </c>
      <c r="AB667" s="25">
        <v>0</v>
      </c>
      <c r="AC667" s="25">
        <v>0</v>
      </c>
      <c r="AD667" s="25">
        <v>0</v>
      </c>
      <c r="AE667" s="25">
        <f t="shared" si="116"/>
        <v>302</v>
      </c>
      <c r="AF667" s="25">
        <f t="shared" si="117"/>
        <v>302</v>
      </c>
      <c r="AG667" s="25">
        <v>0</v>
      </c>
      <c r="AH667" s="25">
        <f t="shared" si="118"/>
        <v>2575</v>
      </c>
      <c r="AI667" s="25">
        <f t="shared" si="119"/>
        <v>19</v>
      </c>
      <c r="AJ667" s="25">
        <v>1</v>
      </c>
      <c r="AK667" s="25">
        <v>1000</v>
      </c>
      <c r="AL667" s="25">
        <v>100</v>
      </c>
      <c r="AM667" s="26">
        <v>10</v>
      </c>
      <c r="AN667" s="26">
        <v>10</v>
      </c>
      <c r="AO667" s="22" t="s">
        <v>2211</v>
      </c>
      <c r="AP667" s="26">
        <v>0</v>
      </c>
      <c r="AQ667" s="26">
        <f t="shared" si="120"/>
        <v>330</v>
      </c>
      <c r="AR667" s="18" t="str">
        <f ca="1">CONCATENATE(OFFSET(Sheet1!$A$2,RANDBETWEEN(2,500),0,1,1),OFFSET(Sheet1!$A$2,RANDBETWEEN(2,500),RANDBETWEEN(1,5),1,1))</f>
        <v>霍姆斯</v>
      </c>
      <c r="AS667">
        <f>SUMPRODUCT(P667:AI667,Sheet2!$B$3:$U$3)</f>
        <v>82845</v>
      </c>
    </row>
    <row r="668" spans="1:45" x14ac:dyDescent="0.15">
      <c r="A668" s="18">
        <v>667</v>
      </c>
      <c r="B668" s="18" t="s">
        <v>2085</v>
      </c>
      <c r="C668" s="18">
        <f t="shared" si="110"/>
        <v>151</v>
      </c>
      <c r="D668" s="19">
        <f t="shared" si="111"/>
        <v>3</v>
      </c>
      <c r="E668" s="19">
        <f>VLOOKUP(MOD(A668,4),各职业基础配置!C$32:D$35,2,FALSE)</f>
        <v>9</v>
      </c>
      <c r="F668" s="19">
        <f>IF(A668&lt;900,INDEX(各职业基础配置!C$23:C$28,MOD(ROW(A668),4)+1),0)</f>
        <v>8</v>
      </c>
      <c r="G668" s="19">
        <f t="shared" si="112"/>
        <v>12</v>
      </c>
      <c r="H668" s="27">
        <f t="shared" si="113"/>
        <v>2</v>
      </c>
      <c r="I668" s="6" t="s">
        <v>164</v>
      </c>
      <c r="J668" s="23" t="str">
        <f>VLOOKUP(E668,各职业基础配置!$B$9:$C$12,2,FALSE)</f>
        <v>116|117|118|4201|120</v>
      </c>
      <c r="K668" s="18" t="str">
        <f>VLOOKUP(E668,各职业基础配置!$B$15:$C$18,2,FALSE)</f>
        <v>28|29|30|31</v>
      </c>
      <c r="L668" s="18" t="str">
        <f>VLOOKUP(E668,各职业基础配置!B:C,2,FALSE)</f>
        <v>[{28,1,1},{29,1,1},{30,1,1},{31,1,1},{10,1,1},{11,1,1},{12,1,1}]</v>
      </c>
      <c r="M668" s="18">
        <v>0</v>
      </c>
      <c r="N668" s="18">
        <f t="shared" si="114"/>
        <v>3</v>
      </c>
      <c r="O668" s="18">
        <f>SUMPRODUCT(P668:AI668,Sheet2!$B$3:$U$3)</f>
        <v>82820</v>
      </c>
      <c r="P668" s="18">
        <f>CEILING(INDEX([1]系统模型!$VD:$VD,MATCH(C668,[1]系统模型!$A:$A,0))*POWER(C668/220,3.8)-50+(1000-A668),1)</f>
        <v>1425</v>
      </c>
      <c r="Q668" s="18">
        <f>CEILING(INDEX([1]系统模型!$VE:$VE,MATCH(C668,[1]系统模型!$A:$A,0))*POWER(C668/220,4),1)</f>
        <v>131</v>
      </c>
      <c r="R668" s="18">
        <f>INT(INDEX([1]系统模型!$VF:$VF,MATCH(C668,[1]系统模型!$A:$A,0))*MAX(POWER(C668/180,4),0.5))</f>
        <v>9220</v>
      </c>
      <c r="S668" s="5">
        <v>1000</v>
      </c>
      <c r="T668" s="25">
        <v>0</v>
      </c>
      <c r="U668" s="25">
        <v>0</v>
      </c>
      <c r="V668" s="25">
        <v>0</v>
      </c>
      <c r="W668" s="25">
        <v>0</v>
      </c>
      <c r="X668" s="25">
        <f t="shared" si="115"/>
        <v>461</v>
      </c>
      <c r="Y668" s="12">
        <v>0</v>
      </c>
      <c r="Z668" s="25">
        <v>100</v>
      </c>
      <c r="AA668" s="25">
        <v>150</v>
      </c>
      <c r="AB668" s="25">
        <v>0</v>
      </c>
      <c r="AC668" s="25">
        <v>0</v>
      </c>
      <c r="AD668" s="25">
        <v>0</v>
      </c>
      <c r="AE668" s="25">
        <f t="shared" si="116"/>
        <v>302</v>
      </c>
      <c r="AF668" s="25">
        <f t="shared" si="117"/>
        <v>302</v>
      </c>
      <c r="AG668" s="25">
        <v>0</v>
      </c>
      <c r="AH668" s="25">
        <f t="shared" si="118"/>
        <v>2575</v>
      </c>
      <c r="AI668" s="25">
        <f t="shared" si="119"/>
        <v>19</v>
      </c>
      <c r="AJ668" s="25">
        <v>1</v>
      </c>
      <c r="AK668" s="25">
        <v>1000</v>
      </c>
      <c r="AL668" s="25">
        <v>100</v>
      </c>
      <c r="AM668" s="26">
        <v>10</v>
      </c>
      <c r="AN668" s="26">
        <v>10</v>
      </c>
      <c r="AO668" s="22" t="s">
        <v>2211</v>
      </c>
      <c r="AP668" s="26">
        <v>0</v>
      </c>
      <c r="AQ668" s="26">
        <f t="shared" si="120"/>
        <v>320</v>
      </c>
      <c r="AR668" s="18" t="str">
        <f ca="1">CONCATENATE(OFFSET(Sheet1!$A$2,RANDBETWEEN(2,500),0,1,1),OFFSET(Sheet1!$A$2,RANDBETWEEN(2,500),RANDBETWEEN(1,5),1,1))</f>
        <v>康尼</v>
      </c>
      <c r="AS668">
        <f>SUMPRODUCT(P668:AI668,Sheet2!$B$3:$U$3)</f>
        <v>82820</v>
      </c>
    </row>
    <row r="669" spans="1:45" x14ac:dyDescent="0.15">
      <c r="A669" s="18">
        <v>668</v>
      </c>
      <c r="B669" s="18" t="s">
        <v>2086</v>
      </c>
      <c r="C669" s="18">
        <f t="shared" si="110"/>
        <v>151</v>
      </c>
      <c r="D669" s="19">
        <f t="shared" si="111"/>
        <v>2</v>
      </c>
      <c r="E669" s="19">
        <f>VLOOKUP(MOD(A669,4),各职业基础配置!C$32:D$35,2,FALSE)</f>
        <v>1</v>
      </c>
      <c r="F669" s="19">
        <f>IF(A669&lt;900,INDEX(各职业基础配置!C$23:C$28,MOD(ROW(A669),4)+1),0)</f>
        <v>13</v>
      </c>
      <c r="G669" s="19">
        <f t="shared" si="112"/>
        <v>12</v>
      </c>
      <c r="H669" s="27">
        <f t="shared" si="113"/>
        <v>2</v>
      </c>
      <c r="I669" s="6" t="s">
        <v>164</v>
      </c>
      <c r="J669" s="23" t="str">
        <f>VLOOKUP(E669,各职业基础配置!$B$9:$C$12,2,FALSE)</f>
        <v>101|102|103|4201|105</v>
      </c>
      <c r="K669" s="18" t="str">
        <f>VLOOKUP(E669,各职业基础配置!$B$15:$C$18,2,FALSE)</f>
        <v>24|25|26|27</v>
      </c>
      <c r="L669" s="18" t="str">
        <f>VLOOKUP(E669,各职业基础配置!B:C,2,FALSE)</f>
        <v>[{24,1,1},{25,1,1},{26,1,1},{27,1,1},{1,1,1},{2,1,1},{3,1,1}]</v>
      </c>
      <c r="M669" s="18">
        <v>0</v>
      </c>
      <c r="N669" s="18">
        <f t="shared" si="114"/>
        <v>3</v>
      </c>
      <c r="O669" s="18">
        <f>SUMPRODUCT(P669:AI669,Sheet2!$B$3:$U$3)</f>
        <v>82770</v>
      </c>
      <c r="P669" s="18">
        <f>CEILING(INDEX([1]系统模型!$VD:$VD,MATCH(C669,[1]系统模型!$A:$A,0))*POWER(C669/220,3.8)-50+(1000-A669),1)</f>
        <v>1424</v>
      </c>
      <c r="Q669" s="18">
        <f>CEILING(INDEX([1]系统模型!$VE:$VE,MATCH(C669,[1]系统模型!$A:$A,0))*POWER(C669/220,4),1)</f>
        <v>131</v>
      </c>
      <c r="R669" s="18">
        <f>INT(INDEX([1]系统模型!$VF:$VF,MATCH(C669,[1]系统模型!$A:$A,0))*MAX(POWER(C669/180,4),0.5))</f>
        <v>9220</v>
      </c>
      <c r="S669" s="5">
        <v>1000</v>
      </c>
      <c r="T669" s="25">
        <v>0</v>
      </c>
      <c r="U669" s="25">
        <v>0</v>
      </c>
      <c r="V669" s="25">
        <v>0</v>
      </c>
      <c r="W669" s="25">
        <v>0</v>
      </c>
      <c r="X669" s="25">
        <f t="shared" si="115"/>
        <v>461</v>
      </c>
      <c r="Y669" s="12">
        <v>0</v>
      </c>
      <c r="Z669" s="25">
        <v>100</v>
      </c>
      <c r="AA669" s="25">
        <v>150</v>
      </c>
      <c r="AB669" s="25">
        <v>0</v>
      </c>
      <c r="AC669" s="25">
        <v>0</v>
      </c>
      <c r="AD669" s="25">
        <v>0</v>
      </c>
      <c r="AE669" s="25">
        <f t="shared" si="116"/>
        <v>302</v>
      </c>
      <c r="AF669" s="25">
        <f t="shared" si="117"/>
        <v>302</v>
      </c>
      <c r="AG669" s="25">
        <v>0</v>
      </c>
      <c r="AH669" s="25">
        <f t="shared" si="118"/>
        <v>2575</v>
      </c>
      <c r="AI669" s="25">
        <f t="shared" si="119"/>
        <v>18</v>
      </c>
      <c r="AJ669" s="25">
        <v>1</v>
      </c>
      <c r="AK669" s="25">
        <v>1000</v>
      </c>
      <c r="AL669" s="25">
        <v>100</v>
      </c>
      <c r="AM669" s="26">
        <v>10</v>
      </c>
      <c r="AN669" s="26">
        <v>10</v>
      </c>
      <c r="AO669" s="22" t="s">
        <v>2211</v>
      </c>
      <c r="AP669" s="26">
        <v>0</v>
      </c>
      <c r="AQ669" s="26">
        <f t="shared" si="120"/>
        <v>320</v>
      </c>
      <c r="AR669" s="18" t="str">
        <f ca="1">CONCATENATE(OFFSET(Sheet1!$A$2,RANDBETWEEN(2,500),0,1,1),OFFSET(Sheet1!$A$2,RANDBETWEEN(2,500),RANDBETWEEN(1,5),1,1))</f>
        <v>坎普</v>
      </c>
      <c r="AS669">
        <f>SUMPRODUCT(P669:AI669,Sheet2!$B$3:$U$3)</f>
        <v>82770</v>
      </c>
    </row>
    <row r="670" spans="1:45" x14ac:dyDescent="0.15">
      <c r="A670" s="23">
        <v>669</v>
      </c>
      <c r="B670" s="18" t="s">
        <v>1009</v>
      </c>
      <c r="C670" s="18">
        <f t="shared" si="110"/>
        <v>150</v>
      </c>
      <c r="D670" s="19">
        <f t="shared" si="111"/>
        <v>3</v>
      </c>
      <c r="E670" s="19">
        <f>VLOOKUP(MOD(A670,4),各职业基础配置!C$32:D$35,2,FALSE)</f>
        <v>3</v>
      </c>
      <c r="F670" s="19">
        <f>IF(A670&lt;900,INDEX(各职业基础配置!C$23:C$28,MOD(ROW(A670),4)+1),0)</f>
        <v>14</v>
      </c>
      <c r="G670" s="19">
        <f t="shared" si="112"/>
        <v>11</v>
      </c>
      <c r="H670" s="27">
        <f t="shared" si="113"/>
        <v>1</v>
      </c>
      <c r="I670" s="6" t="s">
        <v>164</v>
      </c>
      <c r="J670" s="23" t="str">
        <f>VLOOKUP(E670,各职业基础配置!$B$9:$C$12,2,FALSE)</f>
        <v>106|107|108|4201|110</v>
      </c>
      <c r="K670" s="18" t="str">
        <f>VLOOKUP(E670,各职业基础配置!$B$15:$C$18,2,FALSE)</f>
        <v>20|21|22|23</v>
      </c>
      <c r="L670" s="18" t="str">
        <f>VLOOKUP(E670,各职业基础配置!B:C,2,FALSE)</f>
        <v>[{20,1,1},{21,1,1},{22,1,1},{23,1,1},{4,1,1},{5,1,1},{6,1,1}]</v>
      </c>
      <c r="M670" s="18">
        <v>0</v>
      </c>
      <c r="N670" s="18">
        <f t="shared" si="114"/>
        <v>7</v>
      </c>
      <c r="O670" s="18">
        <f>SUMPRODUCT(P670:AI670,Sheet2!$B$3:$U$3)</f>
        <v>80827</v>
      </c>
      <c r="P670" s="18">
        <f>CEILING(INDEX([1]系统模型!$VD:$VD,MATCH(C670,[1]系统模型!$A:$A,0))*POWER(C670/220,3.8)-50+(1000-A670),1)</f>
        <v>1378</v>
      </c>
      <c r="Q670" s="18">
        <f>CEILING(INDEX([1]系统模型!$VE:$VE,MATCH(C670,[1]系统模型!$A:$A,0))*POWER(C670/220,4),1)</f>
        <v>125</v>
      </c>
      <c r="R670" s="18">
        <f>INT(INDEX([1]系统模型!$VF:$VF,MATCH(C670,[1]系统模型!$A:$A,0))*MAX(POWER(C670/180,4),0.5))</f>
        <v>9052</v>
      </c>
      <c r="S670" s="5">
        <v>1000</v>
      </c>
      <c r="T670" s="25">
        <v>0</v>
      </c>
      <c r="U670" s="25">
        <v>0</v>
      </c>
      <c r="V670" s="25">
        <v>0</v>
      </c>
      <c r="W670" s="25">
        <v>0</v>
      </c>
      <c r="X670" s="25">
        <f t="shared" si="115"/>
        <v>452</v>
      </c>
      <c r="Y670" s="12">
        <v>0</v>
      </c>
      <c r="Z670" s="25">
        <v>100</v>
      </c>
      <c r="AA670" s="25">
        <v>150</v>
      </c>
      <c r="AB670" s="25">
        <v>0</v>
      </c>
      <c r="AC670" s="25">
        <v>0</v>
      </c>
      <c r="AD670" s="25">
        <v>0</v>
      </c>
      <c r="AE670" s="25">
        <f t="shared" si="116"/>
        <v>300</v>
      </c>
      <c r="AF670" s="25">
        <f t="shared" si="117"/>
        <v>300</v>
      </c>
      <c r="AG670" s="25">
        <v>0</v>
      </c>
      <c r="AH670" s="25">
        <f t="shared" si="118"/>
        <v>2500</v>
      </c>
      <c r="AI670" s="25">
        <f t="shared" si="119"/>
        <v>18</v>
      </c>
      <c r="AJ670" s="25">
        <v>1</v>
      </c>
      <c r="AK670" s="25">
        <v>1000</v>
      </c>
      <c r="AL670" s="25">
        <v>100</v>
      </c>
      <c r="AM670" s="26">
        <v>10</v>
      </c>
      <c r="AN670" s="26">
        <v>10</v>
      </c>
      <c r="AO670" s="22" t="s">
        <v>2211</v>
      </c>
      <c r="AP670" s="26">
        <v>0</v>
      </c>
      <c r="AQ670" s="26">
        <f t="shared" si="120"/>
        <v>320</v>
      </c>
      <c r="AR670" s="18" t="str">
        <f ca="1">CONCATENATE(OFFSET(Sheet1!$A$2,RANDBETWEEN(2,500),0,1,1),OFFSET(Sheet1!$A$2,RANDBETWEEN(2,500),RANDBETWEEN(1,5),1,1))</f>
        <v>蔡尔德卡米拉</v>
      </c>
      <c r="AS670">
        <f>SUMPRODUCT(P670:AI670,Sheet2!$B$3:$U$3)</f>
        <v>80827</v>
      </c>
    </row>
    <row r="671" spans="1:45" x14ac:dyDescent="0.15">
      <c r="A671" s="18">
        <v>670</v>
      </c>
      <c r="B671" s="18" t="s">
        <v>447</v>
      </c>
      <c r="C671" s="18">
        <f t="shared" si="110"/>
        <v>150</v>
      </c>
      <c r="D671" s="19">
        <f t="shared" si="111"/>
        <v>2</v>
      </c>
      <c r="E671" s="19">
        <f>VLOOKUP(MOD(A671,4),各职业基础配置!C$32:D$35,2,FALSE)</f>
        <v>6</v>
      </c>
      <c r="F671" s="19">
        <f>IF(A671&lt;900,INDEX(各职业基础配置!C$23:C$28,MOD(ROW(A671),4)+1),0)</f>
        <v>16</v>
      </c>
      <c r="G671" s="19">
        <f t="shared" si="112"/>
        <v>11</v>
      </c>
      <c r="H671" s="27">
        <f t="shared" si="113"/>
        <v>1</v>
      </c>
      <c r="I671" s="6" t="s">
        <v>164</v>
      </c>
      <c r="J671" s="23" t="str">
        <f>VLOOKUP(E671,各职业基础配置!$B$9:$C$12,2,FALSE)</f>
        <v>111|112|113|4201|115</v>
      </c>
      <c r="K671" s="18" t="str">
        <f>VLOOKUP(E671,各职业基础配置!$B$15:$C$18,2,FALSE)</f>
        <v>32|33|34</v>
      </c>
      <c r="L671" s="18" t="str">
        <f>VLOOKUP(E671,各职业基础配置!B:C,2,FALSE)</f>
        <v>[{32,1,1},{33,1,1},{34,1,1},{35,1,1},{7,1,1},{8,1,1},{9,1,1}]</v>
      </c>
      <c r="M671" s="18">
        <v>0</v>
      </c>
      <c r="N671" s="18">
        <f t="shared" si="114"/>
        <v>7</v>
      </c>
      <c r="O671" s="18">
        <f>SUMPRODUCT(P671:AI671,Sheet2!$B$3:$U$3)</f>
        <v>80802</v>
      </c>
      <c r="P671" s="18">
        <f>CEILING(INDEX([1]系统模型!$VD:$VD,MATCH(C671,[1]系统模型!$A:$A,0))*POWER(C671/220,3.8)-50+(1000-A671),1)</f>
        <v>1377</v>
      </c>
      <c r="Q671" s="18">
        <f>CEILING(INDEX([1]系统模型!$VE:$VE,MATCH(C671,[1]系统模型!$A:$A,0))*POWER(C671/220,4),1)</f>
        <v>125</v>
      </c>
      <c r="R671" s="18">
        <f>INT(INDEX([1]系统模型!$VF:$VF,MATCH(C671,[1]系统模型!$A:$A,0))*MAX(POWER(C671/180,4),0.5))</f>
        <v>9052</v>
      </c>
      <c r="S671" s="5">
        <v>1000</v>
      </c>
      <c r="T671" s="25">
        <v>0</v>
      </c>
      <c r="U671" s="25">
        <v>0</v>
      </c>
      <c r="V671" s="25">
        <v>0</v>
      </c>
      <c r="W671" s="25">
        <v>0</v>
      </c>
      <c r="X671" s="25">
        <f t="shared" si="115"/>
        <v>452</v>
      </c>
      <c r="Y671" s="12">
        <v>0</v>
      </c>
      <c r="Z671" s="25">
        <v>100</v>
      </c>
      <c r="AA671" s="25">
        <v>150</v>
      </c>
      <c r="AB671" s="25">
        <v>0</v>
      </c>
      <c r="AC671" s="25">
        <v>0</v>
      </c>
      <c r="AD671" s="25">
        <v>0</v>
      </c>
      <c r="AE671" s="25">
        <f t="shared" si="116"/>
        <v>300</v>
      </c>
      <c r="AF671" s="25">
        <f t="shared" si="117"/>
        <v>300</v>
      </c>
      <c r="AG671" s="25">
        <v>0</v>
      </c>
      <c r="AH671" s="25">
        <f t="shared" si="118"/>
        <v>2500</v>
      </c>
      <c r="AI671" s="25">
        <f t="shared" si="119"/>
        <v>18</v>
      </c>
      <c r="AJ671" s="25">
        <v>1</v>
      </c>
      <c r="AK671" s="25">
        <v>1000</v>
      </c>
      <c r="AL671" s="25">
        <v>100</v>
      </c>
      <c r="AM671" s="26">
        <v>10</v>
      </c>
      <c r="AN671" s="26">
        <v>10</v>
      </c>
      <c r="AO671" s="22" t="s">
        <v>2211</v>
      </c>
      <c r="AP671" s="26">
        <v>0</v>
      </c>
      <c r="AQ671" s="26">
        <f t="shared" si="120"/>
        <v>320</v>
      </c>
      <c r="AR671" s="18" t="str">
        <f ca="1">CONCATENATE(OFFSET(Sheet1!$A$2,RANDBETWEEN(2,500),0,1,1),OFFSET(Sheet1!$A$2,RANDBETWEEN(2,500),RANDBETWEEN(1,5),1,1))</f>
        <v>埃利诺夏洛特</v>
      </c>
      <c r="AS671">
        <f>SUMPRODUCT(P671:AI671,Sheet2!$B$3:$U$3)</f>
        <v>80802</v>
      </c>
    </row>
    <row r="672" spans="1:45" x14ac:dyDescent="0.15">
      <c r="A672" s="18">
        <v>671</v>
      </c>
      <c r="B672" s="18" t="s">
        <v>725</v>
      </c>
      <c r="C672" s="18">
        <f t="shared" si="110"/>
        <v>150</v>
      </c>
      <c r="D672" s="19">
        <f t="shared" si="111"/>
        <v>3</v>
      </c>
      <c r="E672" s="19">
        <f>VLOOKUP(MOD(A672,4),各职业基础配置!C$32:D$35,2,FALSE)</f>
        <v>9</v>
      </c>
      <c r="F672" s="19">
        <f>IF(A672&lt;900,INDEX(各职业基础配置!C$23:C$28,MOD(ROW(A672),4)+1),0)</f>
        <v>8</v>
      </c>
      <c r="G672" s="19">
        <f t="shared" si="112"/>
        <v>11</v>
      </c>
      <c r="H672" s="27">
        <f t="shared" si="113"/>
        <v>1</v>
      </c>
      <c r="I672" s="6" t="s">
        <v>164</v>
      </c>
      <c r="J672" s="23" t="str">
        <f>VLOOKUP(E672,各职业基础配置!$B$9:$C$12,2,FALSE)</f>
        <v>116|117|118|4201|120</v>
      </c>
      <c r="K672" s="18" t="str">
        <f>VLOOKUP(E672,各职业基础配置!$B$15:$C$18,2,FALSE)</f>
        <v>28|29|30|31</v>
      </c>
      <c r="L672" s="18" t="str">
        <f>VLOOKUP(E672,各职业基础配置!B:C,2,FALSE)</f>
        <v>[{28,1,1},{29,1,1},{30,1,1},{31,1,1},{10,1,1},{11,1,1},{12,1,1}]</v>
      </c>
      <c r="M672" s="18">
        <v>0</v>
      </c>
      <c r="N672" s="18">
        <f t="shared" si="114"/>
        <v>3</v>
      </c>
      <c r="O672" s="18">
        <f>SUMPRODUCT(P672:AI672,Sheet2!$B$3:$U$3)</f>
        <v>80777</v>
      </c>
      <c r="P672" s="18">
        <f>CEILING(INDEX([1]系统模型!$VD:$VD,MATCH(C672,[1]系统模型!$A:$A,0))*POWER(C672/220,3.8)-50+(1000-A672),1)</f>
        <v>1376</v>
      </c>
      <c r="Q672" s="18">
        <f>CEILING(INDEX([1]系统模型!$VE:$VE,MATCH(C672,[1]系统模型!$A:$A,0))*POWER(C672/220,4),1)</f>
        <v>125</v>
      </c>
      <c r="R672" s="18">
        <f>INT(INDEX([1]系统模型!$VF:$VF,MATCH(C672,[1]系统模型!$A:$A,0))*MAX(POWER(C672/180,4),0.5))</f>
        <v>9052</v>
      </c>
      <c r="S672" s="5">
        <v>1000</v>
      </c>
      <c r="T672" s="25">
        <v>0</v>
      </c>
      <c r="U672" s="25">
        <v>0</v>
      </c>
      <c r="V672" s="25">
        <v>0</v>
      </c>
      <c r="W672" s="25">
        <v>0</v>
      </c>
      <c r="X672" s="25">
        <f t="shared" si="115"/>
        <v>452</v>
      </c>
      <c r="Y672" s="12">
        <v>0</v>
      </c>
      <c r="Z672" s="25">
        <v>100</v>
      </c>
      <c r="AA672" s="25">
        <v>150</v>
      </c>
      <c r="AB672" s="25">
        <v>0</v>
      </c>
      <c r="AC672" s="25">
        <v>0</v>
      </c>
      <c r="AD672" s="25">
        <v>0</v>
      </c>
      <c r="AE672" s="25">
        <f t="shared" si="116"/>
        <v>300</v>
      </c>
      <c r="AF672" s="25">
        <f t="shared" si="117"/>
        <v>300</v>
      </c>
      <c r="AG672" s="25">
        <v>0</v>
      </c>
      <c r="AH672" s="25">
        <f t="shared" si="118"/>
        <v>2500</v>
      </c>
      <c r="AI672" s="25">
        <f t="shared" si="119"/>
        <v>18</v>
      </c>
      <c r="AJ672" s="25">
        <v>1</v>
      </c>
      <c r="AK672" s="25">
        <v>1000</v>
      </c>
      <c r="AL672" s="25">
        <v>100</v>
      </c>
      <c r="AM672" s="26">
        <v>10</v>
      </c>
      <c r="AN672" s="26">
        <v>10</v>
      </c>
      <c r="AO672" s="22" t="s">
        <v>2211</v>
      </c>
      <c r="AP672" s="26">
        <v>0</v>
      </c>
      <c r="AQ672" s="26">
        <f t="shared" si="120"/>
        <v>320</v>
      </c>
      <c r="AR672" s="18" t="str">
        <f ca="1">CONCATENATE(OFFSET(Sheet1!$A$2,RANDBETWEEN(2,500),0,1,1),OFFSET(Sheet1!$A$2,RANDBETWEEN(2,500),RANDBETWEEN(1,5),1,1))</f>
        <v>埃拉</v>
      </c>
      <c r="AS672">
        <f>SUMPRODUCT(P672:AI672,Sheet2!$B$3:$U$3)</f>
        <v>80777</v>
      </c>
    </row>
    <row r="673" spans="1:45" x14ac:dyDescent="0.15">
      <c r="A673" s="23">
        <v>672</v>
      </c>
      <c r="B673" s="18" t="s">
        <v>2087</v>
      </c>
      <c r="C673" s="18">
        <f t="shared" si="110"/>
        <v>150</v>
      </c>
      <c r="D673" s="19">
        <f t="shared" si="111"/>
        <v>2</v>
      </c>
      <c r="E673" s="19">
        <f>VLOOKUP(MOD(A673,4),各职业基础配置!C$32:D$35,2,FALSE)</f>
        <v>1</v>
      </c>
      <c r="F673" s="19">
        <f>IF(A673&lt;900,INDEX(各职业基础配置!C$23:C$28,MOD(ROW(A673),4)+1),0)</f>
        <v>13</v>
      </c>
      <c r="G673" s="19">
        <f t="shared" si="112"/>
        <v>11</v>
      </c>
      <c r="H673" s="27">
        <f t="shared" si="113"/>
        <v>1</v>
      </c>
      <c r="I673" s="6" t="s">
        <v>164</v>
      </c>
      <c r="J673" s="23" t="str">
        <f>VLOOKUP(E673,各职业基础配置!$B$9:$C$12,2,FALSE)</f>
        <v>101|102|103|4201|105</v>
      </c>
      <c r="K673" s="18" t="str">
        <f>VLOOKUP(E673,各职业基础配置!$B$15:$C$18,2,FALSE)</f>
        <v>24|25|26|27</v>
      </c>
      <c r="L673" s="18" t="str">
        <f>VLOOKUP(E673,各职业基础配置!B:C,2,FALSE)</f>
        <v>[{24,1,1},{25,1,1},{26,1,1},{27,1,1},{1,1,1},{2,1,1},{3,1,1}]</v>
      </c>
      <c r="M673" s="18">
        <v>0</v>
      </c>
      <c r="N673" s="18">
        <f t="shared" si="114"/>
        <v>3</v>
      </c>
      <c r="O673" s="18">
        <f>SUMPRODUCT(P673:AI673,Sheet2!$B$3:$U$3)</f>
        <v>80752</v>
      </c>
      <c r="P673" s="18">
        <f>CEILING(INDEX([1]系统模型!$VD:$VD,MATCH(C673,[1]系统模型!$A:$A,0))*POWER(C673/220,3.8)-50+(1000-A673),1)</f>
        <v>1375</v>
      </c>
      <c r="Q673" s="18">
        <f>CEILING(INDEX([1]系统模型!$VE:$VE,MATCH(C673,[1]系统模型!$A:$A,0))*POWER(C673/220,4),1)</f>
        <v>125</v>
      </c>
      <c r="R673" s="18">
        <f>INT(INDEX([1]系统模型!$VF:$VF,MATCH(C673,[1]系统模型!$A:$A,0))*MAX(POWER(C673/180,4),0.5))</f>
        <v>9052</v>
      </c>
      <c r="S673" s="5">
        <v>1000</v>
      </c>
      <c r="T673" s="25">
        <v>0</v>
      </c>
      <c r="U673" s="25">
        <v>0</v>
      </c>
      <c r="V673" s="25">
        <v>0</v>
      </c>
      <c r="W673" s="25">
        <v>0</v>
      </c>
      <c r="X673" s="25">
        <f t="shared" si="115"/>
        <v>452</v>
      </c>
      <c r="Y673" s="12">
        <v>0</v>
      </c>
      <c r="Z673" s="25">
        <v>100</v>
      </c>
      <c r="AA673" s="25">
        <v>150</v>
      </c>
      <c r="AB673" s="25">
        <v>0</v>
      </c>
      <c r="AC673" s="25">
        <v>0</v>
      </c>
      <c r="AD673" s="25">
        <v>0</v>
      </c>
      <c r="AE673" s="25">
        <f t="shared" si="116"/>
        <v>300</v>
      </c>
      <c r="AF673" s="25">
        <f t="shared" si="117"/>
        <v>300</v>
      </c>
      <c r="AG673" s="25">
        <v>0</v>
      </c>
      <c r="AH673" s="25">
        <f t="shared" si="118"/>
        <v>2500</v>
      </c>
      <c r="AI673" s="25">
        <f t="shared" si="119"/>
        <v>18</v>
      </c>
      <c r="AJ673" s="25">
        <v>1</v>
      </c>
      <c r="AK673" s="25">
        <v>1000</v>
      </c>
      <c r="AL673" s="25">
        <v>100</v>
      </c>
      <c r="AM673" s="26">
        <v>10</v>
      </c>
      <c r="AN673" s="26">
        <v>10</v>
      </c>
      <c r="AO673" s="22" t="s">
        <v>2211</v>
      </c>
      <c r="AP673" s="26">
        <v>0</v>
      </c>
      <c r="AQ673" s="26">
        <f t="shared" si="120"/>
        <v>320</v>
      </c>
      <c r="AR673" s="18" t="str">
        <f ca="1">CONCATENATE(OFFSET(Sheet1!$A$2,RANDBETWEEN(2,500),0,1,1),OFFSET(Sheet1!$A$2,RANDBETWEEN(2,500),RANDBETWEEN(1,5),1,1))</f>
        <v>霍普金</v>
      </c>
      <c r="AS673">
        <f>SUMPRODUCT(P673:AI673,Sheet2!$B$3:$U$3)</f>
        <v>80752</v>
      </c>
    </row>
    <row r="674" spans="1:45" x14ac:dyDescent="0.15">
      <c r="A674" s="18">
        <v>673</v>
      </c>
      <c r="B674" s="18" t="s">
        <v>290</v>
      </c>
      <c r="C674" s="18">
        <f t="shared" si="110"/>
        <v>150</v>
      </c>
      <c r="D674" s="19">
        <f t="shared" si="111"/>
        <v>3</v>
      </c>
      <c r="E674" s="19">
        <f>VLOOKUP(MOD(A674,4),各职业基础配置!C$32:D$35,2,FALSE)</f>
        <v>3</v>
      </c>
      <c r="F674" s="19">
        <f>IF(A674&lt;900,INDEX(各职业基础配置!C$23:C$28,MOD(ROW(A674),4)+1),0)</f>
        <v>14</v>
      </c>
      <c r="G674" s="19">
        <f t="shared" si="112"/>
        <v>11</v>
      </c>
      <c r="H674" s="27">
        <f t="shared" si="113"/>
        <v>1</v>
      </c>
      <c r="I674" s="6" t="s">
        <v>164</v>
      </c>
      <c r="J674" s="23" t="str">
        <f>VLOOKUP(E674,各职业基础配置!$B$9:$C$12,2,FALSE)</f>
        <v>106|107|108|4201|110</v>
      </c>
      <c r="K674" s="18" t="str">
        <f>VLOOKUP(E674,各职业基础配置!$B$15:$C$18,2,FALSE)</f>
        <v>20|21|22|23</v>
      </c>
      <c r="L674" s="18" t="str">
        <f>VLOOKUP(E674,各职业基础配置!B:C,2,FALSE)</f>
        <v>[{20,1,1},{21,1,1},{22,1,1},{23,1,1},{4,1,1},{5,1,1},{6,1,1}]</v>
      </c>
      <c r="M674" s="18">
        <v>0</v>
      </c>
      <c r="N674" s="18">
        <f t="shared" si="114"/>
        <v>7</v>
      </c>
      <c r="O674" s="18">
        <f>SUMPRODUCT(P674:AI674,Sheet2!$B$3:$U$3)</f>
        <v>80727</v>
      </c>
      <c r="P674" s="18">
        <f>CEILING(INDEX([1]系统模型!$VD:$VD,MATCH(C674,[1]系统模型!$A:$A,0))*POWER(C674/220,3.8)-50+(1000-A674),1)</f>
        <v>1374</v>
      </c>
      <c r="Q674" s="18">
        <f>CEILING(INDEX([1]系统模型!$VE:$VE,MATCH(C674,[1]系统模型!$A:$A,0))*POWER(C674/220,4),1)</f>
        <v>125</v>
      </c>
      <c r="R674" s="18">
        <f>INT(INDEX([1]系统模型!$VF:$VF,MATCH(C674,[1]系统模型!$A:$A,0))*MAX(POWER(C674/180,4),0.5))</f>
        <v>9052</v>
      </c>
      <c r="S674" s="5">
        <v>1000</v>
      </c>
      <c r="T674" s="25">
        <v>0</v>
      </c>
      <c r="U674" s="25">
        <v>0</v>
      </c>
      <c r="V674" s="25">
        <v>0</v>
      </c>
      <c r="W674" s="25">
        <v>0</v>
      </c>
      <c r="X674" s="25">
        <f t="shared" si="115"/>
        <v>452</v>
      </c>
      <c r="Y674" s="12">
        <v>0</v>
      </c>
      <c r="Z674" s="25">
        <v>100</v>
      </c>
      <c r="AA674" s="25">
        <v>150</v>
      </c>
      <c r="AB674" s="25">
        <v>0</v>
      </c>
      <c r="AC674" s="25">
        <v>0</v>
      </c>
      <c r="AD674" s="25">
        <v>0</v>
      </c>
      <c r="AE674" s="25">
        <f t="shared" si="116"/>
        <v>300</v>
      </c>
      <c r="AF674" s="25">
        <f t="shared" si="117"/>
        <v>300</v>
      </c>
      <c r="AG674" s="25">
        <v>0</v>
      </c>
      <c r="AH674" s="25">
        <f t="shared" si="118"/>
        <v>2500</v>
      </c>
      <c r="AI674" s="25">
        <f t="shared" si="119"/>
        <v>18</v>
      </c>
      <c r="AJ674" s="25">
        <v>1</v>
      </c>
      <c r="AK674" s="25">
        <v>1000</v>
      </c>
      <c r="AL674" s="25">
        <v>100</v>
      </c>
      <c r="AM674" s="26">
        <v>10</v>
      </c>
      <c r="AN674" s="26">
        <v>10</v>
      </c>
      <c r="AO674" s="22" t="s">
        <v>2211</v>
      </c>
      <c r="AP674" s="26">
        <v>0</v>
      </c>
      <c r="AQ674" s="26">
        <f t="shared" si="120"/>
        <v>320</v>
      </c>
      <c r="AR674" s="18" t="str">
        <f ca="1">CONCATENATE(OFFSET(Sheet1!$A$2,RANDBETWEEN(2,500),0,1,1),OFFSET(Sheet1!$A$2,RANDBETWEEN(2,500),RANDBETWEEN(1,5),1,1))</f>
        <v>阿狄森</v>
      </c>
      <c r="AS674">
        <f>SUMPRODUCT(P674:AI674,Sheet2!$B$3:$U$3)</f>
        <v>80727</v>
      </c>
    </row>
    <row r="675" spans="1:45" x14ac:dyDescent="0.15">
      <c r="A675" s="18">
        <v>674</v>
      </c>
      <c r="B675" s="18" t="s">
        <v>2088</v>
      </c>
      <c r="C675" s="18">
        <f t="shared" si="110"/>
        <v>150</v>
      </c>
      <c r="D675" s="19">
        <f t="shared" si="111"/>
        <v>2</v>
      </c>
      <c r="E675" s="19">
        <f>VLOOKUP(MOD(A675,4),各职业基础配置!C$32:D$35,2,FALSE)</f>
        <v>6</v>
      </c>
      <c r="F675" s="19">
        <f>IF(A675&lt;900,INDEX(各职业基础配置!C$23:C$28,MOD(ROW(A675),4)+1),0)</f>
        <v>16</v>
      </c>
      <c r="G675" s="19">
        <f t="shared" si="112"/>
        <v>11</v>
      </c>
      <c r="H675" s="27">
        <f t="shared" si="113"/>
        <v>1</v>
      </c>
      <c r="I675" s="6" t="s">
        <v>164</v>
      </c>
      <c r="J675" s="23" t="str">
        <f>VLOOKUP(E675,各职业基础配置!$B$9:$C$12,2,FALSE)</f>
        <v>111|112|113|4201|115</v>
      </c>
      <c r="K675" s="18" t="str">
        <f>VLOOKUP(E675,各职业基础配置!$B$15:$C$18,2,FALSE)</f>
        <v>32|33|34</v>
      </c>
      <c r="L675" s="18" t="str">
        <f>VLOOKUP(E675,各职业基础配置!B:C,2,FALSE)</f>
        <v>[{32,1,1},{33,1,1},{34,1,1},{35,1,1},{7,1,1},{8,1,1},{9,1,1}]</v>
      </c>
      <c r="M675" s="18">
        <v>0</v>
      </c>
      <c r="N675" s="18">
        <f t="shared" si="114"/>
        <v>7</v>
      </c>
      <c r="O675" s="18">
        <f>SUMPRODUCT(P675:AI675,Sheet2!$B$3:$U$3)</f>
        <v>80702</v>
      </c>
      <c r="P675" s="18">
        <f>CEILING(INDEX([1]系统模型!$VD:$VD,MATCH(C675,[1]系统模型!$A:$A,0))*POWER(C675/220,3.8)-50+(1000-A675),1)</f>
        <v>1373</v>
      </c>
      <c r="Q675" s="18">
        <f>CEILING(INDEX([1]系统模型!$VE:$VE,MATCH(C675,[1]系统模型!$A:$A,0))*POWER(C675/220,4),1)</f>
        <v>125</v>
      </c>
      <c r="R675" s="18">
        <f>INT(INDEX([1]系统模型!$VF:$VF,MATCH(C675,[1]系统模型!$A:$A,0))*MAX(POWER(C675/180,4),0.5))</f>
        <v>9052</v>
      </c>
      <c r="S675" s="5">
        <v>1000</v>
      </c>
      <c r="T675" s="25">
        <v>0</v>
      </c>
      <c r="U675" s="25">
        <v>0</v>
      </c>
      <c r="V675" s="25">
        <v>0</v>
      </c>
      <c r="W675" s="25">
        <v>0</v>
      </c>
      <c r="X675" s="25">
        <f t="shared" si="115"/>
        <v>452</v>
      </c>
      <c r="Y675" s="12">
        <v>0</v>
      </c>
      <c r="Z675" s="25">
        <v>100</v>
      </c>
      <c r="AA675" s="25">
        <v>150</v>
      </c>
      <c r="AB675" s="25">
        <v>0</v>
      </c>
      <c r="AC675" s="25">
        <v>0</v>
      </c>
      <c r="AD675" s="25">
        <v>0</v>
      </c>
      <c r="AE675" s="25">
        <f t="shared" si="116"/>
        <v>300</v>
      </c>
      <c r="AF675" s="25">
        <f t="shared" si="117"/>
        <v>300</v>
      </c>
      <c r="AG675" s="25">
        <v>0</v>
      </c>
      <c r="AH675" s="25">
        <f t="shared" si="118"/>
        <v>2500</v>
      </c>
      <c r="AI675" s="25">
        <f t="shared" si="119"/>
        <v>18</v>
      </c>
      <c r="AJ675" s="25">
        <v>1</v>
      </c>
      <c r="AK675" s="25">
        <v>1000</v>
      </c>
      <c r="AL675" s="25">
        <v>100</v>
      </c>
      <c r="AM675" s="26">
        <v>10</v>
      </c>
      <c r="AN675" s="26">
        <v>10</v>
      </c>
      <c r="AO675" s="22" t="s">
        <v>2211</v>
      </c>
      <c r="AP675" s="26">
        <v>0</v>
      </c>
      <c r="AQ675" s="26">
        <f t="shared" si="120"/>
        <v>320</v>
      </c>
      <c r="AR675" s="18" t="str">
        <f ca="1">CONCATENATE(OFFSET(Sheet1!$A$2,RANDBETWEEN(2,500),0,1,1),OFFSET(Sheet1!$A$2,RANDBETWEEN(2,500),RANDBETWEEN(1,5),1,1))</f>
        <v>霍索恩</v>
      </c>
      <c r="AS675">
        <f>SUMPRODUCT(P675:AI675,Sheet2!$B$3:$U$3)</f>
        <v>80702</v>
      </c>
    </row>
    <row r="676" spans="1:45" x14ac:dyDescent="0.15">
      <c r="A676" s="23">
        <v>675</v>
      </c>
      <c r="B676" s="18" t="s">
        <v>1290</v>
      </c>
      <c r="C676" s="18">
        <f t="shared" si="110"/>
        <v>150</v>
      </c>
      <c r="D676" s="19">
        <f t="shared" si="111"/>
        <v>3</v>
      </c>
      <c r="E676" s="19">
        <f>VLOOKUP(MOD(A676,4),各职业基础配置!C$32:D$35,2,FALSE)</f>
        <v>9</v>
      </c>
      <c r="F676" s="19">
        <f>IF(A676&lt;900,INDEX(各职业基础配置!C$23:C$28,MOD(ROW(A676),4)+1),0)</f>
        <v>8</v>
      </c>
      <c r="G676" s="19">
        <f t="shared" si="112"/>
        <v>11</v>
      </c>
      <c r="H676" s="27">
        <f t="shared" si="113"/>
        <v>1</v>
      </c>
      <c r="I676" s="6" t="s">
        <v>164</v>
      </c>
      <c r="J676" s="23" t="str">
        <f>VLOOKUP(E676,各职业基础配置!$B$9:$C$12,2,FALSE)</f>
        <v>116|117|118|4201|120</v>
      </c>
      <c r="K676" s="18" t="str">
        <f>VLOOKUP(E676,各职业基础配置!$B$15:$C$18,2,FALSE)</f>
        <v>28|29|30|31</v>
      </c>
      <c r="L676" s="18" t="str">
        <f>VLOOKUP(E676,各职业基础配置!B:C,2,FALSE)</f>
        <v>[{28,1,1},{29,1,1},{30,1,1},{31,1,1},{10,1,1},{11,1,1},{12,1,1}]</v>
      </c>
      <c r="M676" s="18">
        <v>0</v>
      </c>
      <c r="N676" s="18">
        <f t="shared" si="114"/>
        <v>3</v>
      </c>
      <c r="O676" s="18">
        <f>SUMPRODUCT(P676:AI676,Sheet2!$B$3:$U$3)</f>
        <v>80677</v>
      </c>
      <c r="P676" s="18">
        <f>CEILING(INDEX([1]系统模型!$VD:$VD,MATCH(C676,[1]系统模型!$A:$A,0))*POWER(C676/220,3.8)-50+(1000-A676),1)</f>
        <v>1372</v>
      </c>
      <c r="Q676" s="18">
        <f>CEILING(INDEX([1]系统模型!$VE:$VE,MATCH(C676,[1]系统模型!$A:$A,0))*POWER(C676/220,4),1)</f>
        <v>125</v>
      </c>
      <c r="R676" s="18">
        <f>INT(INDEX([1]系统模型!$VF:$VF,MATCH(C676,[1]系统模型!$A:$A,0))*MAX(POWER(C676/180,4),0.5))</f>
        <v>9052</v>
      </c>
      <c r="S676" s="5">
        <v>1000</v>
      </c>
      <c r="T676" s="25">
        <v>0</v>
      </c>
      <c r="U676" s="25">
        <v>0</v>
      </c>
      <c r="V676" s="25">
        <v>0</v>
      </c>
      <c r="W676" s="25">
        <v>0</v>
      </c>
      <c r="X676" s="25">
        <f t="shared" si="115"/>
        <v>452</v>
      </c>
      <c r="Y676" s="12">
        <v>0</v>
      </c>
      <c r="Z676" s="25">
        <v>100</v>
      </c>
      <c r="AA676" s="25">
        <v>150</v>
      </c>
      <c r="AB676" s="25">
        <v>0</v>
      </c>
      <c r="AC676" s="25">
        <v>0</v>
      </c>
      <c r="AD676" s="25">
        <v>0</v>
      </c>
      <c r="AE676" s="25">
        <f t="shared" si="116"/>
        <v>300</v>
      </c>
      <c r="AF676" s="25">
        <f t="shared" si="117"/>
        <v>300</v>
      </c>
      <c r="AG676" s="25">
        <v>0</v>
      </c>
      <c r="AH676" s="25">
        <f t="shared" si="118"/>
        <v>2500</v>
      </c>
      <c r="AI676" s="25">
        <f t="shared" si="119"/>
        <v>18</v>
      </c>
      <c r="AJ676" s="25">
        <v>1</v>
      </c>
      <c r="AK676" s="25">
        <v>1000</v>
      </c>
      <c r="AL676" s="25">
        <v>100</v>
      </c>
      <c r="AM676" s="26">
        <v>10</v>
      </c>
      <c r="AN676" s="26">
        <v>10</v>
      </c>
      <c r="AO676" s="22" t="s">
        <v>2211</v>
      </c>
      <c r="AP676" s="26">
        <v>0</v>
      </c>
      <c r="AQ676" s="26">
        <f t="shared" si="120"/>
        <v>320</v>
      </c>
      <c r="AR676" s="18" t="str">
        <f ca="1">CONCATENATE(OFFSET(Sheet1!$A$2,RANDBETWEEN(2,500),0,1,1),OFFSET(Sheet1!$A$2,RANDBETWEEN(2,500),RANDBETWEEN(1,5),1,1))</f>
        <v>凯雷菲碧</v>
      </c>
      <c r="AS676">
        <f>SUMPRODUCT(P676:AI676,Sheet2!$B$3:$U$3)</f>
        <v>80677</v>
      </c>
    </row>
    <row r="677" spans="1:45" x14ac:dyDescent="0.15">
      <c r="A677" s="18">
        <v>676</v>
      </c>
      <c r="B677" s="18" t="s">
        <v>2089</v>
      </c>
      <c r="C677" s="18">
        <f t="shared" si="110"/>
        <v>149</v>
      </c>
      <c r="D677" s="19">
        <f t="shared" si="111"/>
        <v>2</v>
      </c>
      <c r="E677" s="19">
        <f>VLOOKUP(MOD(A677,4),各职业基础配置!C$32:D$35,2,FALSE)</f>
        <v>1</v>
      </c>
      <c r="F677" s="19">
        <f>IF(A677&lt;900,INDEX(各职业基础配置!C$23:C$28,MOD(ROW(A677),4)+1),0)</f>
        <v>13</v>
      </c>
      <c r="G677" s="19">
        <f t="shared" si="112"/>
        <v>11</v>
      </c>
      <c r="H677" s="27">
        <f t="shared" si="113"/>
        <v>1</v>
      </c>
      <c r="I677" s="6" t="s">
        <v>164</v>
      </c>
      <c r="J677" s="23" t="str">
        <f>VLOOKUP(E677,各职业基础配置!$B$9:$C$12,2,FALSE)</f>
        <v>101|102|103|4201|105</v>
      </c>
      <c r="K677" s="18" t="str">
        <f>VLOOKUP(E677,各职业基础配置!$B$15:$C$18,2,FALSE)</f>
        <v>24|25|26|27</v>
      </c>
      <c r="L677" s="18" t="str">
        <f>VLOOKUP(E677,各职业基础配置!B:C,2,FALSE)</f>
        <v>[{24,1,1},{25,1,1},{26,1,1},{27,1,1},{1,1,1},{2,1,1},{3,1,1}]</v>
      </c>
      <c r="M677" s="18">
        <v>0</v>
      </c>
      <c r="N677" s="18">
        <f t="shared" si="114"/>
        <v>3</v>
      </c>
      <c r="O677" s="18">
        <f>SUMPRODUCT(P677:AI677,Sheet2!$B$3:$U$3)</f>
        <v>78966</v>
      </c>
      <c r="P677" s="18">
        <f>CEILING(INDEX([1]系统模型!$VD:$VD,MATCH(C677,[1]系统模型!$A:$A,0))*POWER(C677/220,3.8)-50+(1000-A677),1)</f>
        <v>1337</v>
      </c>
      <c r="Q677" s="18">
        <f>CEILING(INDEX([1]系统模型!$VE:$VE,MATCH(C677,[1]系统模型!$A:$A,0))*POWER(C677/220,4),1)</f>
        <v>117</v>
      </c>
      <c r="R677" s="18">
        <f>INT(INDEX([1]系统模型!$VF:$VF,MATCH(C677,[1]系统模型!$A:$A,0))*MAX(POWER(C677/180,4),0.5))</f>
        <v>8916</v>
      </c>
      <c r="S677" s="5">
        <v>1000</v>
      </c>
      <c r="T677" s="25">
        <v>0</v>
      </c>
      <c r="U677" s="25">
        <v>0</v>
      </c>
      <c r="V677" s="25">
        <v>0</v>
      </c>
      <c r="W677" s="25">
        <v>0</v>
      </c>
      <c r="X677" s="25">
        <f t="shared" si="115"/>
        <v>445</v>
      </c>
      <c r="Y677" s="12">
        <v>0</v>
      </c>
      <c r="Z677" s="25">
        <v>100</v>
      </c>
      <c r="AA677" s="25">
        <v>150</v>
      </c>
      <c r="AB677" s="25">
        <v>0</v>
      </c>
      <c r="AC677" s="25">
        <v>0</v>
      </c>
      <c r="AD677" s="25">
        <v>0</v>
      </c>
      <c r="AE677" s="25">
        <f t="shared" si="116"/>
        <v>298</v>
      </c>
      <c r="AF677" s="25">
        <f t="shared" si="117"/>
        <v>298</v>
      </c>
      <c r="AG677" s="25">
        <v>0</v>
      </c>
      <c r="AH677" s="25">
        <f t="shared" si="118"/>
        <v>2425</v>
      </c>
      <c r="AI677" s="25">
        <f t="shared" si="119"/>
        <v>17</v>
      </c>
      <c r="AJ677" s="25">
        <v>1</v>
      </c>
      <c r="AK677" s="25">
        <v>1000</v>
      </c>
      <c r="AL677" s="25">
        <v>100</v>
      </c>
      <c r="AM677" s="26">
        <v>10</v>
      </c>
      <c r="AN677" s="26">
        <v>10</v>
      </c>
      <c r="AO677" s="22" t="s">
        <v>2211</v>
      </c>
      <c r="AP677" s="26">
        <v>0</v>
      </c>
      <c r="AQ677" s="26">
        <f t="shared" si="120"/>
        <v>320</v>
      </c>
      <c r="AR677" s="18" t="str">
        <f ca="1">CONCATENATE(OFFSET(Sheet1!$A$2,RANDBETWEEN(2,500),0,1,1),OFFSET(Sheet1!$A$2,RANDBETWEEN(2,500),RANDBETWEEN(1,5),1,1))</f>
        <v>格雷西</v>
      </c>
      <c r="AS677">
        <f>SUMPRODUCT(P677:AI677,Sheet2!$B$3:$U$3)</f>
        <v>78966</v>
      </c>
    </row>
    <row r="678" spans="1:45" x14ac:dyDescent="0.15">
      <c r="A678" s="18">
        <v>677</v>
      </c>
      <c r="B678" s="18" t="s">
        <v>2090</v>
      </c>
      <c r="C678" s="18">
        <f t="shared" si="110"/>
        <v>149</v>
      </c>
      <c r="D678" s="19">
        <f t="shared" si="111"/>
        <v>3</v>
      </c>
      <c r="E678" s="19">
        <f>VLOOKUP(MOD(A678,4),各职业基础配置!C$32:D$35,2,FALSE)</f>
        <v>3</v>
      </c>
      <c r="F678" s="19">
        <f>IF(A678&lt;900,INDEX(各职业基础配置!C$23:C$28,MOD(ROW(A678),4)+1),0)</f>
        <v>14</v>
      </c>
      <c r="G678" s="19">
        <f t="shared" si="112"/>
        <v>11</v>
      </c>
      <c r="H678" s="27">
        <f t="shared" si="113"/>
        <v>1</v>
      </c>
      <c r="I678" s="6" t="s">
        <v>164</v>
      </c>
      <c r="J678" s="23" t="str">
        <f>VLOOKUP(E678,各职业基础配置!$B$9:$C$12,2,FALSE)</f>
        <v>106|107|108|4201|110</v>
      </c>
      <c r="K678" s="18" t="str">
        <f>VLOOKUP(E678,各职业基础配置!$B$15:$C$18,2,FALSE)</f>
        <v>20|21|22|23</v>
      </c>
      <c r="L678" s="18" t="str">
        <f>VLOOKUP(E678,各职业基础配置!B:C,2,FALSE)</f>
        <v>[{20,1,1},{21,1,1},{22,1,1},{23,1,1},{4,1,1},{5,1,1},{6,1,1}]</v>
      </c>
      <c r="M678" s="18">
        <v>0</v>
      </c>
      <c r="N678" s="18">
        <f t="shared" si="114"/>
        <v>7</v>
      </c>
      <c r="O678" s="18">
        <f>SUMPRODUCT(P678:AI678,Sheet2!$B$3:$U$3)</f>
        <v>78941</v>
      </c>
      <c r="P678" s="18">
        <f>CEILING(INDEX([1]系统模型!$VD:$VD,MATCH(C678,[1]系统模型!$A:$A,0))*POWER(C678/220,3.8)-50+(1000-A678),1)</f>
        <v>1336</v>
      </c>
      <c r="Q678" s="18">
        <f>CEILING(INDEX([1]系统模型!$VE:$VE,MATCH(C678,[1]系统模型!$A:$A,0))*POWER(C678/220,4),1)</f>
        <v>117</v>
      </c>
      <c r="R678" s="18">
        <f>INT(INDEX([1]系统模型!$VF:$VF,MATCH(C678,[1]系统模型!$A:$A,0))*MAX(POWER(C678/180,4),0.5))</f>
        <v>8916</v>
      </c>
      <c r="S678" s="5">
        <v>1000</v>
      </c>
      <c r="T678" s="25">
        <v>0</v>
      </c>
      <c r="U678" s="25">
        <v>0</v>
      </c>
      <c r="V678" s="25">
        <v>0</v>
      </c>
      <c r="W678" s="25">
        <v>0</v>
      </c>
      <c r="X678" s="25">
        <f t="shared" si="115"/>
        <v>445</v>
      </c>
      <c r="Y678" s="12">
        <v>0</v>
      </c>
      <c r="Z678" s="25">
        <v>100</v>
      </c>
      <c r="AA678" s="25">
        <v>150</v>
      </c>
      <c r="AB678" s="25">
        <v>0</v>
      </c>
      <c r="AC678" s="25">
        <v>0</v>
      </c>
      <c r="AD678" s="25">
        <v>0</v>
      </c>
      <c r="AE678" s="25">
        <f t="shared" si="116"/>
        <v>298</v>
      </c>
      <c r="AF678" s="25">
        <f t="shared" si="117"/>
        <v>298</v>
      </c>
      <c r="AG678" s="25">
        <v>0</v>
      </c>
      <c r="AH678" s="25">
        <f t="shared" si="118"/>
        <v>2425</v>
      </c>
      <c r="AI678" s="25">
        <f t="shared" si="119"/>
        <v>17</v>
      </c>
      <c r="AJ678" s="25">
        <v>1</v>
      </c>
      <c r="AK678" s="25">
        <v>1000</v>
      </c>
      <c r="AL678" s="25">
        <v>100</v>
      </c>
      <c r="AM678" s="26">
        <v>10</v>
      </c>
      <c r="AN678" s="26">
        <v>10</v>
      </c>
      <c r="AO678" s="22" t="s">
        <v>2211</v>
      </c>
      <c r="AP678" s="26">
        <v>0</v>
      </c>
      <c r="AQ678" s="26">
        <f t="shared" si="120"/>
        <v>310</v>
      </c>
      <c r="AR678" s="18" t="str">
        <f ca="1">CONCATENATE(OFFSET(Sheet1!$A$2,RANDBETWEEN(2,500),0,1,1),OFFSET(Sheet1!$A$2,RANDBETWEEN(2,500),RANDBETWEEN(1,5),1,1))</f>
        <v>卡丽</v>
      </c>
      <c r="AS678">
        <f>SUMPRODUCT(P678:AI678,Sheet2!$B$3:$U$3)</f>
        <v>78941</v>
      </c>
    </row>
    <row r="679" spans="1:45" x14ac:dyDescent="0.15">
      <c r="A679" s="23">
        <v>678</v>
      </c>
      <c r="B679" s="18" t="s">
        <v>2091</v>
      </c>
      <c r="C679" s="18">
        <f t="shared" si="110"/>
        <v>149</v>
      </c>
      <c r="D679" s="19">
        <f t="shared" si="111"/>
        <v>2</v>
      </c>
      <c r="E679" s="19">
        <f>VLOOKUP(MOD(A679,4),各职业基础配置!C$32:D$35,2,FALSE)</f>
        <v>6</v>
      </c>
      <c r="F679" s="19">
        <f>IF(A679&lt;900,INDEX(各职业基础配置!C$23:C$28,MOD(ROW(A679),4)+1),0)</f>
        <v>16</v>
      </c>
      <c r="G679" s="19">
        <f t="shared" si="112"/>
        <v>11</v>
      </c>
      <c r="H679" s="27">
        <f t="shared" si="113"/>
        <v>1</v>
      </c>
      <c r="I679" s="6" t="s">
        <v>164</v>
      </c>
      <c r="J679" s="23" t="str">
        <f>VLOOKUP(E679,各职业基础配置!$B$9:$C$12,2,FALSE)</f>
        <v>111|112|113|4201|115</v>
      </c>
      <c r="K679" s="18" t="str">
        <f>VLOOKUP(E679,各职业基础配置!$B$15:$C$18,2,FALSE)</f>
        <v>32|33|34</v>
      </c>
      <c r="L679" s="18" t="str">
        <f>VLOOKUP(E679,各职业基础配置!B:C,2,FALSE)</f>
        <v>[{32,1,1},{33,1,1},{34,1,1},{35,1,1},{7,1,1},{8,1,1},{9,1,1}]</v>
      </c>
      <c r="M679" s="18">
        <v>0</v>
      </c>
      <c r="N679" s="18">
        <f t="shared" si="114"/>
        <v>7</v>
      </c>
      <c r="O679" s="18">
        <f>SUMPRODUCT(P679:AI679,Sheet2!$B$3:$U$3)</f>
        <v>78916</v>
      </c>
      <c r="P679" s="18">
        <f>CEILING(INDEX([1]系统模型!$VD:$VD,MATCH(C679,[1]系统模型!$A:$A,0))*POWER(C679/220,3.8)-50+(1000-A679),1)</f>
        <v>1335</v>
      </c>
      <c r="Q679" s="18">
        <f>CEILING(INDEX([1]系统模型!$VE:$VE,MATCH(C679,[1]系统模型!$A:$A,0))*POWER(C679/220,4),1)</f>
        <v>117</v>
      </c>
      <c r="R679" s="18">
        <f>INT(INDEX([1]系统模型!$VF:$VF,MATCH(C679,[1]系统模型!$A:$A,0))*MAX(POWER(C679/180,4),0.5))</f>
        <v>8916</v>
      </c>
      <c r="S679" s="5">
        <v>1000</v>
      </c>
      <c r="T679" s="25">
        <v>0</v>
      </c>
      <c r="U679" s="25">
        <v>0</v>
      </c>
      <c r="V679" s="25">
        <v>0</v>
      </c>
      <c r="W679" s="25">
        <v>0</v>
      </c>
      <c r="X679" s="25">
        <f t="shared" si="115"/>
        <v>445</v>
      </c>
      <c r="Y679" s="12">
        <v>0</v>
      </c>
      <c r="Z679" s="25">
        <v>100</v>
      </c>
      <c r="AA679" s="25">
        <v>150</v>
      </c>
      <c r="AB679" s="25">
        <v>0</v>
      </c>
      <c r="AC679" s="25">
        <v>0</v>
      </c>
      <c r="AD679" s="25">
        <v>0</v>
      </c>
      <c r="AE679" s="25">
        <f t="shared" si="116"/>
        <v>298</v>
      </c>
      <c r="AF679" s="25">
        <f t="shared" si="117"/>
        <v>298</v>
      </c>
      <c r="AG679" s="25">
        <v>0</v>
      </c>
      <c r="AH679" s="25">
        <f t="shared" si="118"/>
        <v>2425</v>
      </c>
      <c r="AI679" s="25">
        <f t="shared" si="119"/>
        <v>17</v>
      </c>
      <c r="AJ679" s="25">
        <v>1</v>
      </c>
      <c r="AK679" s="25">
        <v>1000</v>
      </c>
      <c r="AL679" s="25">
        <v>100</v>
      </c>
      <c r="AM679" s="26">
        <v>10</v>
      </c>
      <c r="AN679" s="26">
        <v>10</v>
      </c>
      <c r="AO679" s="22" t="s">
        <v>2211</v>
      </c>
      <c r="AP679" s="26">
        <v>0</v>
      </c>
      <c r="AQ679" s="26">
        <f t="shared" si="120"/>
        <v>310</v>
      </c>
      <c r="AR679" s="18" t="str">
        <f ca="1">CONCATENATE(OFFSET(Sheet1!$A$2,RANDBETWEEN(2,500),0,1,1),OFFSET(Sheet1!$A$2,RANDBETWEEN(2,500),RANDBETWEEN(1,5),1,1))</f>
        <v>埃文思</v>
      </c>
      <c r="AS679">
        <f>SUMPRODUCT(P679:AI679,Sheet2!$B$3:$U$3)</f>
        <v>78916</v>
      </c>
    </row>
    <row r="680" spans="1:45" x14ac:dyDescent="0.15">
      <c r="A680" s="18">
        <v>679</v>
      </c>
      <c r="B680" s="18" t="s">
        <v>2092</v>
      </c>
      <c r="C680" s="18">
        <f t="shared" si="110"/>
        <v>149</v>
      </c>
      <c r="D680" s="19">
        <f t="shared" si="111"/>
        <v>3</v>
      </c>
      <c r="E680" s="19">
        <f>VLOOKUP(MOD(A680,4),各职业基础配置!C$32:D$35,2,FALSE)</f>
        <v>9</v>
      </c>
      <c r="F680" s="19">
        <f>IF(A680&lt;900,INDEX(各职业基础配置!C$23:C$28,MOD(ROW(A680),4)+1),0)</f>
        <v>8</v>
      </c>
      <c r="G680" s="19">
        <f t="shared" si="112"/>
        <v>11</v>
      </c>
      <c r="H680" s="27">
        <f t="shared" si="113"/>
        <v>1</v>
      </c>
      <c r="I680" s="6" t="s">
        <v>164</v>
      </c>
      <c r="J680" s="23" t="str">
        <f>VLOOKUP(E680,各职业基础配置!$B$9:$C$12,2,FALSE)</f>
        <v>116|117|118|4201|120</v>
      </c>
      <c r="K680" s="18" t="str">
        <f>VLOOKUP(E680,各职业基础配置!$B$15:$C$18,2,FALSE)</f>
        <v>28|29|30|31</v>
      </c>
      <c r="L680" s="18" t="str">
        <f>VLOOKUP(E680,各职业基础配置!B:C,2,FALSE)</f>
        <v>[{28,1,1},{29,1,1},{30,1,1},{31,1,1},{10,1,1},{11,1,1},{12,1,1}]</v>
      </c>
      <c r="M680" s="18">
        <v>0</v>
      </c>
      <c r="N680" s="18">
        <f t="shared" si="114"/>
        <v>3</v>
      </c>
      <c r="O680" s="18">
        <f>SUMPRODUCT(P680:AI680,Sheet2!$B$3:$U$3)</f>
        <v>78891</v>
      </c>
      <c r="P680" s="18">
        <f>CEILING(INDEX([1]系统模型!$VD:$VD,MATCH(C680,[1]系统模型!$A:$A,0))*POWER(C680/220,3.8)-50+(1000-A680),1)</f>
        <v>1334</v>
      </c>
      <c r="Q680" s="18">
        <f>CEILING(INDEX([1]系统模型!$VE:$VE,MATCH(C680,[1]系统模型!$A:$A,0))*POWER(C680/220,4),1)</f>
        <v>117</v>
      </c>
      <c r="R680" s="18">
        <f>INT(INDEX([1]系统模型!$VF:$VF,MATCH(C680,[1]系统模型!$A:$A,0))*MAX(POWER(C680/180,4),0.5))</f>
        <v>8916</v>
      </c>
      <c r="S680" s="5">
        <v>1000</v>
      </c>
      <c r="T680" s="25">
        <v>0</v>
      </c>
      <c r="U680" s="25">
        <v>0</v>
      </c>
      <c r="V680" s="25">
        <v>0</v>
      </c>
      <c r="W680" s="25">
        <v>0</v>
      </c>
      <c r="X680" s="25">
        <f t="shared" si="115"/>
        <v>445</v>
      </c>
      <c r="Y680" s="12">
        <v>0</v>
      </c>
      <c r="Z680" s="25">
        <v>100</v>
      </c>
      <c r="AA680" s="25">
        <v>150</v>
      </c>
      <c r="AB680" s="25">
        <v>0</v>
      </c>
      <c r="AC680" s="25">
        <v>0</v>
      </c>
      <c r="AD680" s="25">
        <v>0</v>
      </c>
      <c r="AE680" s="25">
        <f t="shared" si="116"/>
        <v>298</v>
      </c>
      <c r="AF680" s="25">
        <f t="shared" si="117"/>
        <v>298</v>
      </c>
      <c r="AG680" s="25">
        <v>0</v>
      </c>
      <c r="AH680" s="25">
        <f t="shared" si="118"/>
        <v>2425</v>
      </c>
      <c r="AI680" s="25">
        <f t="shared" si="119"/>
        <v>17</v>
      </c>
      <c r="AJ680" s="25">
        <v>1</v>
      </c>
      <c r="AK680" s="25">
        <v>1000</v>
      </c>
      <c r="AL680" s="25">
        <v>100</v>
      </c>
      <c r="AM680" s="26">
        <v>10</v>
      </c>
      <c r="AN680" s="26">
        <v>10</v>
      </c>
      <c r="AO680" s="22" t="s">
        <v>2211</v>
      </c>
      <c r="AP680" s="26">
        <v>0</v>
      </c>
      <c r="AQ680" s="26">
        <f t="shared" si="120"/>
        <v>310</v>
      </c>
      <c r="AR680" s="18" t="str">
        <f ca="1">CONCATENATE(OFFSET(Sheet1!$A$2,RANDBETWEEN(2,500),0,1,1),OFFSET(Sheet1!$A$2,RANDBETWEEN(2,500),RANDBETWEEN(1,5),1,1))</f>
        <v>艾丽丝</v>
      </c>
      <c r="AS680">
        <f>SUMPRODUCT(P680:AI680,Sheet2!$B$3:$U$3)</f>
        <v>78891</v>
      </c>
    </row>
    <row r="681" spans="1:45" x14ac:dyDescent="0.15">
      <c r="A681" s="18">
        <v>680</v>
      </c>
      <c r="B681" s="18" t="s">
        <v>175</v>
      </c>
      <c r="C681" s="18">
        <f t="shared" si="110"/>
        <v>149</v>
      </c>
      <c r="D681" s="19">
        <f t="shared" si="111"/>
        <v>2</v>
      </c>
      <c r="E681" s="19">
        <f>VLOOKUP(MOD(A681,4),各职业基础配置!C$32:D$35,2,FALSE)</f>
        <v>1</v>
      </c>
      <c r="F681" s="19">
        <f>IF(A681&lt;900,INDEX(各职业基础配置!C$23:C$28,MOD(ROW(A681),4)+1),0)</f>
        <v>13</v>
      </c>
      <c r="G681" s="19">
        <f t="shared" si="112"/>
        <v>11</v>
      </c>
      <c r="H681" s="27">
        <f t="shared" si="113"/>
        <v>1</v>
      </c>
      <c r="I681" s="6" t="s">
        <v>164</v>
      </c>
      <c r="J681" s="23" t="str">
        <f>VLOOKUP(E681,各职业基础配置!$B$9:$C$12,2,FALSE)</f>
        <v>101|102|103|4201|105</v>
      </c>
      <c r="K681" s="18" t="str">
        <f>VLOOKUP(E681,各职业基础配置!$B$15:$C$18,2,FALSE)</f>
        <v>24|25|26|27</v>
      </c>
      <c r="L681" s="18" t="str">
        <f>VLOOKUP(E681,各职业基础配置!B:C,2,FALSE)</f>
        <v>[{24,1,1},{25,1,1},{26,1,1},{27,1,1},{1,1,1},{2,1,1},{3,1,1}]</v>
      </c>
      <c r="M681" s="18">
        <v>0</v>
      </c>
      <c r="N681" s="18">
        <f t="shared" si="114"/>
        <v>3</v>
      </c>
      <c r="O681" s="18">
        <f>SUMPRODUCT(P681:AI681,Sheet2!$B$3:$U$3)</f>
        <v>78866</v>
      </c>
      <c r="P681" s="18">
        <f>CEILING(INDEX([1]系统模型!$VD:$VD,MATCH(C681,[1]系统模型!$A:$A,0))*POWER(C681/220,3.8)-50+(1000-A681),1)</f>
        <v>1333</v>
      </c>
      <c r="Q681" s="18">
        <f>CEILING(INDEX([1]系统模型!$VE:$VE,MATCH(C681,[1]系统模型!$A:$A,0))*POWER(C681/220,4),1)</f>
        <v>117</v>
      </c>
      <c r="R681" s="18">
        <f>INT(INDEX([1]系统模型!$VF:$VF,MATCH(C681,[1]系统模型!$A:$A,0))*MAX(POWER(C681/180,4),0.5))</f>
        <v>8916</v>
      </c>
      <c r="S681" s="5">
        <v>1000</v>
      </c>
      <c r="T681" s="25">
        <v>0</v>
      </c>
      <c r="U681" s="25">
        <v>0</v>
      </c>
      <c r="V681" s="25">
        <v>0</v>
      </c>
      <c r="W681" s="25">
        <v>0</v>
      </c>
      <c r="X681" s="25">
        <f t="shared" si="115"/>
        <v>445</v>
      </c>
      <c r="Y681" s="12">
        <v>0</v>
      </c>
      <c r="Z681" s="25">
        <v>100</v>
      </c>
      <c r="AA681" s="25">
        <v>150</v>
      </c>
      <c r="AB681" s="25">
        <v>0</v>
      </c>
      <c r="AC681" s="25">
        <v>0</v>
      </c>
      <c r="AD681" s="25">
        <v>0</v>
      </c>
      <c r="AE681" s="25">
        <f t="shared" si="116"/>
        <v>298</v>
      </c>
      <c r="AF681" s="25">
        <f t="shared" si="117"/>
        <v>298</v>
      </c>
      <c r="AG681" s="25">
        <v>0</v>
      </c>
      <c r="AH681" s="25">
        <f t="shared" si="118"/>
        <v>2425</v>
      </c>
      <c r="AI681" s="25">
        <f t="shared" si="119"/>
        <v>17</v>
      </c>
      <c r="AJ681" s="25">
        <v>1</v>
      </c>
      <c r="AK681" s="25">
        <v>1000</v>
      </c>
      <c r="AL681" s="25">
        <v>100</v>
      </c>
      <c r="AM681" s="26">
        <v>10</v>
      </c>
      <c r="AN681" s="26">
        <v>10</v>
      </c>
      <c r="AO681" s="22" t="s">
        <v>2211</v>
      </c>
      <c r="AP681" s="26">
        <v>0</v>
      </c>
      <c r="AQ681" s="26">
        <f t="shared" si="120"/>
        <v>310</v>
      </c>
      <c r="AR681" s="18" t="str">
        <f ca="1">CONCATENATE(OFFSET(Sheet1!$A$2,RANDBETWEEN(2,500),0,1,1),OFFSET(Sheet1!$A$2,RANDBETWEEN(2,500),RANDBETWEEN(1,5),1,1))</f>
        <v>丹尼斯</v>
      </c>
      <c r="AS681">
        <f>SUMPRODUCT(P681:AI681,Sheet2!$B$3:$U$3)</f>
        <v>78866</v>
      </c>
    </row>
    <row r="682" spans="1:45" x14ac:dyDescent="0.15">
      <c r="A682" s="23">
        <v>681</v>
      </c>
      <c r="B682" s="18" t="s">
        <v>195</v>
      </c>
      <c r="C682" s="18">
        <f t="shared" si="110"/>
        <v>149</v>
      </c>
      <c r="D682" s="19">
        <f t="shared" si="111"/>
        <v>3</v>
      </c>
      <c r="E682" s="19">
        <f>VLOOKUP(MOD(A682,4),各职业基础配置!C$32:D$35,2,FALSE)</f>
        <v>3</v>
      </c>
      <c r="F682" s="19">
        <f>IF(A682&lt;900,INDEX(各职业基础配置!C$23:C$28,MOD(ROW(A682),4)+1),0)</f>
        <v>14</v>
      </c>
      <c r="G682" s="19">
        <f t="shared" si="112"/>
        <v>11</v>
      </c>
      <c r="H682" s="27">
        <f t="shared" si="113"/>
        <v>1</v>
      </c>
      <c r="I682" s="6" t="s">
        <v>164</v>
      </c>
      <c r="J682" s="23" t="str">
        <f>VLOOKUP(E682,各职业基础配置!$B$9:$C$12,2,FALSE)</f>
        <v>106|107|108|4201|110</v>
      </c>
      <c r="K682" s="18" t="str">
        <f>VLOOKUP(E682,各职业基础配置!$B$15:$C$18,2,FALSE)</f>
        <v>20|21|22|23</v>
      </c>
      <c r="L682" s="18" t="str">
        <f>VLOOKUP(E682,各职业基础配置!B:C,2,FALSE)</f>
        <v>[{20,1,1},{21,1,1},{22,1,1},{23,1,1},{4,1,1},{5,1,1},{6,1,1}]</v>
      </c>
      <c r="M682" s="18">
        <v>0</v>
      </c>
      <c r="N682" s="18">
        <f t="shared" si="114"/>
        <v>7</v>
      </c>
      <c r="O682" s="18">
        <f>SUMPRODUCT(P682:AI682,Sheet2!$B$3:$U$3)</f>
        <v>78841</v>
      </c>
      <c r="P682" s="18">
        <f>CEILING(INDEX([1]系统模型!$VD:$VD,MATCH(C682,[1]系统模型!$A:$A,0))*POWER(C682/220,3.8)-50+(1000-A682),1)</f>
        <v>1332</v>
      </c>
      <c r="Q682" s="18">
        <f>CEILING(INDEX([1]系统模型!$VE:$VE,MATCH(C682,[1]系统模型!$A:$A,0))*POWER(C682/220,4),1)</f>
        <v>117</v>
      </c>
      <c r="R682" s="18">
        <f>INT(INDEX([1]系统模型!$VF:$VF,MATCH(C682,[1]系统模型!$A:$A,0))*MAX(POWER(C682/180,4),0.5))</f>
        <v>8916</v>
      </c>
      <c r="S682" s="5">
        <v>1000</v>
      </c>
      <c r="T682" s="25">
        <v>0</v>
      </c>
      <c r="U682" s="25">
        <v>0</v>
      </c>
      <c r="V682" s="25">
        <v>0</v>
      </c>
      <c r="W682" s="25">
        <v>0</v>
      </c>
      <c r="X682" s="25">
        <f t="shared" si="115"/>
        <v>445</v>
      </c>
      <c r="Y682" s="12">
        <v>0</v>
      </c>
      <c r="Z682" s="25">
        <v>100</v>
      </c>
      <c r="AA682" s="25">
        <v>150</v>
      </c>
      <c r="AB682" s="25">
        <v>0</v>
      </c>
      <c r="AC682" s="25">
        <v>0</v>
      </c>
      <c r="AD682" s="25">
        <v>0</v>
      </c>
      <c r="AE682" s="25">
        <f t="shared" si="116"/>
        <v>298</v>
      </c>
      <c r="AF682" s="25">
        <f t="shared" si="117"/>
        <v>298</v>
      </c>
      <c r="AG682" s="25">
        <v>0</v>
      </c>
      <c r="AH682" s="25">
        <f t="shared" si="118"/>
        <v>2425</v>
      </c>
      <c r="AI682" s="25">
        <f t="shared" si="119"/>
        <v>17</v>
      </c>
      <c r="AJ682" s="25">
        <v>1</v>
      </c>
      <c r="AK682" s="25">
        <v>1000</v>
      </c>
      <c r="AL682" s="25">
        <v>100</v>
      </c>
      <c r="AM682" s="26">
        <v>10</v>
      </c>
      <c r="AN682" s="26">
        <v>10</v>
      </c>
      <c r="AO682" s="22" t="s">
        <v>2211</v>
      </c>
      <c r="AP682" s="26">
        <v>0</v>
      </c>
      <c r="AQ682" s="26">
        <f t="shared" si="120"/>
        <v>310</v>
      </c>
      <c r="AR682" s="18" t="str">
        <f ca="1">CONCATENATE(OFFSET(Sheet1!$A$2,RANDBETWEEN(2,500),0,1,1),OFFSET(Sheet1!$A$2,RANDBETWEEN(2,500),RANDBETWEEN(1,5),1,1))</f>
        <v>卡丽海伦</v>
      </c>
      <c r="AS682">
        <f>SUMPRODUCT(P682:AI682,Sheet2!$B$3:$U$3)</f>
        <v>78841</v>
      </c>
    </row>
    <row r="683" spans="1:45" x14ac:dyDescent="0.15">
      <c r="A683" s="18">
        <v>682</v>
      </c>
      <c r="B683" s="18" t="s">
        <v>2093</v>
      </c>
      <c r="C683" s="18">
        <f t="shared" si="110"/>
        <v>149</v>
      </c>
      <c r="D683" s="19">
        <f t="shared" si="111"/>
        <v>2</v>
      </c>
      <c r="E683" s="19">
        <f>VLOOKUP(MOD(A683,4),各职业基础配置!C$32:D$35,2,FALSE)</f>
        <v>6</v>
      </c>
      <c r="F683" s="19">
        <f>IF(A683&lt;900,INDEX(各职业基础配置!C$23:C$28,MOD(ROW(A683),4)+1),0)</f>
        <v>16</v>
      </c>
      <c r="G683" s="19">
        <f t="shared" si="112"/>
        <v>11</v>
      </c>
      <c r="H683" s="27">
        <f t="shared" si="113"/>
        <v>1</v>
      </c>
      <c r="I683" s="6" t="s">
        <v>164</v>
      </c>
      <c r="J683" s="23" t="str">
        <f>VLOOKUP(E683,各职业基础配置!$B$9:$C$12,2,FALSE)</f>
        <v>111|112|113|4201|115</v>
      </c>
      <c r="K683" s="18" t="str">
        <f>VLOOKUP(E683,各职业基础配置!$B$15:$C$18,2,FALSE)</f>
        <v>32|33|34</v>
      </c>
      <c r="L683" s="18" t="str">
        <f>VLOOKUP(E683,各职业基础配置!B:C,2,FALSE)</f>
        <v>[{32,1,1},{33,1,1},{34,1,1},{35,1,1},{7,1,1},{8,1,1},{9,1,1}]</v>
      </c>
      <c r="M683" s="18">
        <v>0</v>
      </c>
      <c r="N683" s="18">
        <f t="shared" si="114"/>
        <v>7</v>
      </c>
      <c r="O683" s="18">
        <f>SUMPRODUCT(P683:AI683,Sheet2!$B$3:$U$3)</f>
        <v>78816</v>
      </c>
      <c r="P683" s="18">
        <f>CEILING(INDEX([1]系统模型!$VD:$VD,MATCH(C683,[1]系统模型!$A:$A,0))*POWER(C683/220,3.8)-50+(1000-A683),1)</f>
        <v>1331</v>
      </c>
      <c r="Q683" s="18">
        <f>CEILING(INDEX([1]系统模型!$VE:$VE,MATCH(C683,[1]系统模型!$A:$A,0))*POWER(C683/220,4),1)</f>
        <v>117</v>
      </c>
      <c r="R683" s="18">
        <f>INT(INDEX([1]系统模型!$VF:$VF,MATCH(C683,[1]系统模型!$A:$A,0))*MAX(POWER(C683/180,4),0.5))</f>
        <v>8916</v>
      </c>
      <c r="S683" s="5">
        <v>1000</v>
      </c>
      <c r="T683" s="25">
        <v>0</v>
      </c>
      <c r="U683" s="25">
        <v>0</v>
      </c>
      <c r="V683" s="25">
        <v>0</v>
      </c>
      <c r="W683" s="25">
        <v>0</v>
      </c>
      <c r="X683" s="25">
        <f t="shared" si="115"/>
        <v>445</v>
      </c>
      <c r="Y683" s="12">
        <v>0</v>
      </c>
      <c r="Z683" s="25">
        <v>100</v>
      </c>
      <c r="AA683" s="25">
        <v>150</v>
      </c>
      <c r="AB683" s="25">
        <v>0</v>
      </c>
      <c r="AC683" s="25">
        <v>0</v>
      </c>
      <c r="AD683" s="25">
        <v>0</v>
      </c>
      <c r="AE683" s="25">
        <f t="shared" si="116"/>
        <v>298</v>
      </c>
      <c r="AF683" s="25">
        <f t="shared" si="117"/>
        <v>298</v>
      </c>
      <c r="AG683" s="25">
        <v>0</v>
      </c>
      <c r="AH683" s="25">
        <f t="shared" si="118"/>
        <v>2425</v>
      </c>
      <c r="AI683" s="25">
        <f t="shared" si="119"/>
        <v>17</v>
      </c>
      <c r="AJ683" s="25">
        <v>1</v>
      </c>
      <c r="AK683" s="25">
        <v>1000</v>
      </c>
      <c r="AL683" s="25">
        <v>100</v>
      </c>
      <c r="AM683" s="26">
        <v>10</v>
      </c>
      <c r="AN683" s="26">
        <v>10</v>
      </c>
      <c r="AO683" s="22" t="s">
        <v>2211</v>
      </c>
      <c r="AP683" s="26">
        <v>0</v>
      </c>
      <c r="AQ683" s="26">
        <f t="shared" si="120"/>
        <v>310</v>
      </c>
      <c r="AR683" s="18" t="str">
        <f ca="1">CONCATENATE(OFFSET(Sheet1!$A$2,RANDBETWEEN(2,500),0,1,1),OFFSET(Sheet1!$A$2,RANDBETWEEN(2,500),RANDBETWEEN(1,5),1,1))</f>
        <v>张伯伦</v>
      </c>
      <c r="AS683">
        <f>SUMPRODUCT(P683:AI683,Sheet2!$B$3:$U$3)</f>
        <v>78816</v>
      </c>
    </row>
    <row r="684" spans="1:45" x14ac:dyDescent="0.15">
      <c r="A684" s="18">
        <v>683</v>
      </c>
      <c r="B684" s="18" t="s">
        <v>1009</v>
      </c>
      <c r="C684" s="18">
        <f t="shared" si="110"/>
        <v>148</v>
      </c>
      <c r="D684" s="19">
        <f t="shared" si="111"/>
        <v>3</v>
      </c>
      <c r="E684" s="19">
        <f>VLOOKUP(MOD(A684,4),各职业基础配置!C$32:D$35,2,FALSE)</f>
        <v>9</v>
      </c>
      <c r="F684" s="19">
        <f>IF(A684&lt;900,INDEX(各职业基础配置!C$23:C$28,MOD(ROW(A684),4)+1),0)</f>
        <v>8</v>
      </c>
      <c r="G684" s="19">
        <f t="shared" si="112"/>
        <v>10</v>
      </c>
      <c r="H684" s="27">
        <f t="shared" si="113"/>
        <v>1</v>
      </c>
      <c r="I684" s="6" t="s">
        <v>164</v>
      </c>
      <c r="J684" s="23" t="str">
        <f>VLOOKUP(E684,各职业基础配置!$B$9:$C$12,2,FALSE)</f>
        <v>116|117|118|4201|120</v>
      </c>
      <c r="K684" s="18" t="str">
        <f>VLOOKUP(E684,各职业基础配置!$B$15:$C$18,2,FALSE)</f>
        <v>28|29|30|31</v>
      </c>
      <c r="L684" s="18" t="str">
        <f>VLOOKUP(E684,各职业基础配置!B:C,2,FALSE)</f>
        <v>[{28,1,1},{29,1,1},{30,1,1},{31,1,1},{10,1,1},{11,1,1},{12,1,1}]</v>
      </c>
      <c r="M684" s="18">
        <v>0</v>
      </c>
      <c r="N684" s="18">
        <f t="shared" si="114"/>
        <v>3</v>
      </c>
      <c r="O684" s="18">
        <f>SUMPRODUCT(P684:AI684,Sheet2!$B$3:$U$3)</f>
        <v>77268</v>
      </c>
      <c r="P684" s="18">
        <f>CEILING(INDEX([1]系统模型!$VD:$VD,MATCH(C684,[1]系统模型!$A:$A,0))*POWER(C684/220,3.8)-50+(1000-A684),1)</f>
        <v>1295</v>
      </c>
      <c r="Q684" s="18">
        <f>CEILING(INDEX([1]系统模型!$VE:$VE,MATCH(C684,[1]系统模型!$A:$A,0))*POWER(C684/220,4),1)</f>
        <v>113</v>
      </c>
      <c r="R684" s="18">
        <f>INT(INDEX([1]系统模型!$VF:$VF,MATCH(C684,[1]系统模型!$A:$A,0))*MAX(POWER(C684/180,4),0.5))</f>
        <v>8843</v>
      </c>
      <c r="S684" s="5">
        <v>1000</v>
      </c>
      <c r="T684" s="25">
        <v>0</v>
      </c>
      <c r="U684" s="25">
        <v>0</v>
      </c>
      <c r="V684" s="25">
        <v>0</v>
      </c>
      <c r="W684" s="25">
        <v>0</v>
      </c>
      <c r="X684" s="25">
        <f t="shared" si="115"/>
        <v>442</v>
      </c>
      <c r="Y684" s="12">
        <v>0</v>
      </c>
      <c r="Z684" s="25">
        <v>100</v>
      </c>
      <c r="AA684" s="25">
        <v>150</v>
      </c>
      <c r="AB684" s="25">
        <v>0</v>
      </c>
      <c r="AC684" s="25">
        <v>0</v>
      </c>
      <c r="AD684" s="25">
        <v>0</v>
      </c>
      <c r="AE684" s="25">
        <f t="shared" si="116"/>
        <v>296</v>
      </c>
      <c r="AF684" s="25">
        <f t="shared" si="117"/>
        <v>296</v>
      </c>
      <c r="AG684" s="25">
        <v>0</v>
      </c>
      <c r="AH684" s="25">
        <f t="shared" si="118"/>
        <v>2350</v>
      </c>
      <c r="AI684" s="25">
        <f t="shared" si="119"/>
        <v>17</v>
      </c>
      <c r="AJ684" s="25">
        <v>1</v>
      </c>
      <c r="AK684" s="25">
        <v>1000</v>
      </c>
      <c r="AL684" s="25">
        <v>100</v>
      </c>
      <c r="AM684" s="26">
        <v>10</v>
      </c>
      <c r="AN684" s="26">
        <v>10</v>
      </c>
      <c r="AO684" s="22" t="s">
        <v>2211</v>
      </c>
      <c r="AP684" s="26">
        <v>0</v>
      </c>
      <c r="AQ684" s="26">
        <f t="shared" si="120"/>
        <v>310</v>
      </c>
      <c r="AR684" s="18" t="str">
        <f ca="1">CONCATENATE(OFFSET(Sheet1!$A$2,RANDBETWEEN(2,500),0,1,1),OFFSET(Sheet1!$A$2,RANDBETWEEN(2,500),RANDBETWEEN(1,5),1,1))</f>
        <v>布鲁诺</v>
      </c>
      <c r="AS684">
        <f>SUMPRODUCT(P684:AI684,Sheet2!$B$3:$U$3)</f>
        <v>77268</v>
      </c>
    </row>
    <row r="685" spans="1:45" x14ac:dyDescent="0.15">
      <c r="A685" s="23">
        <v>684</v>
      </c>
      <c r="B685" s="18" t="s">
        <v>244</v>
      </c>
      <c r="C685" s="18">
        <f t="shared" si="110"/>
        <v>148</v>
      </c>
      <c r="D685" s="19">
        <f t="shared" si="111"/>
        <v>2</v>
      </c>
      <c r="E685" s="19">
        <f>VLOOKUP(MOD(A685,4),各职业基础配置!C$32:D$35,2,FALSE)</f>
        <v>1</v>
      </c>
      <c r="F685" s="19">
        <f>IF(A685&lt;900,INDEX(各职业基础配置!C$23:C$28,MOD(ROW(A685),4)+1),0)</f>
        <v>13</v>
      </c>
      <c r="G685" s="19">
        <f t="shared" si="112"/>
        <v>10</v>
      </c>
      <c r="H685" s="27">
        <f t="shared" si="113"/>
        <v>1</v>
      </c>
      <c r="I685" s="6" t="s">
        <v>164</v>
      </c>
      <c r="J685" s="23" t="str">
        <f>VLOOKUP(E685,各职业基础配置!$B$9:$C$12,2,FALSE)</f>
        <v>101|102|103|4201|105</v>
      </c>
      <c r="K685" s="18" t="str">
        <f>VLOOKUP(E685,各职业基础配置!$B$15:$C$18,2,FALSE)</f>
        <v>24|25|26|27</v>
      </c>
      <c r="L685" s="18" t="str">
        <f>VLOOKUP(E685,各职业基础配置!B:C,2,FALSE)</f>
        <v>[{24,1,1},{25,1,1},{26,1,1},{27,1,1},{1,1,1},{2,1,1},{3,1,1}]</v>
      </c>
      <c r="M685" s="18">
        <v>0</v>
      </c>
      <c r="N685" s="18">
        <f t="shared" si="114"/>
        <v>3</v>
      </c>
      <c r="O685" s="18">
        <f>SUMPRODUCT(P685:AI685,Sheet2!$B$3:$U$3)</f>
        <v>77243</v>
      </c>
      <c r="P685" s="18">
        <f>CEILING(INDEX([1]系统模型!$VD:$VD,MATCH(C685,[1]系统模型!$A:$A,0))*POWER(C685/220,3.8)-50+(1000-A685),1)</f>
        <v>1294</v>
      </c>
      <c r="Q685" s="18">
        <f>CEILING(INDEX([1]系统模型!$VE:$VE,MATCH(C685,[1]系统模型!$A:$A,0))*POWER(C685/220,4),1)</f>
        <v>113</v>
      </c>
      <c r="R685" s="18">
        <f>INT(INDEX([1]系统模型!$VF:$VF,MATCH(C685,[1]系统模型!$A:$A,0))*MAX(POWER(C685/180,4),0.5))</f>
        <v>8843</v>
      </c>
      <c r="S685" s="5">
        <v>1000</v>
      </c>
      <c r="T685" s="25">
        <v>0</v>
      </c>
      <c r="U685" s="25">
        <v>0</v>
      </c>
      <c r="V685" s="25">
        <v>0</v>
      </c>
      <c r="W685" s="25">
        <v>0</v>
      </c>
      <c r="X685" s="25">
        <f t="shared" si="115"/>
        <v>442</v>
      </c>
      <c r="Y685" s="12">
        <v>0</v>
      </c>
      <c r="Z685" s="25">
        <v>100</v>
      </c>
      <c r="AA685" s="25">
        <v>150</v>
      </c>
      <c r="AB685" s="25">
        <v>0</v>
      </c>
      <c r="AC685" s="25">
        <v>0</v>
      </c>
      <c r="AD685" s="25">
        <v>0</v>
      </c>
      <c r="AE685" s="25">
        <f t="shared" si="116"/>
        <v>296</v>
      </c>
      <c r="AF685" s="25">
        <f t="shared" si="117"/>
        <v>296</v>
      </c>
      <c r="AG685" s="25">
        <v>0</v>
      </c>
      <c r="AH685" s="25">
        <f t="shared" si="118"/>
        <v>2350</v>
      </c>
      <c r="AI685" s="25">
        <f t="shared" si="119"/>
        <v>17</v>
      </c>
      <c r="AJ685" s="25">
        <v>1</v>
      </c>
      <c r="AK685" s="25">
        <v>1000</v>
      </c>
      <c r="AL685" s="25">
        <v>100</v>
      </c>
      <c r="AM685" s="26">
        <v>10</v>
      </c>
      <c r="AN685" s="26">
        <v>10</v>
      </c>
      <c r="AO685" s="22" t="s">
        <v>2211</v>
      </c>
      <c r="AP685" s="26">
        <v>0</v>
      </c>
      <c r="AQ685" s="26">
        <f t="shared" si="120"/>
        <v>310</v>
      </c>
      <c r="AR685" s="18" t="str">
        <f ca="1">CONCATENATE(OFFSET(Sheet1!$A$2,RANDBETWEEN(2,500),0,1,1),OFFSET(Sheet1!$A$2,RANDBETWEEN(2,500),RANDBETWEEN(1,5),1,1))</f>
        <v>赫莉</v>
      </c>
      <c r="AS685">
        <f>SUMPRODUCT(P685:AI685,Sheet2!$B$3:$U$3)</f>
        <v>77243</v>
      </c>
    </row>
    <row r="686" spans="1:45" x14ac:dyDescent="0.15">
      <c r="A686" s="18">
        <v>685</v>
      </c>
      <c r="B686" s="18" t="s">
        <v>1157</v>
      </c>
      <c r="C686" s="18">
        <f t="shared" si="110"/>
        <v>148</v>
      </c>
      <c r="D686" s="19">
        <f t="shared" si="111"/>
        <v>3</v>
      </c>
      <c r="E686" s="19">
        <f>VLOOKUP(MOD(A686,4),各职业基础配置!C$32:D$35,2,FALSE)</f>
        <v>3</v>
      </c>
      <c r="F686" s="19">
        <f>IF(A686&lt;900,INDEX(各职业基础配置!C$23:C$28,MOD(ROW(A686),4)+1),0)</f>
        <v>14</v>
      </c>
      <c r="G686" s="19">
        <f t="shared" si="112"/>
        <v>10</v>
      </c>
      <c r="H686" s="27">
        <f t="shared" si="113"/>
        <v>1</v>
      </c>
      <c r="I686" s="6" t="s">
        <v>164</v>
      </c>
      <c r="J686" s="23" t="str">
        <f>VLOOKUP(E686,各职业基础配置!$B$9:$C$12,2,FALSE)</f>
        <v>106|107|108|4201|110</v>
      </c>
      <c r="K686" s="18" t="str">
        <f>VLOOKUP(E686,各职业基础配置!$B$15:$C$18,2,FALSE)</f>
        <v>20|21|22|23</v>
      </c>
      <c r="L686" s="18" t="str">
        <f>VLOOKUP(E686,各职业基础配置!B:C,2,FALSE)</f>
        <v>[{20,1,1},{21,1,1},{22,1,1},{23,1,1},{4,1,1},{5,1,1},{6,1,1}]</v>
      </c>
      <c r="M686" s="18">
        <v>0</v>
      </c>
      <c r="N686" s="18">
        <f t="shared" si="114"/>
        <v>7</v>
      </c>
      <c r="O686" s="18">
        <f>SUMPRODUCT(P686:AI686,Sheet2!$B$3:$U$3)</f>
        <v>77218</v>
      </c>
      <c r="P686" s="18">
        <f>CEILING(INDEX([1]系统模型!$VD:$VD,MATCH(C686,[1]系统模型!$A:$A,0))*POWER(C686/220,3.8)-50+(1000-A686),1)</f>
        <v>1293</v>
      </c>
      <c r="Q686" s="18">
        <f>CEILING(INDEX([1]系统模型!$VE:$VE,MATCH(C686,[1]系统模型!$A:$A,0))*POWER(C686/220,4),1)</f>
        <v>113</v>
      </c>
      <c r="R686" s="18">
        <f>INT(INDEX([1]系统模型!$VF:$VF,MATCH(C686,[1]系统模型!$A:$A,0))*MAX(POWER(C686/180,4),0.5))</f>
        <v>8843</v>
      </c>
      <c r="S686" s="5">
        <v>1000</v>
      </c>
      <c r="T686" s="25">
        <v>0</v>
      </c>
      <c r="U686" s="25">
        <v>0</v>
      </c>
      <c r="V686" s="25">
        <v>0</v>
      </c>
      <c r="W686" s="25">
        <v>0</v>
      </c>
      <c r="X686" s="25">
        <f t="shared" si="115"/>
        <v>442</v>
      </c>
      <c r="Y686" s="12">
        <v>0</v>
      </c>
      <c r="Z686" s="25">
        <v>100</v>
      </c>
      <c r="AA686" s="25">
        <v>150</v>
      </c>
      <c r="AB686" s="25">
        <v>0</v>
      </c>
      <c r="AC686" s="25">
        <v>0</v>
      </c>
      <c r="AD686" s="25">
        <v>0</v>
      </c>
      <c r="AE686" s="25">
        <f t="shared" si="116"/>
        <v>296</v>
      </c>
      <c r="AF686" s="25">
        <f t="shared" si="117"/>
        <v>296</v>
      </c>
      <c r="AG686" s="25">
        <v>0</v>
      </c>
      <c r="AH686" s="25">
        <f t="shared" si="118"/>
        <v>2350</v>
      </c>
      <c r="AI686" s="25">
        <f t="shared" si="119"/>
        <v>17</v>
      </c>
      <c r="AJ686" s="25">
        <v>1</v>
      </c>
      <c r="AK686" s="25">
        <v>1000</v>
      </c>
      <c r="AL686" s="25">
        <v>100</v>
      </c>
      <c r="AM686" s="26">
        <v>10</v>
      </c>
      <c r="AN686" s="26">
        <v>10</v>
      </c>
      <c r="AO686" s="22" t="s">
        <v>2211</v>
      </c>
      <c r="AP686" s="26">
        <v>0</v>
      </c>
      <c r="AQ686" s="26">
        <f t="shared" si="120"/>
        <v>310</v>
      </c>
      <c r="AR686" s="18" t="str">
        <f ca="1">CONCATENATE(OFFSET(Sheet1!$A$2,RANDBETWEEN(2,500),0,1,1),OFFSET(Sheet1!$A$2,RANDBETWEEN(2,500),RANDBETWEEN(1,5),1,1))</f>
        <v>陶赫蒂</v>
      </c>
      <c r="AS686">
        <f>SUMPRODUCT(P686:AI686,Sheet2!$B$3:$U$3)</f>
        <v>77218</v>
      </c>
    </row>
    <row r="687" spans="1:45" x14ac:dyDescent="0.15">
      <c r="A687" s="18">
        <v>686</v>
      </c>
      <c r="B687" s="18" t="s">
        <v>1249</v>
      </c>
      <c r="C687" s="18">
        <f t="shared" si="110"/>
        <v>148</v>
      </c>
      <c r="D687" s="19">
        <f t="shared" si="111"/>
        <v>2</v>
      </c>
      <c r="E687" s="19">
        <f>VLOOKUP(MOD(A687,4),各职业基础配置!C$32:D$35,2,FALSE)</f>
        <v>6</v>
      </c>
      <c r="F687" s="19">
        <f>IF(A687&lt;900,INDEX(各职业基础配置!C$23:C$28,MOD(ROW(A687),4)+1),0)</f>
        <v>16</v>
      </c>
      <c r="G687" s="19">
        <f t="shared" si="112"/>
        <v>10</v>
      </c>
      <c r="H687" s="27">
        <f t="shared" si="113"/>
        <v>1</v>
      </c>
      <c r="I687" s="6" t="s">
        <v>164</v>
      </c>
      <c r="J687" s="23" t="str">
        <f>VLOOKUP(E687,各职业基础配置!$B$9:$C$12,2,FALSE)</f>
        <v>111|112|113|4201|115</v>
      </c>
      <c r="K687" s="18" t="str">
        <f>VLOOKUP(E687,各职业基础配置!$B$15:$C$18,2,FALSE)</f>
        <v>32|33|34</v>
      </c>
      <c r="L687" s="18" t="str">
        <f>VLOOKUP(E687,各职业基础配置!B:C,2,FALSE)</f>
        <v>[{32,1,1},{33,1,1},{34,1,1},{35,1,1},{7,1,1},{8,1,1},{9,1,1}]</v>
      </c>
      <c r="M687" s="18">
        <v>0</v>
      </c>
      <c r="N687" s="18">
        <f t="shared" si="114"/>
        <v>7</v>
      </c>
      <c r="O687" s="18">
        <f>SUMPRODUCT(P687:AI687,Sheet2!$B$3:$U$3)</f>
        <v>77193</v>
      </c>
      <c r="P687" s="18">
        <f>CEILING(INDEX([1]系统模型!$VD:$VD,MATCH(C687,[1]系统模型!$A:$A,0))*POWER(C687/220,3.8)-50+(1000-A687),1)</f>
        <v>1292</v>
      </c>
      <c r="Q687" s="18">
        <f>CEILING(INDEX([1]系统模型!$VE:$VE,MATCH(C687,[1]系统模型!$A:$A,0))*POWER(C687/220,4),1)</f>
        <v>113</v>
      </c>
      <c r="R687" s="18">
        <f>INT(INDEX([1]系统模型!$VF:$VF,MATCH(C687,[1]系统模型!$A:$A,0))*MAX(POWER(C687/180,4),0.5))</f>
        <v>8843</v>
      </c>
      <c r="S687" s="5">
        <v>1000</v>
      </c>
      <c r="T687" s="25">
        <v>0</v>
      </c>
      <c r="U687" s="25">
        <v>0</v>
      </c>
      <c r="V687" s="25">
        <v>0</v>
      </c>
      <c r="W687" s="25">
        <v>0</v>
      </c>
      <c r="X687" s="25">
        <f t="shared" si="115"/>
        <v>442</v>
      </c>
      <c r="Y687" s="12">
        <v>0</v>
      </c>
      <c r="Z687" s="25">
        <v>100</v>
      </c>
      <c r="AA687" s="25">
        <v>150</v>
      </c>
      <c r="AB687" s="25">
        <v>0</v>
      </c>
      <c r="AC687" s="25">
        <v>0</v>
      </c>
      <c r="AD687" s="25">
        <v>0</v>
      </c>
      <c r="AE687" s="25">
        <f t="shared" si="116"/>
        <v>296</v>
      </c>
      <c r="AF687" s="25">
        <f t="shared" si="117"/>
        <v>296</v>
      </c>
      <c r="AG687" s="25">
        <v>0</v>
      </c>
      <c r="AH687" s="25">
        <f t="shared" si="118"/>
        <v>2350</v>
      </c>
      <c r="AI687" s="25">
        <f t="shared" si="119"/>
        <v>17</v>
      </c>
      <c r="AJ687" s="25">
        <v>1</v>
      </c>
      <c r="AK687" s="25">
        <v>1000</v>
      </c>
      <c r="AL687" s="25">
        <v>100</v>
      </c>
      <c r="AM687" s="26">
        <v>10</v>
      </c>
      <c r="AN687" s="26">
        <v>10</v>
      </c>
      <c r="AO687" s="22" t="s">
        <v>2211</v>
      </c>
      <c r="AP687" s="26">
        <v>0</v>
      </c>
      <c r="AQ687" s="26">
        <f t="shared" si="120"/>
        <v>310</v>
      </c>
      <c r="AR687" s="18" t="str">
        <f ca="1">CONCATENATE(OFFSET(Sheet1!$A$2,RANDBETWEEN(2,500),0,1,1),OFFSET(Sheet1!$A$2,RANDBETWEEN(2,500),RANDBETWEEN(1,5),1,1))</f>
        <v>吉尔</v>
      </c>
      <c r="AS687">
        <f>SUMPRODUCT(P687:AI687,Sheet2!$B$3:$U$3)</f>
        <v>77193</v>
      </c>
    </row>
    <row r="688" spans="1:45" x14ac:dyDescent="0.15">
      <c r="A688" s="23">
        <v>687</v>
      </c>
      <c r="B688" s="18" t="s">
        <v>1086</v>
      </c>
      <c r="C688" s="18">
        <f t="shared" si="110"/>
        <v>148</v>
      </c>
      <c r="D688" s="19">
        <f t="shared" si="111"/>
        <v>3</v>
      </c>
      <c r="E688" s="19">
        <f>VLOOKUP(MOD(A688,4),各职业基础配置!C$32:D$35,2,FALSE)</f>
        <v>9</v>
      </c>
      <c r="F688" s="19">
        <f>IF(A688&lt;900,INDEX(各职业基础配置!C$23:C$28,MOD(ROW(A688),4)+1),0)</f>
        <v>8</v>
      </c>
      <c r="G688" s="19">
        <f t="shared" si="112"/>
        <v>10</v>
      </c>
      <c r="H688" s="27">
        <f t="shared" si="113"/>
        <v>1</v>
      </c>
      <c r="I688" s="6" t="s">
        <v>164</v>
      </c>
      <c r="J688" s="23" t="str">
        <f>VLOOKUP(E688,各职业基础配置!$B$9:$C$12,2,FALSE)</f>
        <v>116|117|118|4201|120</v>
      </c>
      <c r="K688" s="18" t="str">
        <f>VLOOKUP(E688,各职业基础配置!$B$15:$C$18,2,FALSE)</f>
        <v>28|29|30|31</v>
      </c>
      <c r="L688" s="18" t="str">
        <f>VLOOKUP(E688,各职业基础配置!B:C,2,FALSE)</f>
        <v>[{28,1,1},{29,1,1},{30,1,1},{31,1,1},{10,1,1},{11,1,1},{12,1,1}]</v>
      </c>
      <c r="M688" s="18">
        <v>0</v>
      </c>
      <c r="N688" s="18">
        <f t="shared" si="114"/>
        <v>3</v>
      </c>
      <c r="O688" s="18">
        <f>SUMPRODUCT(P688:AI688,Sheet2!$B$3:$U$3)</f>
        <v>77168</v>
      </c>
      <c r="P688" s="18">
        <f>CEILING(INDEX([1]系统模型!$VD:$VD,MATCH(C688,[1]系统模型!$A:$A,0))*POWER(C688/220,3.8)-50+(1000-A688),1)</f>
        <v>1291</v>
      </c>
      <c r="Q688" s="18">
        <f>CEILING(INDEX([1]系统模型!$VE:$VE,MATCH(C688,[1]系统模型!$A:$A,0))*POWER(C688/220,4),1)</f>
        <v>113</v>
      </c>
      <c r="R688" s="18">
        <f>INT(INDEX([1]系统模型!$VF:$VF,MATCH(C688,[1]系统模型!$A:$A,0))*MAX(POWER(C688/180,4),0.5))</f>
        <v>8843</v>
      </c>
      <c r="S688" s="5">
        <v>1000</v>
      </c>
      <c r="T688" s="25">
        <v>0</v>
      </c>
      <c r="U688" s="25">
        <v>0</v>
      </c>
      <c r="V688" s="25">
        <v>0</v>
      </c>
      <c r="W688" s="25">
        <v>0</v>
      </c>
      <c r="X688" s="25">
        <f t="shared" si="115"/>
        <v>442</v>
      </c>
      <c r="Y688" s="12">
        <v>0</v>
      </c>
      <c r="Z688" s="25">
        <v>100</v>
      </c>
      <c r="AA688" s="25">
        <v>150</v>
      </c>
      <c r="AB688" s="25">
        <v>0</v>
      </c>
      <c r="AC688" s="25">
        <v>0</v>
      </c>
      <c r="AD688" s="25">
        <v>0</v>
      </c>
      <c r="AE688" s="25">
        <f t="shared" si="116"/>
        <v>296</v>
      </c>
      <c r="AF688" s="25">
        <f t="shared" si="117"/>
        <v>296</v>
      </c>
      <c r="AG688" s="25">
        <v>0</v>
      </c>
      <c r="AH688" s="25">
        <f t="shared" si="118"/>
        <v>2350</v>
      </c>
      <c r="AI688" s="25">
        <f t="shared" si="119"/>
        <v>17</v>
      </c>
      <c r="AJ688" s="25">
        <v>1</v>
      </c>
      <c r="AK688" s="25">
        <v>1000</v>
      </c>
      <c r="AL688" s="25">
        <v>100</v>
      </c>
      <c r="AM688" s="26">
        <v>10</v>
      </c>
      <c r="AN688" s="26">
        <v>10</v>
      </c>
      <c r="AO688" s="22" t="s">
        <v>2211</v>
      </c>
      <c r="AP688" s="26">
        <v>0</v>
      </c>
      <c r="AQ688" s="26">
        <f t="shared" si="120"/>
        <v>300</v>
      </c>
      <c r="AR688" s="18" t="str">
        <f ca="1">CONCATENATE(OFFSET(Sheet1!$A$2,RANDBETWEEN(2,500),0,1,1),OFFSET(Sheet1!$A$2,RANDBETWEEN(2,500),RANDBETWEEN(1,5),1,1))</f>
        <v>哈灵顿</v>
      </c>
      <c r="AS688">
        <f>SUMPRODUCT(P688:AI688,Sheet2!$B$3:$U$3)</f>
        <v>77168</v>
      </c>
    </row>
    <row r="689" spans="1:45" x14ac:dyDescent="0.15">
      <c r="A689" s="18">
        <v>688</v>
      </c>
      <c r="B689" s="18" t="s">
        <v>419</v>
      </c>
      <c r="C689" s="18">
        <f t="shared" si="110"/>
        <v>148</v>
      </c>
      <c r="D689" s="19">
        <f t="shared" si="111"/>
        <v>2</v>
      </c>
      <c r="E689" s="19">
        <f>VLOOKUP(MOD(A689,4),各职业基础配置!C$32:D$35,2,FALSE)</f>
        <v>1</v>
      </c>
      <c r="F689" s="19">
        <f>IF(A689&lt;900,INDEX(各职业基础配置!C$23:C$28,MOD(ROW(A689),4)+1),0)</f>
        <v>13</v>
      </c>
      <c r="G689" s="19">
        <f t="shared" si="112"/>
        <v>10</v>
      </c>
      <c r="H689" s="27">
        <f t="shared" si="113"/>
        <v>1</v>
      </c>
      <c r="I689" s="6" t="s">
        <v>164</v>
      </c>
      <c r="J689" s="23" t="str">
        <f>VLOOKUP(E689,各职业基础配置!$B$9:$C$12,2,FALSE)</f>
        <v>101|102|103|4201|105</v>
      </c>
      <c r="K689" s="18" t="str">
        <f>VLOOKUP(E689,各职业基础配置!$B$15:$C$18,2,FALSE)</f>
        <v>24|25|26|27</v>
      </c>
      <c r="L689" s="18" t="str">
        <f>VLOOKUP(E689,各职业基础配置!B:C,2,FALSE)</f>
        <v>[{24,1,1},{25,1,1},{26,1,1},{27,1,1},{1,1,1},{2,1,1},{3,1,1}]</v>
      </c>
      <c r="M689" s="18">
        <v>0</v>
      </c>
      <c r="N689" s="18">
        <f t="shared" si="114"/>
        <v>3</v>
      </c>
      <c r="O689" s="18">
        <f>SUMPRODUCT(P689:AI689,Sheet2!$B$3:$U$3)</f>
        <v>77143</v>
      </c>
      <c r="P689" s="18">
        <f>CEILING(INDEX([1]系统模型!$VD:$VD,MATCH(C689,[1]系统模型!$A:$A,0))*POWER(C689/220,3.8)-50+(1000-A689),1)</f>
        <v>1290</v>
      </c>
      <c r="Q689" s="18">
        <f>CEILING(INDEX([1]系统模型!$VE:$VE,MATCH(C689,[1]系统模型!$A:$A,0))*POWER(C689/220,4),1)</f>
        <v>113</v>
      </c>
      <c r="R689" s="18">
        <f>INT(INDEX([1]系统模型!$VF:$VF,MATCH(C689,[1]系统模型!$A:$A,0))*MAX(POWER(C689/180,4),0.5))</f>
        <v>8843</v>
      </c>
      <c r="S689" s="5">
        <v>1000</v>
      </c>
      <c r="T689" s="25">
        <v>0</v>
      </c>
      <c r="U689" s="25">
        <v>0</v>
      </c>
      <c r="V689" s="25">
        <v>0</v>
      </c>
      <c r="W689" s="25">
        <v>0</v>
      </c>
      <c r="X689" s="25">
        <f t="shared" si="115"/>
        <v>442</v>
      </c>
      <c r="Y689" s="12">
        <v>0</v>
      </c>
      <c r="Z689" s="25">
        <v>100</v>
      </c>
      <c r="AA689" s="25">
        <v>150</v>
      </c>
      <c r="AB689" s="25">
        <v>0</v>
      </c>
      <c r="AC689" s="25">
        <v>0</v>
      </c>
      <c r="AD689" s="25">
        <v>0</v>
      </c>
      <c r="AE689" s="25">
        <f t="shared" si="116"/>
        <v>296</v>
      </c>
      <c r="AF689" s="25">
        <f t="shared" si="117"/>
        <v>296</v>
      </c>
      <c r="AG689" s="25">
        <v>0</v>
      </c>
      <c r="AH689" s="25">
        <f t="shared" si="118"/>
        <v>2350</v>
      </c>
      <c r="AI689" s="25">
        <f t="shared" si="119"/>
        <v>17</v>
      </c>
      <c r="AJ689" s="25">
        <v>1</v>
      </c>
      <c r="AK689" s="25">
        <v>1000</v>
      </c>
      <c r="AL689" s="25">
        <v>100</v>
      </c>
      <c r="AM689" s="26">
        <v>10</v>
      </c>
      <c r="AN689" s="26">
        <v>10</v>
      </c>
      <c r="AO689" s="22" t="s">
        <v>2211</v>
      </c>
      <c r="AP689" s="26">
        <v>0</v>
      </c>
      <c r="AQ689" s="26">
        <f t="shared" si="120"/>
        <v>300</v>
      </c>
      <c r="AR689" s="18" t="str">
        <f ca="1">CONCATENATE(OFFSET(Sheet1!$A$2,RANDBETWEEN(2,500),0,1,1),OFFSET(Sheet1!$A$2,RANDBETWEEN(2,500),RANDBETWEEN(1,5),1,1))</f>
        <v>霍布斯卡洛儿</v>
      </c>
      <c r="AS689">
        <f>SUMPRODUCT(P689:AI689,Sheet2!$B$3:$U$3)</f>
        <v>77143</v>
      </c>
    </row>
    <row r="690" spans="1:45" x14ac:dyDescent="0.15">
      <c r="A690" s="18">
        <v>689</v>
      </c>
      <c r="B690" s="18" t="s">
        <v>1362</v>
      </c>
      <c r="C690" s="18">
        <f t="shared" si="110"/>
        <v>148</v>
      </c>
      <c r="D690" s="19">
        <f t="shared" si="111"/>
        <v>3</v>
      </c>
      <c r="E690" s="19">
        <f>VLOOKUP(MOD(A690,4),各职业基础配置!C$32:D$35,2,FALSE)</f>
        <v>3</v>
      </c>
      <c r="F690" s="19">
        <f>IF(A690&lt;900,INDEX(各职业基础配置!C$23:C$28,MOD(ROW(A690),4)+1),0)</f>
        <v>14</v>
      </c>
      <c r="G690" s="19">
        <f t="shared" si="112"/>
        <v>10</v>
      </c>
      <c r="H690" s="27">
        <f t="shared" si="113"/>
        <v>1</v>
      </c>
      <c r="I690" s="6" t="s">
        <v>164</v>
      </c>
      <c r="J690" s="23" t="str">
        <f>VLOOKUP(E690,各职业基础配置!$B$9:$C$12,2,FALSE)</f>
        <v>106|107|108|4201|110</v>
      </c>
      <c r="K690" s="18" t="str">
        <f>VLOOKUP(E690,各职业基础配置!$B$15:$C$18,2,FALSE)</f>
        <v>20|21|22|23</v>
      </c>
      <c r="L690" s="18" t="str">
        <f>VLOOKUP(E690,各职业基础配置!B:C,2,FALSE)</f>
        <v>[{20,1,1},{21,1,1},{22,1,1},{23,1,1},{4,1,1},{5,1,1},{6,1,1}]</v>
      </c>
      <c r="M690" s="18">
        <v>0</v>
      </c>
      <c r="N690" s="18">
        <f t="shared" si="114"/>
        <v>7</v>
      </c>
      <c r="O690" s="18">
        <f>SUMPRODUCT(P690:AI690,Sheet2!$B$3:$U$3)</f>
        <v>77118</v>
      </c>
      <c r="P690" s="18">
        <f>CEILING(INDEX([1]系统模型!$VD:$VD,MATCH(C690,[1]系统模型!$A:$A,0))*POWER(C690/220,3.8)-50+(1000-A690),1)</f>
        <v>1289</v>
      </c>
      <c r="Q690" s="18">
        <f>CEILING(INDEX([1]系统模型!$VE:$VE,MATCH(C690,[1]系统模型!$A:$A,0))*POWER(C690/220,4),1)</f>
        <v>113</v>
      </c>
      <c r="R690" s="18">
        <f>INT(INDEX([1]系统模型!$VF:$VF,MATCH(C690,[1]系统模型!$A:$A,0))*MAX(POWER(C690/180,4),0.5))</f>
        <v>8843</v>
      </c>
      <c r="S690" s="5">
        <v>1000</v>
      </c>
      <c r="T690" s="25">
        <v>0</v>
      </c>
      <c r="U690" s="25">
        <v>0</v>
      </c>
      <c r="V690" s="25">
        <v>0</v>
      </c>
      <c r="W690" s="25">
        <v>0</v>
      </c>
      <c r="X690" s="25">
        <f t="shared" si="115"/>
        <v>442</v>
      </c>
      <c r="Y690" s="12">
        <v>0</v>
      </c>
      <c r="Z690" s="25">
        <v>100</v>
      </c>
      <c r="AA690" s="25">
        <v>150</v>
      </c>
      <c r="AB690" s="25">
        <v>0</v>
      </c>
      <c r="AC690" s="25">
        <v>0</v>
      </c>
      <c r="AD690" s="25">
        <v>0</v>
      </c>
      <c r="AE690" s="25">
        <f t="shared" si="116"/>
        <v>296</v>
      </c>
      <c r="AF690" s="25">
        <f t="shared" si="117"/>
        <v>296</v>
      </c>
      <c r="AG690" s="25">
        <v>0</v>
      </c>
      <c r="AH690" s="25">
        <f t="shared" si="118"/>
        <v>2350</v>
      </c>
      <c r="AI690" s="25">
        <f t="shared" si="119"/>
        <v>17</v>
      </c>
      <c r="AJ690" s="25">
        <v>1</v>
      </c>
      <c r="AK690" s="25">
        <v>1000</v>
      </c>
      <c r="AL690" s="25">
        <v>100</v>
      </c>
      <c r="AM690" s="26">
        <v>10</v>
      </c>
      <c r="AN690" s="26">
        <v>10</v>
      </c>
      <c r="AO690" s="22" t="s">
        <v>2211</v>
      </c>
      <c r="AP690" s="26">
        <v>0</v>
      </c>
      <c r="AQ690" s="26">
        <f t="shared" si="120"/>
        <v>300</v>
      </c>
      <c r="AR690" s="18" t="str">
        <f ca="1">CONCATENATE(OFFSET(Sheet1!$A$2,RANDBETWEEN(2,500),0,1,1),OFFSET(Sheet1!$A$2,RANDBETWEEN(2,500),RANDBETWEEN(1,5),1,1))</f>
        <v>比尔</v>
      </c>
      <c r="AS690">
        <f>SUMPRODUCT(P690:AI690,Sheet2!$B$3:$U$3)</f>
        <v>77118</v>
      </c>
    </row>
    <row r="691" spans="1:45" x14ac:dyDescent="0.15">
      <c r="A691" s="23">
        <v>690</v>
      </c>
      <c r="B691" s="18" t="s">
        <v>2094</v>
      </c>
      <c r="C691" s="18">
        <f t="shared" si="110"/>
        <v>147</v>
      </c>
      <c r="D691" s="19">
        <f t="shared" si="111"/>
        <v>2</v>
      </c>
      <c r="E691" s="19">
        <f>VLOOKUP(MOD(A691,4),各职业基础配置!C$32:D$35,2,FALSE)</f>
        <v>6</v>
      </c>
      <c r="F691" s="19">
        <f>IF(A691&lt;900,INDEX(各职业基础配置!C$23:C$28,MOD(ROW(A691),4)+1),0)</f>
        <v>16</v>
      </c>
      <c r="G691" s="19">
        <f t="shared" si="112"/>
        <v>10</v>
      </c>
      <c r="H691" s="27">
        <f t="shared" si="113"/>
        <v>1</v>
      </c>
      <c r="I691" s="6" t="s">
        <v>164</v>
      </c>
      <c r="J691" s="23" t="str">
        <f>VLOOKUP(E691,各职业基础配置!$B$9:$C$12,2,FALSE)</f>
        <v>111|112|113|4201|115</v>
      </c>
      <c r="K691" s="18" t="str">
        <f>VLOOKUP(E691,各职业基础配置!$B$15:$C$18,2,FALSE)</f>
        <v>32|33|34</v>
      </c>
      <c r="L691" s="18" t="str">
        <f>VLOOKUP(E691,各职业基础配置!B:C,2,FALSE)</f>
        <v>[{32,1,1},{33,1,1},{34,1,1},{35,1,1},{7,1,1},{8,1,1},{9,1,1}]</v>
      </c>
      <c r="M691" s="18">
        <v>0</v>
      </c>
      <c r="N691" s="18">
        <f t="shared" si="114"/>
        <v>7</v>
      </c>
      <c r="O691" s="18">
        <f>SUMPRODUCT(P691:AI691,Sheet2!$B$3:$U$3)</f>
        <v>75449</v>
      </c>
      <c r="P691" s="18">
        <f>CEILING(INDEX([1]系统模型!$VD:$VD,MATCH(C691,[1]系统模型!$A:$A,0))*POWER(C691/220,3.8)-50+(1000-A691),1)</f>
        <v>1249</v>
      </c>
      <c r="Q691" s="18">
        <f>CEILING(INDEX([1]系统模型!$VE:$VE,MATCH(C691,[1]系统模型!$A:$A,0))*POWER(C691/220,4),1)</f>
        <v>109</v>
      </c>
      <c r="R691" s="18">
        <f>INT(INDEX([1]系统模型!$VF:$VF,MATCH(C691,[1]系统模型!$A:$A,0))*MAX(POWER(C691/180,4),0.5))</f>
        <v>8774</v>
      </c>
      <c r="S691" s="5">
        <v>1000</v>
      </c>
      <c r="T691" s="25">
        <v>0</v>
      </c>
      <c r="U691" s="25">
        <v>0</v>
      </c>
      <c r="V691" s="25">
        <v>0</v>
      </c>
      <c r="W691" s="25">
        <v>0</v>
      </c>
      <c r="X691" s="25">
        <f t="shared" si="115"/>
        <v>438</v>
      </c>
      <c r="Y691" s="12">
        <v>0</v>
      </c>
      <c r="Z691" s="25">
        <v>100</v>
      </c>
      <c r="AA691" s="25">
        <v>150</v>
      </c>
      <c r="AB691" s="25">
        <v>0</v>
      </c>
      <c r="AC691" s="25">
        <v>0</v>
      </c>
      <c r="AD691" s="25">
        <v>0</v>
      </c>
      <c r="AE691" s="25">
        <f t="shared" si="116"/>
        <v>294</v>
      </c>
      <c r="AF691" s="25">
        <f t="shared" si="117"/>
        <v>294</v>
      </c>
      <c r="AG691" s="25">
        <v>0</v>
      </c>
      <c r="AH691" s="25">
        <f t="shared" si="118"/>
        <v>2275</v>
      </c>
      <c r="AI691" s="25">
        <f t="shared" si="119"/>
        <v>16</v>
      </c>
      <c r="AJ691" s="25">
        <v>1</v>
      </c>
      <c r="AK691" s="25">
        <v>1000</v>
      </c>
      <c r="AL691" s="25">
        <v>100</v>
      </c>
      <c r="AM691" s="26">
        <v>10</v>
      </c>
      <c r="AN691" s="26">
        <v>10</v>
      </c>
      <c r="AO691" s="22" t="s">
        <v>2211</v>
      </c>
      <c r="AP691" s="26">
        <v>0</v>
      </c>
      <c r="AQ691" s="26">
        <f t="shared" si="120"/>
        <v>300</v>
      </c>
      <c r="AR691" s="18" t="str">
        <f ca="1">CONCATENATE(OFFSET(Sheet1!$A$2,RANDBETWEEN(2,500),0,1,1),OFFSET(Sheet1!$A$2,RANDBETWEEN(2,500),RANDBETWEEN(1,5),1,1))</f>
        <v>弗朗西丝经典</v>
      </c>
      <c r="AS691">
        <f>SUMPRODUCT(P691:AI691,Sheet2!$B$3:$U$3)</f>
        <v>75449</v>
      </c>
    </row>
    <row r="692" spans="1:45" x14ac:dyDescent="0.15">
      <c r="A692" s="18">
        <v>691</v>
      </c>
      <c r="B692" s="18" t="s">
        <v>220</v>
      </c>
      <c r="C692" s="18">
        <f t="shared" si="110"/>
        <v>147</v>
      </c>
      <c r="D692" s="19">
        <f t="shared" si="111"/>
        <v>3</v>
      </c>
      <c r="E692" s="19">
        <f>VLOOKUP(MOD(A692,4),各职业基础配置!C$32:D$35,2,FALSE)</f>
        <v>9</v>
      </c>
      <c r="F692" s="19">
        <f>IF(A692&lt;900,INDEX(各职业基础配置!C$23:C$28,MOD(ROW(A692),4)+1),0)</f>
        <v>8</v>
      </c>
      <c r="G692" s="19">
        <f t="shared" si="112"/>
        <v>10</v>
      </c>
      <c r="H692" s="27">
        <f t="shared" si="113"/>
        <v>1</v>
      </c>
      <c r="I692" s="6" t="s">
        <v>164</v>
      </c>
      <c r="J692" s="23" t="str">
        <f>VLOOKUP(E692,各职业基础配置!$B$9:$C$12,2,FALSE)</f>
        <v>116|117|118|4201|120</v>
      </c>
      <c r="K692" s="18" t="str">
        <f>VLOOKUP(E692,各职业基础配置!$B$15:$C$18,2,FALSE)</f>
        <v>28|29|30|31</v>
      </c>
      <c r="L692" s="18" t="str">
        <f>VLOOKUP(E692,各职业基础配置!B:C,2,FALSE)</f>
        <v>[{28,1,1},{29,1,1},{30,1,1},{31,1,1},{10,1,1},{11,1,1},{12,1,1}]</v>
      </c>
      <c r="M692" s="18">
        <v>0</v>
      </c>
      <c r="N692" s="18">
        <f t="shared" si="114"/>
        <v>3</v>
      </c>
      <c r="O692" s="18">
        <f>SUMPRODUCT(P692:AI692,Sheet2!$B$3:$U$3)</f>
        <v>75424</v>
      </c>
      <c r="P692" s="18">
        <f>CEILING(INDEX([1]系统模型!$VD:$VD,MATCH(C692,[1]系统模型!$A:$A,0))*POWER(C692/220,3.8)-50+(1000-A692),1)</f>
        <v>1248</v>
      </c>
      <c r="Q692" s="18">
        <f>CEILING(INDEX([1]系统模型!$VE:$VE,MATCH(C692,[1]系统模型!$A:$A,0))*POWER(C692/220,4),1)</f>
        <v>109</v>
      </c>
      <c r="R692" s="18">
        <f>INT(INDEX([1]系统模型!$VF:$VF,MATCH(C692,[1]系统模型!$A:$A,0))*MAX(POWER(C692/180,4),0.5))</f>
        <v>8774</v>
      </c>
      <c r="S692" s="5">
        <v>1000</v>
      </c>
      <c r="T692" s="25">
        <v>0</v>
      </c>
      <c r="U692" s="25">
        <v>0</v>
      </c>
      <c r="V692" s="25">
        <v>0</v>
      </c>
      <c r="W692" s="25">
        <v>0</v>
      </c>
      <c r="X692" s="25">
        <f t="shared" si="115"/>
        <v>438</v>
      </c>
      <c r="Y692" s="12">
        <v>0</v>
      </c>
      <c r="Z692" s="25">
        <v>100</v>
      </c>
      <c r="AA692" s="25">
        <v>150</v>
      </c>
      <c r="AB692" s="25">
        <v>0</v>
      </c>
      <c r="AC692" s="25">
        <v>0</v>
      </c>
      <c r="AD692" s="25">
        <v>0</v>
      </c>
      <c r="AE692" s="25">
        <f t="shared" si="116"/>
        <v>294</v>
      </c>
      <c r="AF692" s="25">
        <f t="shared" si="117"/>
        <v>294</v>
      </c>
      <c r="AG692" s="25">
        <v>0</v>
      </c>
      <c r="AH692" s="25">
        <f t="shared" si="118"/>
        <v>2275</v>
      </c>
      <c r="AI692" s="25">
        <f t="shared" si="119"/>
        <v>16</v>
      </c>
      <c r="AJ692" s="25">
        <v>1</v>
      </c>
      <c r="AK692" s="25">
        <v>1000</v>
      </c>
      <c r="AL692" s="25">
        <v>100</v>
      </c>
      <c r="AM692" s="26">
        <v>10</v>
      </c>
      <c r="AN692" s="26">
        <v>10</v>
      </c>
      <c r="AO692" s="22" t="s">
        <v>2211</v>
      </c>
      <c r="AP692" s="26">
        <v>0</v>
      </c>
      <c r="AQ692" s="26">
        <f t="shared" si="120"/>
        <v>300</v>
      </c>
      <c r="AR692" s="18" t="str">
        <f ca="1">CONCATENATE(OFFSET(Sheet1!$A$2,RANDBETWEEN(2,500),0,1,1),OFFSET(Sheet1!$A$2,RANDBETWEEN(2,500),RANDBETWEEN(1,5),1,1))</f>
        <v>豪厄斯查理</v>
      </c>
      <c r="AS692">
        <f>SUMPRODUCT(P692:AI692,Sheet2!$B$3:$U$3)</f>
        <v>75424</v>
      </c>
    </row>
    <row r="693" spans="1:45" x14ac:dyDescent="0.15">
      <c r="A693" s="18">
        <v>692</v>
      </c>
      <c r="B693" s="18" t="s">
        <v>1268</v>
      </c>
      <c r="C693" s="18">
        <f t="shared" si="110"/>
        <v>147</v>
      </c>
      <c r="D693" s="19">
        <f t="shared" si="111"/>
        <v>2</v>
      </c>
      <c r="E693" s="19">
        <f>VLOOKUP(MOD(A693,4),各职业基础配置!C$32:D$35,2,FALSE)</f>
        <v>1</v>
      </c>
      <c r="F693" s="19">
        <f>IF(A693&lt;900,INDEX(各职业基础配置!C$23:C$28,MOD(ROW(A693),4)+1),0)</f>
        <v>13</v>
      </c>
      <c r="G693" s="19">
        <f t="shared" si="112"/>
        <v>10</v>
      </c>
      <c r="H693" s="27">
        <f t="shared" si="113"/>
        <v>1</v>
      </c>
      <c r="I693" s="6" t="s">
        <v>164</v>
      </c>
      <c r="J693" s="23" t="str">
        <f>VLOOKUP(E693,各职业基础配置!$B$9:$C$12,2,FALSE)</f>
        <v>101|102|103|4201|105</v>
      </c>
      <c r="K693" s="18" t="str">
        <f>VLOOKUP(E693,各职业基础配置!$B$15:$C$18,2,FALSE)</f>
        <v>24|25|26|27</v>
      </c>
      <c r="L693" s="18" t="str">
        <f>VLOOKUP(E693,各职业基础配置!B:C,2,FALSE)</f>
        <v>[{24,1,1},{25,1,1},{26,1,1},{27,1,1},{1,1,1},{2,1,1},{3,1,1}]</v>
      </c>
      <c r="M693" s="18">
        <v>0</v>
      </c>
      <c r="N693" s="18">
        <f t="shared" si="114"/>
        <v>3</v>
      </c>
      <c r="O693" s="18">
        <f>SUMPRODUCT(P693:AI693,Sheet2!$B$3:$U$3)</f>
        <v>75399</v>
      </c>
      <c r="P693" s="18">
        <f>CEILING(INDEX([1]系统模型!$VD:$VD,MATCH(C693,[1]系统模型!$A:$A,0))*POWER(C693/220,3.8)-50+(1000-A693),1)</f>
        <v>1247</v>
      </c>
      <c r="Q693" s="18">
        <f>CEILING(INDEX([1]系统模型!$VE:$VE,MATCH(C693,[1]系统模型!$A:$A,0))*POWER(C693/220,4),1)</f>
        <v>109</v>
      </c>
      <c r="R693" s="18">
        <f>INT(INDEX([1]系统模型!$VF:$VF,MATCH(C693,[1]系统模型!$A:$A,0))*MAX(POWER(C693/180,4),0.5))</f>
        <v>8774</v>
      </c>
      <c r="S693" s="5">
        <v>1000</v>
      </c>
      <c r="T693" s="25">
        <v>0</v>
      </c>
      <c r="U693" s="25">
        <v>0</v>
      </c>
      <c r="V693" s="25">
        <v>0</v>
      </c>
      <c r="W693" s="25">
        <v>0</v>
      </c>
      <c r="X693" s="25">
        <f t="shared" si="115"/>
        <v>438</v>
      </c>
      <c r="Y693" s="12">
        <v>0</v>
      </c>
      <c r="Z693" s="25">
        <v>100</v>
      </c>
      <c r="AA693" s="25">
        <v>150</v>
      </c>
      <c r="AB693" s="25">
        <v>0</v>
      </c>
      <c r="AC693" s="25">
        <v>0</v>
      </c>
      <c r="AD693" s="25">
        <v>0</v>
      </c>
      <c r="AE693" s="25">
        <f t="shared" si="116"/>
        <v>294</v>
      </c>
      <c r="AF693" s="25">
        <f t="shared" si="117"/>
        <v>294</v>
      </c>
      <c r="AG693" s="25">
        <v>0</v>
      </c>
      <c r="AH693" s="25">
        <f t="shared" si="118"/>
        <v>2275</v>
      </c>
      <c r="AI693" s="25">
        <f t="shared" si="119"/>
        <v>16</v>
      </c>
      <c r="AJ693" s="25">
        <v>1</v>
      </c>
      <c r="AK693" s="25">
        <v>1000</v>
      </c>
      <c r="AL693" s="25">
        <v>100</v>
      </c>
      <c r="AM693" s="26">
        <v>10</v>
      </c>
      <c r="AN693" s="26">
        <v>10</v>
      </c>
      <c r="AO693" s="22" t="s">
        <v>2211</v>
      </c>
      <c r="AP693" s="26">
        <v>0</v>
      </c>
      <c r="AQ693" s="26">
        <f t="shared" si="120"/>
        <v>300</v>
      </c>
      <c r="AR693" s="18" t="str">
        <f ca="1">CONCATENATE(OFFSET(Sheet1!$A$2,RANDBETWEEN(2,500),0,1,1),OFFSET(Sheet1!$A$2,RANDBETWEEN(2,500),RANDBETWEEN(1,5),1,1))</f>
        <v>凯瑟琳</v>
      </c>
      <c r="AS693">
        <f>SUMPRODUCT(P693:AI693,Sheet2!$B$3:$U$3)</f>
        <v>75399</v>
      </c>
    </row>
    <row r="694" spans="1:45" x14ac:dyDescent="0.15">
      <c r="A694" s="23">
        <v>693</v>
      </c>
      <c r="B694" s="18" t="s">
        <v>331</v>
      </c>
      <c r="C694" s="18">
        <f t="shared" si="110"/>
        <v>147</v>
      </c>
      <c r="D694" s="19">
        <f t="shared" si="111"/>
        <v>3</v>
      </c>
      <c r="E694" s="19">
        <f>VLOOKUP(MOD(A694,4),各职业基础配置!C$32:D$35,2,FALSE)</f>
        <v>3</v>
      </c>
      <c r="F694" s="19">
        <f>IF(A694&lt;900,INDEX(各职业基础配置!C$23:C$28,MOD(ROW(A694),4)+1),0)</f>
        <v>14</v>
      </c>
      <c r="G694" s="19">
        <f t="shared" si="112"/>
        <v>10</v>
      </c>
      <c r="H694" s="27">
        <f t="shared" si="113"/>
        <v>1</v>
      </c>
      <c r="I694" s="6" t="s">
        <v>164</v>
      </c>
      <c r="J694" s="23" t="str">
        <f>VLOOKUP(E694,各职业基础配置!$B$9:$C$12,2,FALSE)</f>
        <v>106|107|108|4201|110</v>
      </c>
      <c r="K694" s="18" t="str">
        <f>VLOOKUP(E694,各职业基础配置!$B$15:$C$18,2,FALSE)</f>
        <v>20|21|22|23</v>
      </c>
      <c r="L694" s="18" t="str">
        <f>VLOOKUP(E694,各职业基础配置!B:C,2,FALSE)</f>
        <v>[{20,1,1},{21,1,1},{22,1,1},{23,1,1},{4,1,1},{5,1,1},{6,1,1}]</v>
      </c>
      <c r="M694" s="18">
        <v>0</v>
      </c>
      <c r="N694" s="18">
        <f t="shared" si="114"/>
        <v>7</v>
      </c>
      <c r="O694" s="18">
        <f>SUMPRODUCT(P694:AI694,Sheet2!$B$3:$U$3)</f>
        <v>75374</v>
      </c>
      <c r="P694" s="18">
        <f>CEILING(INDEX([1]系统模型!$VD:$VD,MATCH(C694,[1]系统模型!$A:$A,0))*POWER(C694/220,3.8)-50+(1000-A694),1)</f>
        <v>1246</v>
      </c>
      <c r="Q694" s="18">
        <f>CEILING(INDEX([1]系统模型!$VE:$VE,MATCH(C694,[1]系统模型!$A:$A,0))*POWER(C694/220,4),1)</f>
        <v>109</v>
      </c>
      <c r="R694" s="18">
        <f>INT(INDEX([1]系统模型!$VF:$VF,MATCH(C694,[1]系统模型!$A:$A,0))*MAX(POWER(C694/180,4),0.5))</f>
        <v>8774</v>
      </c>
      <c r="S694" s="5">
        <v>1000</v>
      </c>
      <c r="T694" s="25">
        <v>0</v>
      </c>
      <c r="U694" s="25">
        <v>0</v>
      </c>
      <c r="V694" s="25">
        <v>0</v>
      </c>
      <c r="W694" s="25">
        <v>0</v>
      </c>
      <c r="X694" s="25">
        <f t="shared" si="115"/>
        <v>438</v>
      </c>
      <c r="Y694" s="12">
        <v>0</v>
      </c>
      <c r="Z694" s="25">
        <v>100</v>
      </c>
      <c r="AA694" s="25">
        <v>150</v>
      </c>
      <c r="AB694" s="25">
        <v>0</v>
      </c>
      <c r="AC694" s="25">
        <v>0</v>
      </c>
      <c r="AD694" s="25">
        <v>0</v>
      </c>
      <c r="AE694" s="25">
        <f t="shared" si="116"/>
        <v>294</v>
      </c>
      <c r="AF694" s="25">
        <f t="shared" si="117"/>
        <v>294</v>
      </c>
      <c r="AG694" s="25">
        <v>0</v>
      </c>
      <c r="AH694" s="25">
        <f t="shared" si="118"/>
        <v>2275</v>
      </c>
      <c r="AI694" s="25">
        <f t="shared" si="119"/>
        <v>16</v>
      </c>
      <c r="AJ694" s="25">
        <v>1</v>
      </c>
      <c r="AK694" s="25">
        <v>1000</v>
      </c>
      <c r="AL694" s="25">
        <v>100</v>
      </c>
      <c r="AM694" s="26">
        <v>10</v>
      </c>
      <c r="AN694" s="26">
        <v>10</v>
      </c>
      <c r="AO694" s="22" t="s">
        <v>2211</v>
      </c>
      <c r="AP694" s="26">
        <v>0</v>
      </c>
      <c r="AQ694" s="26">
        <f t="shared" si="120"/>
        <v>300</v>
      </c>
      <c r="AR694" s="18" t="str">
        <f ca="1">CONCATENATE(OFFSET(Sheet1!$A$2,RANDBETWEEN(2,500),0,1,1),OFFSET(Sheet1!$A$2,RANDBETWEEN(2,500),RANDBETWEEN(1,5),1,1))</f>
        <v>丘奇伊莎蓓尔</v>
      </c>
      <c r="AS694">
        <f>SUMPRODUCT(P694:AI694,Sheet2!$B$3:$U$3)</f>
        <v>75374</v>
      </c>
    </row>
    <row r="695" spans="1:45" x14ac:dyDescent="0.15">
      <c r="A695" s="18">
        <v>694</v>
      </c>
      <c r="B695" s="18" t="s">
        <v>2095</v>
      </c>
      <c r="C695" s="18">
        <f t="shared" si="110"/>
        <v>147</v>
      </c>
      <c r="D695" s="19">
        <f t="shared" si="111"/>
        <v>2</v>
      </c>
      <c r="E695" s="19">
        <f>VLOOKUP(MOD(A695,4),各职业基础配置!C$32:D$35,2,FALSE)</f>
        <v>6</v>
      </c>
      <c r="F695" s="19">
        <f>IF(A695&lt;900,INDEX(各职业基础配置!C$23:C$28,MOD(ROW(A695),4)+1),0)</f>
        <v>16</v>
      </c>
      <c r="G695" s="19">
        <f t="shared" si="112"/>
        <v>10</v>
      </c>
      <c r="H695" s="27">
        <f t="shared" si="113"/>
        <v>1</v>
      </c>
      <c r="I695" s="6" t="s">
        <v>164</v>
      </c>
      <c r="J695" s="23" t="str">
        <f>VLOOKUP(E695,各职业基础配置!$B$9:$C$12,2,FALSE)</f>
        <v>111|112|113|4201|115</v>
      </c>
      <c r="K695" s="18" t="str">
        <f>VLOOKUP(E695,各职业基础配置!$B$15:$C$18,2,FALSE)</f>
        <v>32|33|34</v>
      </c>
      <c r="L695" s="18" t="str">
        <f>VLOOKUP(E695,各职业基础配置!B:C,2,FALSE)</f>
        <v>[{32,1,1},{33,1,1},{34,1,1},{35,1,1},{7,1,1},{8,1,1},{9,1,1}]</v>
      </c>
      <c r="M695" s="18">
        <v>0</v>
      </c>
      <c r="N695" s="18">
        <f t="shared" si="114"/>
        <v>7</v>
      </c>
      <c r="O695" s="18">
        <f>SUMPRODUCT(P695:AI695,Sheet2!$B$3:$U$3)</f>
        <v>75349</v>
      </c>
      <c r="P695" s="18">
        <f>CEILING(INDEX([1]系统模型!$VD:$VD,MATCH(C695,[1]系统模型!$A:$A,0))*POWER(C695/220,3.8)-50+(1000-A695),1)</f>
        <v>1245</v>
      </c>
      <c r="Q695" s="18">
        <f>CEILING(INDEX([1]系统模型!$VE:$VE,MATCH(C695,[1]系统模型!$A:$A,0))*POWER(C695/220,4),1)</f>
        <v>109</v>
      </c>
      <c r="R695" s="18">
        <f>INT(INDEX([1]系统模型!$VF:$VF,MATCH(C695,[1]系统模型!$A:$A,0))*MAX(POWER(C695/180,4),0.5))</f>
        <v>8774</v>
      </c>
      <c r="S695" s="5">
        <v>1000</v>
      </c>
      <c r="T695" s="25">
        <v>0</v>
      </c>
      <c r="U695" s="25">
        <v>0</v>
      </c>
      <c r="V695" s="25">
        <v>0</v>
      </c>
      <c r="W695" s="25">
        <v>0</v>
      </c>
      <c r="X695" s="25">
        <f t="shared" si="115"/>
        <v>438</v>
      </c>
      <c r="Y695" s="12">
        <v>0</v>
      </c>
      <c r="Z695" s="25">
        <v>100</v>
      </c>
      <c r="AA695" s="25">
        <v>150</v>
      </c>
      <c r="AB695" s="25">
        <v>0</v>
      </c>
      <c r="AC695" s="25">
        <v>0</v>
      </c>
      <c r="AD695" s="25">
        <v>0</v>
      </c>
      <c r="AE695" s="25">
        <f t="shared" si="116"/>
        <v>294</v>
      </c>
      <c r="AF695" s="25">
        <f t="shared" si="117"/>
        <v>294</v>
      </c>
      <c r="AG695" s="25">
        <v>0</v>
      </c>
      <c r="AH695" s="25">
        <f t="shared" si="118"/>
        <v>2275</v>
      </c>
      <c r="AI695" s="25">
        <f t="shared" si="119"/>
        <v>16</v>
      </c>
      <c r="AJ695" s="25">
        <v>1</v>
      </c>
      <c r="AK695" s="25">
        <v>1000</v>
      </c>
      <c r="AL695" s="25">
        <v>100</v>
      </c>
      <c r="AM695" s="26">
        <v>10</v>
      </c>
      <c r="AN695" s="26">
        <v>10</v>
      </c>
      <c r="AO695" s="22" t="s">
        <v>2211</v>
      </c>
      <c r="AP695" s="26">
        <v>0</v>
      </c>
      <c r="AQ695" s="26">
        <f t="shared" si="120"/>
        <v>300</v>
      </c>
      <c r="AR695" s="18" t="str">
        <f ca="1">CONCATENATE(OFFSET(Sheet1!$A$2,RANDBETWEEN(2,500),0,1,1),OFFSET(Sheet1!$A$2,RANDBETWEEN(2,500),RANDBETWEEN(1,5),1,1))</f>
        <v>卡罗尔</v>
      </c>
      <c r="AS695">
        <f>SUMPRODUCT(P695:AI695,Sheet2!$B$3:$U$3)</f>
        <v>75349</v>
      </c>
    </row>
    <row r="696" spans="1:45" x14ac:dyDescent="0.15">
      <c r="A696" s="18">
        <v>695</v>
      </c>
      <c r="B696" s="18" t="s">
        <v>1030</v>
      </c>
      <c r="C696" s="18">
        <f t="shared" si="110"/>
        <v>147</v>
      </c>
      <c r="D696" s="19">
        <f t="shared" si="111"/>
        <v>3</v>
      </c>
      <c r="E696" s="19">
        <f>VLOOKUP(MOD(A696,4),各职业基础配置!C$32:D$35,2,FALSE)</f>
        <v>9</v>
      </c>
      <c r="F696" s="19">
        <f>IF(A696&lt;900,INDEX(各职业基础配置!C$23:C$28,MOD(ROW(A696),4)+1),0)</f>
        <v>8</v>
      </c>
      <c r="G696" s="19">
        <f t="shared" si="112"/>
        <v>10</v>
      </c>
      <c r="H696" s="27">
        <f t="shared" si="113"/>
        <v>1</v>
      </c>
      <c r="I696" s="6" t="s">
        <v>164</v>
      </c>
      <c r="J696" s="23" t="str">
        <f>VLOOKUP(E696,各职业基础配置!$B$9:$C$12,2,FALSE)</f>
        <v>116|117|118|4201|120</v>
      </c>
      <c r="K696" s="18" t="str">
        <f>VLOOKUP(E696,各职业基础配置!$B$15:$C$18,2,FALSE)</f>
        <v>28|29|30|31</v>
      </c>
      <c r="L696" s="18" t="str">
        <f>VLOOKUP(E696,各职业基础配置!B:C,2,FALSE)</f>
        <v>[{28,1,1},{29,1,1},{30,1,1},{31,1,1},{10,1,1},{11,1,1},{12,1,1}]</v>
      </c>
      <c r="M696" s="18">
        <v>0</v>
      </c>
      <c r="N696" s="18">
        <f t="shared" si="114"/>
        <v>3</v>
      </c>
      <c r="O696" s="18">
        <f>SUMPRODUCT(P696:AI696,Sheet2!$B$3:$U$3)</f>
        <v>75324</v>
      </c>
      <c r="P696" s="18">
        <f>CEILING(INDEX([1]系统模型!$VD:$VD,MATCH(C696,[1]系统模型!$A:$A,0))*POWER(C696/220,3.8)-50+(1000-A696),1)</f>
        <v>1244</v>
      </c>
      <c r="Q696" s="18">
        <f>CEILING(INDEX([1]系统模型!$VE:$VE,MATCH(C696,[1]系统模型!$A:$A,0))*POWER(C696/220,4),1)</f>
        <v>109</v>
      </c>
      <c r="R696" s="18">
        <f>INT(INDEX([1]系统模型!$VF:$VF,MATCH(C696,[1]系统模型!$A:$A,0))*MAX(POWER(C696/180,4),0.5))</f>
        <v>8774</v>
      </c>
      <c r="S696" s="5">
        <v>1000</v>
      </c>
      <c r="T696" s="25">
        <v>0</v>
      </c>
      <c r="U696" s="25">
        <v>0</v>
      </c>
      <c r="V696" s="25">
        <v>0</v>
      </c>
      <c r="W696" s="25">
        <v>0</v>
      </c>
      <c r="X696" s="25">
        <f t="shared" si="115"/>
        <v>438</v>
      </c>
      <c r="Y696" s="12">
        <v>0</v>
      </c>
      <c r="Z696" s="25">
        <v>100</v>
      </c>
      <c r="AA696" s="25">
        <v>150</v>
      </c>
      <c r="AB696" s="25">
        <v>0</v>
      </c>
      <c r="AC696" s="25">
        <v>0</v>
      </c>
      <c r="AD696" s="25">
        <v>0</v>
      </c>
      <c r="AE696" s="25">
        <f t="shared" si="116"/>
        <v>294</v>
      </c>
      <c r="AF696" s="25">
        <f t="shared" si="117"/>
        <v>294</v>
      </c>
      <c r="AG696" s="25">
        <v>0</v>
      </c>
      <c r="AH696" s="25">
        <f t="shared" si="118"/>
        <v>2275</v>
      </c>
      <c r="AI696" s="25">
        <f t="shared" si="119"/>
        <v>16</v>
      </c>
      <c r="AJ696" s="25">
        <v>1</v>
      </c>
      <c r="AK696" s="25">
        <v>1000</v>
      </c>
      <c r="AL696" s="25">
        <v>100</v>
      </c>
      <c r="AM696" s="26">
        <v>10</v>
      </c>
      <c r="AN696" s="26">
        <v>10</v>
      </c>
      <c r="AO696" s="22" t="s">
        <v>2211</v>
      </c>
      <c r="AP696" s="26">
        <v>0</v>
      </c>
      <c r="AQ696" s="26">
        <f t="shared" si="120"/>
        <v>300</v>
      </c>
      <c r="AR696" s="18" t="str">
        <f ca="1">CONCATENATE(OFFSET(Sheet1!$A$2,RANDBETWEEN(2,500),0,1,1),OFFSET(Sheet1!$A$2,RANDBETWEEN(2,500),RANDBETWEEN(1,5),1,1))</f>
        <v>格雷</v>
      </c>
      <c r="AS696">
        <f>SUMPRODUCT(P696:AI696,Sheet2!$B$3:$U$3)</f>
        <v>75324</v>
      </c>
    </row>
    <row r="697" spans="1:45" x14ac:dyDescent="0.15">
      <c r="A697" s="23">
        <v>696</v>
      </c>
      <c r="B697" s="18" t="s">
        <v>587</v>
      </c>
      <c r="C697" s="18">
        <f t="shared" si="110"/>
        <v>146</v>
      </c>
      <c r="D697" s="19">
        <f t="shared" si="111"/>
        <v>2</v>
      </c>
      <c r="E697" s="19">
        <f>VLOOKUP(MOD(A697,4),各职业基础配置!C$32:D$35,2,FALSE)</f>
        <v>1</v>
      </c>
      <c r="F697" s="19">
        <f>IF(A697&lt;900,INDEX(各职业基础配置!C$23:C$28,MOD(ROW(A697),4)+1),0)</f>
        <v>13</v>
      </c>
      <c r="G697" s="19">
        <f t="shared" si="112"/>
        <v>9</v>
      </c>
      <c r="H697" s="27">
        <f t="shared" si="113"/>
        <v>1</v>
      </c>
      <c r="I697" s="6" t="s">
        <v>164</v>
      </c>
      <c r="J697" s="23" t="str">
        <f>VLOOKUP(E697,各职业基础配置!$B$9:$C$12,2,FALSE)</f>
        <v>101|102|103|4201|105</v>
      </c>
      <c r="K697" s="18" t="str">
        <f>VLOOKUP(E697,各职业基础配置!$B$15:$C$18,2,FALSE)</f>
        <v>24|25|26|27</v>
      </c>
      <c r="L697" s="18" t="str">
        <f>VLOOKUP(E697,各职业基础配置!B:C,2,FALSE)</f>
        <v>[{24,1,1},{25,1,1},{26,1,1},{27,1,1},{1,1,1},{2,1,1},{3,1,1}]</v>
      </c>
      <c r="M697" s="18">
        <v>0</v>
      </c>
      <c r="N697" s="18">
        <f t="shared" si="114"/>
        <v>3</v>
      </c>
      <c r="O697" s="18">
        <f>SUMPRODUCT(P697:AI697,Sheet2!$B$3:$U$3)</f>
        <v>73409</v>
      </c>
      <c r="P697" s="18">
        <f>CEILING(INDEX([1]系统模型!$VD:$VD,MATCH(C697,[1]系统模型!$A:$A,0))*POWER(C697/220,3.8)-50+(1000-A697),1)</f>
        <v>1194</v>
      </c>
      <c r="Q697" s="18">
        <f>CEILING(INDEX([1]系统模型!$VE:$VE,MATCH(C697,[1]系统模型!$A:$A,0))*POWER(C697/220,4),1)</f>
        <v>105</v>
      </c>
      <c r="R697" s="18">
        <f>INT(INDEX([1]系统模型!$VF:$VF,MATCH(C697,[1]系统模型!$A:$A,0))*MAX(POWER(C697/180,4),0.5))</f>
        <v>8709</v>
      </c>
      <c r="S697" s="5">
        <v>1000</v>
      </c>
      <c r="T697" s="25">
        <v>0</v>
      </c>
      <c r="U697" s="25">
        <v>0</v>
      </c>
      <c r="V697" s="25">
        <v>0</v>
      </c>
      <c r="W697" s="25">
        <v>0</v>
      </c>
      <c r="X697" s="25">
        <f t="shared" si="115"/>
        <v>435</v>
      </c>
      <c r="Y697" s="12">
        <v>0</v>
      </c>
      <c r="Z697" s="25">
        <v>100</v>
      </c>
      <c r="AA697" s="25">
        <v>150</v>
      </c>
      <c r="AB697" s="25">
        <v>0</v>
      </c>
      <c r="AC697" s="25">
        <v>0</v>
      </c>
      <c r="AD697" s="25">
        <v>0</v>
      </c>
      <c r="AE697" s="25">
        <f t="shared" si="116"/>
        <v>292</v>
      </c>
      <c r="AF697" s="25">
        <f t="shared" si="117"/>
        <v>292</v>
      </c>
      <c r="AG697" s="25">
        <v>0</v>
      </c>
      <c r="AH697" s="25">
        <f t="shared" si="118"/>
        <v>2200</v>
      </c>
      <c r="AI697" s="25">
        <f t="shared" si="119"/>
        <v>15</v>
      </c>
      <c r="AJ697" s="25">
        <v>1</v>
      </c>
      <c r="AK697" s="25">
        <v>1000</v>
      </c>
      <c r="AL697" s="25">
        <v>100</v>
      </c>
      <c r="AM697" s="26">
        <v>10</v>
      </c>
      <c r="AN697" s="26">
        <v>10</v>
      </c>
      <c r="AO697" s="22" t="s">
        <v>2211</v>
      </c>
      <c r="AP697" s="26">
        <v>0</v>
      </c>
      <c r="AQ697" s="26">
        <f t="shared" si="120"/>
        <v>300</v>
      </c>
      <c r="AR697" s="18" t="str">
        <f ca="1">CONCATENATE(OFFSET(Sheet1!$A$2,RANDBETWEEN(2,500),0,1,1),OFFSET(Sheet1!$A$2,RANDBETWEEN(2,500),RANDBETWEEN(1,5),1,1))</f>
        <v>海登谢里尔</v>
      </c>
      <c r="AS697">
        <f>SUMPRODUCT(P697:AI697,Sheet2!$B$3:$U$3)</f>
        <v>73409</v>
      </c>
    </row>
    <row r="698" spans="1:45" x14ac:dyDescent="0.15">
      <c r="A698" s="18">
        <v>697</v>
      </c>
      <c r="B698" s="18" t="s">
        <v>2096</v>
      </c>
      <c r="C698" s="18">
        <f t="shared" si="110"/>
        <v>146</v>
      </c>
      <c r="D698" s="19">
        <f t="shared" si="111"/>
        <v>3</v>
      </c>
      <c r="E698" s="19">
        <f>VLOOKUP(MOD(A698,4),各职业基础配置!C$32:D$35,2,FALSE)</f>
        <v>3</v>
      </c>
      <c r="F698" s="19">
        <f>IF(A698&lt;900,INDEX(各职业基础配置!C$23:C$28,MOD(ROW(A698),4)+1),0)</f>
        <v>14</v>
      </c>
      <c r="G698" s="19">
        <f t="shared" si="112"/>
        <v>9</v>
      </c>
      <c r="H698" s="27">
        <f t="shared" si="113"/>
        <v>1</v>
      </c>
      <c r="I698" s="6" t="s">
        <v>164</v>
      </c>
      <c r="J698" s="23" t="str">
        <f>VLOOKUP(E698,各职业基础配置!$B$9:$C$12,2,FALSE)</f>
        <v>106|107|108|4201|110</v>
      </c>
      <c r="K698" s="18" t="str">
        <f>VLOOKUP(E698,各职业基础配置!$B$15:$C$18,2,FALSE)</f>
        <v>20|21|22|23</v>
      </c>
      <c r="L698" s="18" t="str">
        <f>VLOOKUP(E698,各职业基础配置!B:C,2,FALSE)</f>
        <v>[{20,1,1},{21,1,1},{22,1,1},{23,1,1},{4,1,1},{5,1,1},{6,1,1}]</v>
      </c>
      <c r="M698" s="18">
        <v>0</v>
      </c>
      <c r="N698" s="18">
        <f t="shared" si="114"/>
        <v>7</v>
      </c>
      <c r="O698" s="18">
        <f>SUMPRODUCT(P698:AI698,Sheet2!$B$3:$U$3)</f>
        <v>73384</v>
      </c>
      <c r="P698" s="18">
        <f>CEILING(INDEX([1]系统模型!$VD:$VD,MATCH(C698,[1]系统模型!$A:$A,0))*POWER(C698/220,3.8)-50+(1000-A698),1)</f>
        <v>1193</v>
      </c>
      <c r="Q698" s="18">
        <f>CEILING(INDEX([1]系统模型!$VE:$VE,MATCH(C698,[1]系统模型!$A:$A,0))*POWER(C698/220,4),1)</f>
        <v>105</v>
      </c>
      <c r="R698" s="18">
        <f>INT(INDEX([1]系统模型!$VF:$VF,MATCH(C698,[1]系统模型!$A:$A,0))*MAX(POWER(C698/180,4),0.5))</f>
        <v>8709</v>
      </c>
      <c r="S698" s="5">
        <v>1000</v>
      </c>
      <c r="T698" s="25">
        <v>0</v>
      </c>
      <c r="U698" s="25">
        <v>0</v>
      </c>
      <c r="V698" s="25">
        <v>0</v>
      </c>
      <c r="W698" s="25">
        <v>0</v>
      </c>
      <c r="X698" s="25">
        <f t="shared" si="115"/>
        <v>435</v>
      </c>
      <c r="Y698" s="12">
        <v>0</v>
      </c>
      <c r="Z698" s="25">
        <v>100</v>
      </c>
      <c r="AA698" s="25">
        <v>150</v>
      </c>
      <c r="AB698" s="25">
        <v>0</v>
      </c>
      <c r="AC698" s="25">
        <v>0</v>
      </c>
      <c r="AD698" s="25">
        <v>0</v>
      </c>
      <c r="AE698" s="25">
        <f t="shared" si="116"/>
        <v>292</v>
      </c>
      <c r="AF698" s="25">
        <f t="shared" si="117"/>
        <v>292</v>
      </c>
      <c r="AG698" s="25">
        <v>0</v>
      </c>
      <c r="AH698" s="25">
        <f t="shared" si="118"/>
        <v>2200</v>
      </c>
      <c r="AI698" s="25">
        <f t="shared" si="119"/>
        <v>15</v>
      </c>
      <c r="AJ698" s="25">
        <v>1</v>
      </c>
      <c r="AK698" s="25">
        <v>1000</v>
      </c>
      <c r="AL698" s="25">
        <v>100</v>
      </c>
      <c r="AM698" s="26">
        <v>10</v>
      </c>
      <c r="AN698" s="26">
        <v>10</v>
      </c>
      <c r="AO698" s="22" t="s">
        <v>2211</v>
      </c>
      <c r="AP698" s="26">
        <v>0</v>
      </c>
      <c r="AQ698" s="26">
        <f t="shared" si="120"/>
        <v>290</v>
      </c>
      <c r="AR698" s="18" t="str">
        <f ca="1">CONCATENATE(OFFSET(Sheet1!$A$2,RANDBETWEEN(2,500),0,1,1),OFFSET(Sheet1!$A$2,RANDBETWEEN(2,500),RANDBETWEEN(1,5),1,1))</f>
        <v>柯姆</v>
      </c>
      <c r="AS698">
        <f>SUMPRODUCT(P698:AI698,Sheet2!$B$3:$U$3)</f>
        <v>73384</v>
      </c>
    </row>
    <row r="699" spans="1:45" x14ac:dyDescent="0.15">
      <c r="A699" s="18">
        <v>698</v>
      </c>
      <c r="B699" s="18" t="s">
        <v>932</v>
      </c>
      <c r="C699" s="18">
        <f t="shared" si="110"/>
        <v>146</v>
      </c>
      <c r="D699" s="19">
        <f t="shared" si="111"/>
        <v>2</v>
      </c>
      <c r="E699" s="19">
        <f>VLOOKUP(MOD(A699,4),各职业基础配置!C$32:D$35,2,FALSE)</f>
        <v>6</v>
      </c>
      <c r="F699" s="19">
        <f>IF(A699&lt;900,INDEX(各职业基础配置!C$23:C$28,MOD(ROW(A699),4)+1),0)</f>
        <v>16</v>
      </c>
      <c r="G699" s="19">
        <f t="shared" si="112"/>
        <v>9</v>
      </c>
      <c r="H699" s="27">
        <f t="shared" si="113"/>
        <v>1</v>
      </c>
      <c r="I699" s="6" t="s">
        <v>164</v>
      </c>
      <c r="J699" s="23" t="str">
        <f>VLOOKUP(E699,各职业基础配置!$B$9:$C$12,2,FALSE)</f>
        <v>111|112|113|4201|115</v>
      </c>
      <c r="K699" s="18" t="str">
        <f>VLOOKUP(E699,各职业基础配置!$B$15:$C$18,2,FALSE)</f>
        <v>32|33|34</v>
      </c>
      <c r="L699" s="18" t="str">
        <f>VLOOKUP(E699,各职业基础配置!B:C,2,FALSE)</f>
        <v>[{32,1,1},{33,1,1},{34,1,1},{35,1,1},{7,1,1},{8,1,1},{9,1,1}]</v>
      </c>
      <c r="M699" s="18">
        <v>0</v>
      </c>
      <c r="N699" s="18">
        <f t="shared" si="114"/>
        <v>7</v>
      </c>
      <c r="O699" s="18">
        <f>SUMPRODUCT(P699:AI699,Sheet2!$B$3:$U$3)</f>
        <v>73359</v>
      </c>
      <c r="P699" s="18">
        <f>CEILING(INDEX([1]系统模型!$VD:$VD,MATCH(C699,[1]系统模型!$A:$A,0))*POWER(C699/220,3.8)-50+(1000-A699),1)</f>
        <v>1192</v>
      </c>
      <c r="Q699" s="18">
        <f>CEILING(INDEX([1]系统模型!$VE:$VE,MATCH(C699,[1]系统模型!$A:$A,0))*POWER(C699/220,4),1)</f>
        <v>105</v>
      </c>
      <c r="R699" s="18">
        <f>INT(INDEX([1]系统模型!$VF:$VF,MATCH(C699,[1]系统模型!$A:$A,0))*MAX(POWER(C699/180,4),0.5))</f>
        <v>8709</v>
      </c>
      <c r="S699" s="5">
        <v>1000</v>
      </c>
      <c r="T699" s="25">
        <v>0</v>
      </c>
      <c r="U699" s="25">
        <v>0</v>
      </c>
      <c r="V699" s="25">
        <v>0</v>
      </c>
      <c r="W699" s="25">
        <v>0</v>
      </c>
      <c r="X699" s="25">
        <f t="shared" si="115"/>
        <v>435</v>
      </c>
      <c r="Y699" s="12">
        <v>0</v>
      </c>
      <c r="Z699" s="25">
        <v>100</v>
      </c>
      <c r="AA699" s="25">
        <v>150</v>
      </c>
      <c r="AB699" s="25">
        <v>0</v>
      </c>
      <c r="AC699" s="25">
        <v>0</v>
      </c>
      <c r="AD699" s="25">
        <v>0</v>
      </c>
      <c r="AE699" s="25">
        <f t="shared" si="116"/>
        <v>292</v>
      </c>
      <c r="AF699" s="25">
        <f t="shared" si="117"/>
        <v>292</v>
      </c>
      <c r="AG699" s="25">
        <v>0</v>
      </c>
      <c r="AH699" s="25">
        <f t="shared" si="118"/>
        <v>2200</v>
      </c>
      <c r="AI699" s="25">
        <f t="shared" si="119"/>
        <v>15</v>
      </c>
      <c r="AJ699" s="25">
        <v>1</v>
      </c>
      <c r="AK699" s="25">
        <v>1000</v>
      </c>
      <c r="AL699" s="25">
        <v>100</v>
      </c>
      <c r="AM699" s="26">
        <v>10</v>
      </c>
      <c r="AN699" s="26">
        <v>10</v>
      </c>
      <c r="AO699" s="22" t="s">
        <v>2211</v>
      </c>
      <c r="AP699" s="26">
        <v>0</v>
      </c>
      <c r="AQ699" s="26">
        <f t="shared" si="120"/>
        <v>290</v>
      </c>
      <c r="AR699" s="18" t="str">
        <f ca="1">CONCATENATE(OFFSET(Sheet1!$A$2,RANDBETWEEN(2,500),0,1,1),OFFSET(Sheet1!$A$2,RANDBETWEEN(2,500),RANDBETWEEN(1,5),1,1))</f>
        <v>查理</v>
      </c>
      <c r="AS699">
        <f>SUMPRODUCT(P699:AI699,Sheet2!$B$3:$U$3)</f>
        <v>73359</v>
      </c>
    </row>
    <row r="700" spans="1:45" x14ac:dyDescent="0.15">
      <c r="A700" s="23">
        <v>699</v>
      </c>
      <c r="B700" s="18" t="s">
        <v>2097</v>
      </c>
      <c r="C700" s="18">
        <f t="shared" si="110"/>
        <v>146</v>
      </c>
      <c r="D700" s="19">
        <f t="shared" si="111"/>
        <v>3</v>
      </c>
      <c r="E700" s="19">
        <f>VLOOKUP(MOD(A700,4),各职业基础配置!C$32:D$35,2,FALSE)</f>
        <v>9</v>
      </c>
      <c r="F700" s="19">
        <f>IF(A700&lt;900,INDEX(各职业基础配置!C$23:C$28,MOD(ROW(A700),4)+1),0)</f>
        <v>8</v>
      </c>
      <c r="G700" s="19">
        <f t="shared" si="112"/>
        <v>9</v>
      </c>
      <c r="H700" s="27">
        <f t="shared" si="113"/>
        <v>1</v>
      </c>
      <c r="I700" s="6" t="s">
        <v>164</v>
      </c>
      <c r="J700" s="23" t="str">
        <f>VLOOKUP(E700,各职业基础配置!$B$9:$C$12,2,FALSE)</f>
        <v>116|117|118|4201|120</v>
      </c>
      <c r="K700" s="18" t="str">
        <f>VLOOKUP(E700,各职业基础配置!$B$15:$C$18,2,FALSE)</f>
        <v>28|29|30|31</v>
      </c>
      <c r="L700" s="18" t="str">
        <f>VLOOKUP(E700,各职业基础配置!B:C,2,FALSE)</f>
        <v>[{28,1,1},{29,1,1},{30,1,1},{31,1,1},{10,1,1},{11,1,1},{12,1,1}]</v>
      </c>
      <c r="M700" s="18">
        <v>0</v>
      </c>
      <c r="N700" s="18">
        <f t="shared" si="114"/>
        <v>3</v>
      </c>
      <c r="O700" s="18">
        <f>SUMPRODUCT(P700:AI700,Sheet2!$B$3:$U$3)</f>
        <v>73334</v>
      </c>
      <c r="P700" s="18">
        <f>CEILING(INDEX([1]系统模型!$VD:$VD,MATCH(C700,[1]系统模型!$A:$A,0))*POWER(C700/220,3.8)-50+(1000-A700),1)</f>
        <v>1191</v>
      </c>
      <c r="Q700" s="18">
        <f>CEILING(INDEX([1]系统模型!$VE:$VE,MATCH(C700,[1]系统模型!$A:$A,0))*POWER(C700/220,4),1)</f>
        <v>105</v>
      </c>
      <c r="R700" s="18">
        <f>INT(INDEX([1]系统模型!$VF:$VF,MATCH(C700,[1]系统模型!$A:$A,0))*MAX(POWER(C700/180,4),0.5))</f>
        <v>8709</v>
      </c>
      <c r="S700" s="5">
        <v>1000</v>
      </c>
      <c r="T700" s="25">
        <v>0</v>
      </c>
      <c r="U700" s="25">
        <v>0</v>
      </c>
      <c r="V700" s="25">
        <v>0</v>
      </c>
      <c r="W700" s="25">
        <v>0</v>
      </c>
      <c r="X700" s="25">
        <f t="shared" si="115"/>
        <v>435</v>
      </c>
      <c r="Y700" s="12">
        <v>0</v>
      </c>
      <c r="Z700" s="25">
        <v>100</v>
      </c>
      <c r="AA700" s="25">
        <v>150</v>
      </c>
      <c r="AB700" s="25">
        <v>0</v>
      </c>
      <c r="AC700" s="25">
        <v>0</v>
      </c>
      <c r="AD700" s="25">
        <v>0</v>
      </c>
      <c r="AE700" s="25">
        <f t="shared" si="116"/>
        <v>292</v>
      </c>
      <c r="AF700" s="25">
        <f t="shared" si="117"/>
        <v>292</v>
      </c>
      <c r="AG700" s="25">
        <v>0</v>
      </c>
      <c r="AH700" s="25">
        <f t="shared" si="118"/>
        <v>2200</v>
      </c>
      <c r="AI700" s="25">
        <f t="shared" si="119"/>
        <v>15</v>
      </c>
      <c r="AJ700" s="25">
        <v>1</v>
      </c>
      <c r="AK700" s="25">
        <v>1000</v>
      </c>
      <c r="AL700" s="25">
        <v>100</v>
      </c>
      <c r="AM700" s="26">
        <v>10</v>
      </c>
      <c r="AN700" s="26">
        <v>10</v>
      </c>
      <c r="AO700" s="22" t="s">
        <v>2211</v>
      </c>
      <c r="AP700" s="26">
        <v>0</v>
      </c>
      <c r="AQ700" s="26">
        <f t="shared" si="120"/>
        <v>290</v>
      </c>
      <c r="AR700" s="18" t="str">
        <f ca="1">CONCATENATE(OFFSET(Sheet1!$A$2,RANDBETWEEN(2,500),0,1,1),OFFSET(Sheet1!$A$2,RANDBETWEEN(2,500),RANDBETWEEN(1,5),1,1))</f>
        <v>阿诺德</v>
      </c>
      <c r="AS700">
        <f>SUMPRODUCT(P700:AI700,Sheet2!$B$3:$U$3)</f>
        <v>73334</v>
      </c>
    </row>
    <row r="701" spans="1:45" x14ac:dyDescent="0.15">
      <c r="A701" s="18">
        <v>700</v>
      </c>
      <c r="B701" s="18" t="s">
        <v>415</v>
      </c>
      <c r="C701" s="18">
        <f t="shared" si="110"/>
        <v>146</v>
      </c>
      <c r="D701" s="19">
        <f t="shared" si="111"/>
        <v>2</v>
      </c>
      <c r="E701" s="19">
        <f>VLOOKUP(MOD(A701,4),各职业基础配置!C$32:D$35,2,FALSE)</f>
        <v>1</v>
      </c>
      <c r="F701" s="19">
        <f>IF(A701&lt;900,INDEX(各职业基础配置!C$23:C$28,MOD(ROW(A701),4)+1),0)</f>
        <v>13</v>
      </c>
      <c r="G701" s="19">
        <f t="shared" si="112"/>
        <v>9</v>
      </c>
      <c r="H701" s="27">
        <f t="shared" si="113"/>
        <v>1</v>
      </c>
      <c r="I701" s="6" t="s">
        <v>164</v>
      </c>
      <c r="J701" s="23" t="str">
        <f>VLOOKUP(E701,各职业基础配置!$B$9:$C$12,2,FALSE)</f>
        <v>101|102|103|4201|105</v>
      </c>
      <c r="K701" s="18" t="str">
        <f>VLOOKUP(E701,各职业基础配置!$B$15:$C$18,2,FALSE)</f>
        <v>24|25|26|27</v>
      </c>
      <c r="L701" s="18" t="str">
        <f>VLOOKUP(E701,各职业基础配置!B:C,2,FALSE)</f>
        <v>[{24,1,1},{25,1,1},{26,1,1},{27,1,1},{1,1,1},{2,1,1},{3,1,1}]</v>
      </c>
      <c r="M701" s="18">
        <v>0</v>
      </c>
      <c r="N701" s="18">
        <f t="shared" si="114"/>
        <v>3</v>
      </c>
      <c r="O701" s="18">
        <f>SUMPRODUCT(P701:AI701,Sheet2!$B$3:$U$3)</f>
        <v>73309</v>
      </c>
      <c r="P701" s="18">
        <f>CEILING(INDEX([1]系统模型!$VD:$VD,MATCH(C701,[1]系统模型!$A:$A,0))*POWER(C701/220,3.8)-50+(1000-A701),1)</f>
        <v>1190</v>
      </c>
      <c r="Q701" s="18">
        <f>CEILING(INDEX([1]系统模型!$VE:$VE,MATCH(C701,[1]系统模型!$A:$A,0))*POWER(C701/220,4),1)</f>
        <v>105</v>
      </c>
      <c r="R701" s="18">
        <f>INT(INDEX([1]系统模型!$VF:$VF,MATCH(C701,[1]系统模型!$A:$A,0))*MAX(POWER(C701/180,4),0.5))</f>
        <v>8709</v>
      </c>
      <c r="S701" s="5">
        <v>1000</v>
      </c>
      <c r="T701" s="25">
        <v>0</v>
      </c>
      <c r="U701" s="25">
        <v>0</v>
      </c>
      <c r="V701" s="25">
        <v>0</v>
      </c>
      <c r="W701" s="25">
        <v>0</v>
      </c>
      <c r="X701" s="25">
        <f t="shared" si="115"/>
        <v>435</v>
      </c>
      <c r="Y701" s="12">
        <v>0</v>
      </c>
      <c r="Z701" s="25">
        <v>100</v>
      </c>
      <c r="AA701" s="25">
        <v>150</v>
      </c>
      <c r="AB701" s="25">
        <v>0</v>
      </c>
      <c r="AC701" s="25">
        <v>0</v>
      </c>
      <c r="AD701" s="25">
        <v>0</v>
      </c>
      <c r="AE701" s="25">
        <f t="shared" si="116"/>
        <v>292</v>
      </c>
      <c r="AF701" s="25">
        <f t="shared" si="117"/>
        <v>292</v>
      </c>
      <c r="AG701" s="25">
        <v>0</v>
      </c>
      <c r="AH701" s="25">
        <f t="shared" si="118"/>
        <v>2200</v>
      </c>
      <c r="AI701" s="25">
        <f t="shared" si="119"/>
        <v>15</v>
      </c>
      <c r="AJ701" s="25">
        <v>1</v>
      </c>
      <c r="AK701" s="25">
        <v>1000</v>
      </c>
      <c r="AL701" s="25">
        <v>100</v>
      </c>
      <c r="AM701" s="26">
        <v>10</v>
      </c>
      <c r="AN701" s="26">
        <v>10</v>
      </c>
      <c r="AO701" s="22" t="s">
        <v>2211</v>
      </c>
      <c r="AP701" s="26">
        <v>0</v>
      </c>
      <c r="AQ701" s="26">
        <f t="shared" si="120"/>
        <v>290</v>
      </c>
      <c r="AR701" s="18" t="str">
        <f ca="1">CONCATENATE(OFFSET(Sheet1!$A$2,RANDBETWEEN(2,500),0,1,1),OFFSET(Sheet1!$A$2,RANDBETWEEN(2,500),RANDBETWEEN(1,5),1,1))</f>
        <v>凯里</v>
      </c>
      <c r="AS701">
        <f>SUMPRODUCT(P701:AI701,Sheet2!$B$3:$U$3)</f>
        <v>73309</v>
      </c>
    </row>
    <row r="702" spans="1:45" x14ac:dyDescent="0.15">
      <c r="A702" s="18">
        <v>701</v>
      </c>
      <c r="B702" s="18" t="s">
        <v>2098</v>
      </c>
      <c r="C702" s="18">
        <f t="shared" si="110"/>
        <v>146</v>
      </c>
      <c r="D702" s="19">
        <f t="shared" si="111"/>
        <v>3</v>
      </c>
      <c r="E702" s="19">
        <f>VLOOKUP(MOD(A702,4),各职业基础配置!C$32:D$35,2,FALSE)</f>
        <v>3</v>
      </c>
      <c r="F702" s="19">
        <f>IF(A702&lt;900,INDEX(各职业基础配置!C$23:C$28,MOD(ROW(A702),4)+1),0)</f>
        <v>14</v>
      </c>
      <c r="G702" s="19">
        <f t="shared" si="112"/>
        <v>9</v>
      </c>
      <c r="H702" s="27">
        <f t="shared" si="113"/>
        <v>1</v>
      </c>
      <c r="I702" s="6" t="s">
        <v>164</v>
      </c>
      <c r="J702" s="23" t="str">
        <f>VLOOKUP(E702,各职业基础配置!$B$9:$C$12,2,FALSE)</f>
        <v>106|107|108|4201|110</v>
      </c>
      <c r="K702" s="18" t="str">
        <f>VLOOKUP(E702,各职业基础配置!$B$15:$C$18,2,FALSE)</f>
        <v>20|21|22|23</v>
      </c>
      <c r="L702" s="18" t="str">
        <f>VLOOKUP(E702,各职业基础配置!B:C,2,FALSE)</f>
        <v>[{20,1,1},{21,1,1},{22,1,1},{23,1,1},{4,1,1},{5,1,1},{6,1,1}]</v>
      </c>
      <c r="M702" s="18">
        <v>0</v>
      </c>
      <c r="N702" s="18">
        <f t="shared" si="114"/>
        <v>7</v>
      </c>
      <c r="O702" s="18">
        <f>SUMPRODUCT(P702:AI702,Sheet2!$B$3:$U$3)</f>
        <v>73284</v>
      </c>
      <c r="P702" s="18">
        <f>CEILING(INDEX([1]系统模型!$VD:$VD,MATCH(C702,[1]系统模型!$A:$A,0))*POWER(C702/220,3.8)-50+(1000-A702),1)</f>
        <v>1189</v>
      </c>
      <c r="Q702" s="18">
        <f>CEILING(INDEX([1]系统模型!$VE:$VE,MATCH(C702,[1]系统模型!$A:$A,0))*POWER(C702/220,4),1)</f>
        <v>105</v>
      </c>
      <c r="R702" s="18">
        <f>INT(INDEX([1]系统模型!$VF:$VF,MATCH(C702,[1]系统模型!$A:$A,0))*MAX(POWER(C702/180,4),0.5))</f>
        <v>8709</v>
      </c>
      <c r="S702" s="5">
        <v>1000</v>
      </c>
      <c r="T702" s="25">
        <v>0</v>
      </c>
      <c r="U702" s="25">
        <v>0</v>
      </c>
      <c r="V702" s="25">
        <v>0</v>
      </c>
      <c r="W702" s="25">
        <v>0</v>
      </c>
      <c r="X702" s="25">
        <f t="shared" si="115"/>
        <v>435</v>
      </c>
      <c r="Y702" s="12">
        <v>0</v>
      </c>
      <c r="Z702" s="25">
        <v>100</v>
      </c>
      <c r="AA702" s="25">
        <v>150</v>
      </c>
      <c r="AB702" s="25">
        <v>0</v>
      </c>
      <c r="AC702" s="25">
        <v>0</v>
      </c>
      <c r="AD702" s="25">
        <v>0</v>
      </c>
      <c r="AE702" s="25">
        <f t="shared" si="116"/>
        <v>292</v>
      </c>
      <c r="AF702" s="25">
        <f t="shared" si="117"/>
        <v>292</v>
      </c>
      <c r="AG702" s="25">
        <v>0</v>
      </c>
      <c r="AH702" s="25">
        <f t="shared" si="118"/>
        <v>2200</v>
      </c>
      <c r="AI702" s="25">
        <f t="shared" si="119"/>
        <v>15</v>
      </c>
      <c r="AJ702" s="25">
        <v>1</v>
      </c>
      <c r="AK702" s="25">
        <v>1000</v>
      </c>
      <c r="AL702" s="25">
        <v>100</v>
      </c>
      <c r="AM702" s="26">
        <v>10</v>
      </c>
      <c r="AN702" s="26">
        <v>10</v>
      </c>
      <c r="AO702" s="22" t="s">
        <v>2211</v>
      </c>
      <c r="AP702" s="26">
        <v>0</v>
      </c>
      <c r="AQ702" s="26">
        <f t="shared" si="120"/>
        <v>290</v>
      </c>
      <c r="AR702" s="18" t="str">
        <f ca="1">CONCATENATE(OFFSET(Sheet1!$A$2,RANDBETWEEN(2,500),0,1,1),OFFSET(Sheet1!$A$2,RANDBETWEEN(2,500),RANDBETWEEN(1,5),1,1))</f>
        <v>哈特</v>
      </c>
      <c r="AS702">
        <f>SUMPRODUCT(P702:AI702,Sheet2!$B$3:$U$3)</f>
        <v>73284</v>
      </c>
    </row>
    <row r="703" spans="1:45" x14ac:dyDescent="0.15">
      <c r="A703" s="23">
        <v>702</v>
      </c>
      <c r="B703" s="18" t="s">
        <v>232</v>
      </c>
      <c r="C703" s="18">
        <f t="shared" si="110"/>
        <v>146</v>
      </c>
      <c r="D703" s="19">
        <f t="shared" si="111"/>
        <v>2</v>
      </c>
      <c r="E703" s="19">
        <f>VLOOKUP(MOD(A703,4),各职业基础配置!C$32:D$35,2,FALSE)</f>
        <v>6</v>
      </c>
      <c r="F703" s="19">
        <f>IF(A703&lt;900,INDEX(各职业基础配置!C$23:C$28,MOD(ROW(A703),4)+1),0)</f>
        <v>16</v>
      </c>
      <c r="G703" s="19">
        <f t="shared" si="112"/>
        <v>9</v>
      </c>
      <c r="H703" s="27">
        <f t="shared" si="113"/>
        <v>1</v>
      </c>
      <c r="I703" s="6" t="s">
        <v>164</v>
      </c>
      <c r="J703" s="23" t="str">
        <f>VLOOKUP(E703,各职业基础配置!$B$9:$C$12,2,FALSE)</f>
        <v>111|112|113|4201|115</v>
      </c>
      <c r="K703" s="18" t="str">
        <f>VLOOKUP(E703,各职业基础配置!$B$15:$C$18,2,FALSE)</f>
        <v>32|33|34</v>
      </c>
      <c r="L703" s="18" t="str">
        <f>VLOOKUP(E703,各职业基础配置!B:C,2,FALSE)</f>
        <v>[{32,1,1},{33,1,1},{34,1,1},{35,1,1},{7,1,1},{8,1,1},{9,1,1}]</v>
      </c>
      <c r="M703" s="18">
        <v>0</v>
      </c>
      <c r="N703" s="18">
        <f t="shared" si="114"/>
        <v>7</v>
      </c>
      <c r="O703" s="18">
        <f>SUMPRODUCT(P703:AI703,Sheet2!$B$3:$U$3)</f>
        <v>73259</v>
      </c>
      <c r="P703" s="18">
        <f>CEILING(INDEX([1]系统模型!$VD:$VD,MATCH(C703,[1]系统模型!$A:$A,0))*POWER(C703/220,3.8)-50+(1000-A703),1)</f>
        <v>1188</v>
      </c>
      <c r="Q703" s="18">
        <f>CEILING(INDEX([1]系统模型!$VE:$VE,MATCH(C703,[1]系统模型!$A:$A,0))*POWER(C703/220,4),1)</f>
        <v>105</v>
      </c>
      <c r="R703" s="18">
        <f>INT(INDEX([1]系统模型!$VF:$VF,MATCH(C703,[1]系统模型!$A:$A,0))*MAX(POWER(C703/180,4),0.5))</f>
        <v>8709</v>
      </c>
      <c r="S703" s="5">
        <v>1000</v>
      </c>
      <c r="T703" s="25">
        <v>0</v>
      </c>
      <c r="U703" s="25">
        <v>0</v>
      </c>
      <c r="V703" s="25">
        <v>0</v>
      </c>
      <c r="W703" s="25">
        <v>0</v>
      </c>
      <c r="X703" s="25">
        <f t="shared" si="115"/>
        <v>435</v>
      </c>
      <c r="Y703" s="12">
        <v>0</v>
      </c>
      <c r="Z703" s="25">
        <v>100</v>
      </c>
      <c r="AA703" s="25">
        <v>150</v>
      </c>
      <c r="AB703" s="25">
        <v>0</v>
      </c>
      <c r="AC703" s="25">
        <v>0</v>
      </c>
      <c r="AD703" s="25">
        <v>0</v>
      </c>
      <c r="AE703" s="25">
        <f t="shared" si="116"/>
        <v>292</v>
      </c>
      <c r="AF703" s="25">
        <f t="shared" si="117"/>
        <v>292</v>
      </c>
      <c r="AG703" s="25">
        <v>0</v>
      </c>
      <c r="AH703" s="25">
        <f t="shared" si="118"/>
        <v>2200</v>
      </c>
      <c r="AI703" s="25">
        <f t="shared" si="119"/>
        <v>15</v>
      </c>
      <c r="AJ703" s="25">
        <v>1</v>
      </c>
      <c r="AK703" s="25">
        <v>1000</v>
      </c>
      <c r="AL703" s="25">
        <v>100</v>
      </c>
      <c r="AM703" s="26">
        <v>10</v>
      </c>
      <c r="AN703" s="26">
        <v>10</v>
      </c>
      <c r="AO703" s="22" t="s">
        <v>2211</v>
      </c>
      <c r="AP703" s="26">
        <v>0</v>
      </c>
      <c r="AQ703" s="26">
        <f t="shared" si="120"/>
        <v>290</v>
      </c>
      <c r="AR703" s="18" t="str">
        <f ca="1">CONCATENATE(OFFSET(Sheet1!$A$2,RANDBETWEEN(2,500),0,1,1),OFFSET(Sheet1!$A$2,RANDBETWEEN(2,500),RANDBETWEEN(1,5),1,1))</f>
        <v>艾森豪威尔</v>
      </c>
      <c r="AS703">
        <f>SUMPRODUCT(P703:AI703,Sheet2!$B$3:$U$3)</f>
        <v>73259</v>
      </c>
    </row>
    <row r="704" spans="1:45" x14ac:dyDescent="0.15">
      <c r="A704" s="18">
        <v>703</v>
      </c>
      <c r="B704" s="18" t="s">
        <v>2099</v>
      </c>
      <c r="C704" s="18">
        <f t="shared" si="110"/>
        <v>145</v>
      </c>
      <c r="D704" s="19">
        <f t="shared" si="111"/>
        <v>3</v>
      </c>
      <c r="E704" s="19">
        <f>VLOOKUP(MOD(A704,4),各职业基础配置!C$32:D$35,2,FALSE)</f>
        <v>9</v>
      </c>
      <c r="F704" s="19">
        <f>IF(A704&lt;900,INDEX(各职业基础配置!C$23:C$28,MOD(ROW(A704),4)+1),0)</f>
        <v>8</v>
      </c>
      <c r="G704" s="19">
        <f t="shared" si="112"/>
        <v>9</v>
      </c>
      <c r="H704" s="27">
        <f t="shared" si="113"/>
        <v>1</v>
      </c>
      <c r="I704" s="6" t="s">
        <v>164</v>
      </c>
      <c r="J704" s="23" t="str">
        <f>VLOOKUP(E704,各职业基础配置!$B$9:$C$12,2,FALSE)</f>
        <v>116|117|118|4201|120</v>
      </c>
      <c r="K704" s="18" t="str">
        <f>VLOOKUP(E704,各职业基础配置!$B$15:$C$18,2,FALSE)</f>
        <v>28|29|30|31</v>
      </c>
      <c r="L704" s="18" t="str">
        <f>VLOOKUP(E704,各职业基础配置!B:C,2,FALSE)</f>
        <v>[{28,1,1},{29,1,1},{30,1,1},{31,1,1},{10,1,1},{11,1,1},{12,1,1}]</v>
      </c>
      <c r="M704" s="18">
        <v>0</v>
      </c>
      <c r="N704" s="18">
        <f t="shared" si="114"/>
        <v>3</v>
      </c>
      <c r="O704" s="18">
        <f>SUMPRODUCT(P704:AI704,Sheet2!$B$3:$U$3)</f>
        <v>71218</v>
      </c>
      <c r="P704" s="18">
        <f>CEILING(INDEX([1]系统模型!$VD:$VD,MATCH(C704,[1]系统模型!$A:$A,0))*POWER(C704/220,3.8)-50+(1000-A704),1)</f>
        <v>1132</v>
      </c>
      <c r="Q704" s="18">
        <f>CEILING(INDEX([1]系统模型!$VE:$VE,MATCH(C704,[1]系统模型!$A:$A,0))*POWER(C704/220,4),1)</f>
        <v>101</v>
      </c>
      <c r="R704" s="18">
        <f>INT(INDEX([1]系统模型!$VF:$VF,MATCH(C704,[1]系统模型!$A:$A,0))*MAX(POWER(C704/180,4),0.5))</f>
        <v>8643</v>
      </c>
      <c r="S704" s="5">
        <v>1000</v>
      </c>
      <c r="T704" s="25">
        <v>0</v>
      </c>
      <c r="U704" s="25">
        <v>0</v>
      </c>
      <c r="V704" s="25">
        <v>0</v>
      </c>
      <c r="W704" s="25">
        <v>0</v>
      </c>
      <c r="X704" s="25">
        <f t="shared" si="115"/>
        <v>432</v>
      </c>
      <c r="Y704" s="12">
        <v>0</v>
      </c>
      <c r="Z704" s="25">
        <v>100</v>
      </c>
      <c r="AA704" s="25">
        <v>150</v>
      </c>
      <c r="AB704" s="25">
        <v>0</v>
      </c>
      <c r="AC704" s="25">
        <v>0</v>
      </c>
      <c r="AD704" s="25">
        <v>0</v>
      </c>
      <c r="AE704" s="25">
        <f t="shared" si="116"/>
        <v>290</v>
      </c>
      <c r="AF704" s="25">
        <f t="shared" si="117"/>
        <v>290</v>
      </c>
      <c r="AG704" s="25">
        <v>0</v>
      </c>
      <c r="AH704" s="25">
        <f t="shared" si="118"/>
        <v>2125</v>
      </c>
      <c r="AI704" s="25">
        <f t="shared" si="119"/>
        <v>15</v>
      </c>
      <c r="AJ704" s="25">
        <v>1</v>
      </c>
      <c r="AK704" s="25">
        <v>1000</v>
      </c>
      <c r="AL704" s="25">
        <v>100</v>
      </c>
      <c r="AM704" s="26">
        <v>10</v>
      </c>
      <c r="AN704" s="26">
        <v>10</v>
      </c>
      <c r="AO704" s="22" t="s">
        <v>2211</v>
      </c>
      <c r="AP704" s="26">
        <v>0</v>
      </c>
      <c r="AQ704" s="26">
        <f t="shared" si="120"/>
        <v>290</v>
      </c>
      <c r="AR704" s="18" t="str">
        <f ca="1">CONCATENATE(OFFSET(Sheet1!$A$2,RANDBETWEEN(2,500),0,1,1),OFFSET(Sheet1!$A$2,RANDBETWEEN(2,500),RANDBETWEEN(1,5),1,1))</f>
        <v>克里斯蒂安娜</v>
      </c>
      <c r="AS704">
        <f>SUMPRODUCT(P704:AI704,Sheet2!$B$3:$U$3)</f>
        <v>71218</v>
      </c>
    </row>
    <row r="705" spans="1:45" x14ac:dyDescent="0.15">
      <c r="A705" s="18">
        <v>704</v>
      </c>
      <c r="B705" s="18" t="s">
        <v>2055</v>
      </c>
      <c r="C705" s="18">
        <f t="shared" si="110"/>
        <v>145</v>
      </c>
      <c r="D705" s="19">
        <f t="shared" si="111"/>
        <v>2</v>
      </c>
      <c r="E705" s="19">
        <f>VLOOKUP(MOD(A705,4),各职业基础配置!C$32:D$35,2,FALSE)</f>
        <v>1</v>
      </c>
      <c r="F705" s="19">
        <f>IF(A705&lt;900,INDEX(各职业基础配置!C$23:C$28,MOD(ROW(A705),4)+1),0)</f>
        <v>13</v>
      </c>
      <c r="G705" s="19">
        <f t="shared" si="112"/>
        <v>9</v>
      </c>
      <c r="H705" s="27">
        <f t="shared" si="113"/>
        <v>1</v>
      </c>
      <c r="I705" s="6" t="s">
        <v>164</v>
      </c>
      <c r="J705" s="23" t="str">
        <f>VLOOKUP(E705,各职业基础配置!$B$9:$C$12,2,FALSE)</f>
        <v>101|102|103|4201|105</v>
      </c>
      <c r="K705" s="18" t="str">
        <f>VLOOKUP(E705,各职业基础配置!$B$15:$C$18,2,FALSE)</f>
        <v>24|25|26|27</v>
      </c>
      <c r="L705" s="18" t="str">
        <f>VLOOKUP(E705,各职业基础配置!B:C,2,FALSE)</f>
        <v>[{24,1,1},{25,1,1},{26,1,1},{27,1,1},{1,1,1},{2,1,1},{3,1,1}]</v>
      </c>
      <c r="M705" s="18">
        <v>0</v>
      </c>
      <c r="N705" s="18">
        <f t="shared" si="114"/>
        <v>3</v>
      </c>
      <c r="O705" s="18">
        <f>SUMPRODUCT(P705:AI705,Sheet2!$B$3:$U$3)</f>
        <v>71193</v>
      </c>
      <c r="P705" s="18">
        <f>CEILING(INDEX([1]系统模型!$VD:$VD,MATCH(C705,[1]系统模型!$A:$A,0))*POWER(C705/220,3.8)-50+(1000-A705),1)</f>
        <v>1131</v>
      </c>
      <c r="Q705" s="18">
        <f>CEILING(INDEX([1]系统模型!$VE:$VE,MATCH(C705,[1]系统模型!$A:$A,0))*POWER(C705/220,4),1)</f>
        <v>101</v>
      </c>
      <c r="R705" s="18">
        <f>INT(INDEX([1]系统模型!$VF:$VF,MATCH(C705,[1]系统模型!$A:$A,0))*MAX(POWER(C705/180,4),0.5))</f>
        <v>8643</v>
      </c>
      <c r="S705" s="5">
        <v>1000</v>
      </c>
      <c r="T705" s="25">
        <v>0</v>
      </c>
      <c r="U705" s="25">
        <v>0</v>
      </c>
      <c r="V705" s="25">
        <v>0</v>
      </c>
      <c r="W705" s="25">
        <v>0</v>
      </c>
      <c r="X705" s="25">
        <f t="shared" si="115"/>
        <v>432</v>
      </c>
      <c r="Y705" s="12">
        <v>0</v>
      </c>
      <c r="Z705" s="25">
        <v>100</v>
      </c>
      <c r="AA705" s="25">
        <v>150</v>
      </c>
      <c r="AB705" s="25">
        <v>0</v>
      </c>
      <c r="AC705" s="25">
        <v>0</v>
      </c>
      <c r="AD705" s="25">
        <v>0</v>
      </c>
      <c r="AE705" s="25">
        <f t="shared" si="116"/>
        <v>290</v>
      </c>
      <c r="AF705" s="25">
        <f t="shared" si="117"/>
        <v>290</v>
      </c>
      <c r="AG705" s="25">
        <v>0</v>
      </c>
      <c r="AH705" s="25">
        <f t="shared" si="118"/>
        <v>2125</v>
      </c>
      <c r="AI705" s="25">
        <f t="shared" si="119"/>
        <v>15</v>
      </c>
      <c r="AJ705" s="25">
        <v>1</v>
      </c>
      <c r="AK705" s="25">
        <v>1000</v>
      </c>
      <c r="AL705" s="25">
        <v>100</v>
      </c>
      <c r="AM705" s="26">
        <v>10</v>
      </c>
      <c r="AN705" s="26">
        <v>10</v>
      </c>
      <c r="AO705" s="22" t="s">
        <v>2211</v>
      </c>
      <c r="AP705" s="26">
        <v>0</v>
      </c>
      <c r="AQ705" s="26">
        <f t="shared" si="120"/>
        <v>290</v>
      </c>
      <c r="AR705" s="18" t="str">
        <f ca="1">CONCATENATE(OFFSET(Sheet1!$A$2,RANDBETWEEN(2,500),0,1,1),OFFSET(Sheet1!$A$2,RANDBETWEEN(2,500),RANDBETWEEN(1,5),1,1))</f>
        <v>科尔里奇</v>
      </c>
      <c r="AS705">
        <f>SUMPRODUCT(P705:AI705,Sheet2!$B$3:$U$3)</f>
        <v>71193</v>
      </c>
    </row>
    <row r="706" spans="1:45" x14ac:dyDescent="0.15">
      <c r="A706" s="23">
        <v>705</v>
      </c>
      <c r="B706" s="18" t="s">
        <v>1377</v>
      </c>
      <c r="C706" s="18">
        <f t="shared" si="110"/>
        <v>145</v>
      </c>
      <c r="D706" s="19">
        <f t="shared" si="111"/>
        <v>3</v>
      </c>
      <c r="E706" s="19">
        <f>VLOOKUP(MOD(A706,4),各职业基础配置!C$32:D$35,2,FALSE)</f>
        <v>3</v>
      </c>
      <c r="F706" s="19">
        <f>IF(A706&lt;900,INDEX(各职业基础配置!C$23:C$28,MOD(ROW(A706),4)+1),0)</f>
        <v>14</v>
      </c>
      <c r="G706" s="19">
        <f t="shared" si="112"/>
        <v>9</v>
      </c>
      <c r="H706" s="27">
        <f t="shared" si="113"/>
        <v>1</v>
      </c>
      <c r="I706" s="6" t="s">
        <v>164</v>
      </c>
      <c r="J706" s="23" t="str">
        <f>VLOOKUP(E706,各职业基础配置!$B$9:$C$12,2,FALSE)</f>
        <v>106|107|108|4201|110</v>
      </c>
      <c r="K706" s="18" t="str">
        <f>VLOOKUP(E706,各职业基础配置!$B$15:$C$18,2,FALSE)</f>
        <v>20|21|22|23</v>
      </c>
      <c r="L706" s="18" t="str">
        <f>VLOOKUP(E706,各职业基础配置!B:C,2,FALSE)</f>
        <v>[{20,1,1},{21,1,1},{22,1,1},{23,1,1},{4,1,1},{5,1,1},{6,1,1}]</v>
      </c>
      <c r="M706" s="18">
        <v>0</v>
      </c>
      <c r="N706" s="18">
        <f t="shared" si="114"/>
        <v>7</v>
      </c>
      <c r="O706" s="18">
        <f>SUMPRODUCT(P706:AI706,Sheet2!$B$3:$U$3)</f>
        <v>71168</v>
      </c>
      <c r="P706" s="18">
        <f>CEILING(INDEX([1]系统模型!$VD:$VD,MATCH(C706,[1]系统模型!$A:$A,0))*POWER(C706/220,3.8)-50+(1000-A706),1)</f>
        <v>1130</v>
      </c>
      <c r="Q706" s="18">
        <f>CEILING(INDEX([1]系统模型!$VE:$VE,MATCH(C706,[1]系统模型!$A:$A,0))*POWER(C706/220,4),1)</f>
        <v>101</v>
      </c>
      <c r="R706" s="18">
        <f>INT(INDEX([1]系统模型!$VF:$VF,MATCH(C706,[1]系统模型!$A:$A,0))*MAX(POWER(C706/180,4),0.5))</f>
        <v>8643</v>
      </c>
      <c r="S706" s="5">
        <v>1000</v>
      </c>
      <c r="T706" s="25">
        <v>0</v>
      </c>
      <c r="U706" s="25">
        <v>0</v>
      </c>
      <c r="V706" s="25">
        <v>0</v>
      </c>
      <c r="W706" s="25">
        <v>0</v>
      </c>
      <c r="X706" s="25">
        <f t="shared" si="115"/>
        <v>432</v>
      </c>
      <c r="Y706" s="12">
        <v>0</v>
      </c>
      <c r="Z706" s="25">
        <v>100</v>
      </c>
      <c r="AA706" s="25">
        <v>150</v>
      </c>
      <c r="AB706" s="25">
        <v>0</v>
      </c>
      <c r="AC706" s="25">
        <v>0</v>
      </c>
      <c r="AD706" s="25">
        <v>0</v>
      </c>
      <c r="AE706" s="25">
        <f t="shared" si="116"/>
        <v>290</v>
      </c>
      <c r="AF706" s="25">
        <f t="shared" si="117"/>
        <v>290</v>
      </c>
      <c r="AG706" s="25">
        <v>0</v>
      </c>
      <c r="AH706" s="25">
        <f t="shared" si="118"/>
        <v>2125</v>
      </c>
      <c r="AI706" s="25">
        <f t="shared" si="119"/>
        <v>15</v>
      </c>
      <c r="AJ706" s="25">
        <v>1</v>
      </c>
      <c r="AK706" s="25">
        <v>1000</v>
      </c>
      <c r="AL706" s="25">
        <v>100</v>
      </c>
      <c r="AM706" s="26">
        <v>10</v>
      </c>
      <c r="AN706" s="26">
        <v>10</v>
      </c>
      <c r="AO706" s="22" t="s">
        <v>2211</v>
      </c>
      <c r="AP706" s="26">
        <v>0</v>
      </c>
      <c r="AQ706" s="26">
        <f t="shared" si="120"/>
        <v>290</v>
      </c>
      <c r="AR706" s="18" t="str">
        <f ca="1">CONCATENATE(OFFSET(Sheet1!$A$2,RANDBETWEEN(2,500),0,1,1),OFFSET(Sheet1!$A$2,RANDBETWEEN(2,500),RANDBETWEEN(1,5),1,1))</f>
        <v>盖伊小鱼</v>
      </c>
      <c r="AS706">
        <f>SUMPRODUCT(P706:AI706,Sheet2!$B$3:$U$3)</f>
        <v>71168</v>
      </c>
    </row>
    <row r="707" spans="1:45" x14ac:dyDescent="0.15">
      <c r="A707" s="18">
        <v>706</v>
      </c>
      <c r="B707" s="18" t="s">
        <v>207</v>
      </c>
      <c r="C707" s="18">
        <f t="shared" ref="C707:C770" si="121">INT(250-(150-2)/1000*A707)</f>
        <v>145</v>
      </c>
      <c r="D707" s="19">
        <f t="shared" ref="D707:D770" si="122">MOD(A707,2)+2</f>
        <v>2</v>
      </c>
      <c r="E707" s="19">
        <f>VLOOKUP(MOD(A707,4),各职业基础配置!C$32:D$35,2,FALSE)</f>
        <v>6</v>
      </c>
      <c r="F707" s="19">
        <f>IF(A707&lt;900,INDEX(各职业基础配置!C$23:C$28,MOD(ROW(A707),4)+1),0)</f>
        <v>16</v>
      </c>
      <c r="G707" s="19">
        <f t="shared" ref="G707:G770" si="123">INT(C707*POWER(C707/250,5))</f>
        <v>9</v>
      </c>
      <c r="H707" s="27">
        <f t="shared" ref="H707:H770" si="124">CEILING(C707/75,1)-1</f>
        <v>1</v>
      </c>
      <c r="I707" s="6" t="s">
        <v>164</v>
      </c>
      <c r="J707" s="23" t="str">
        <f>VLOOKUP(E707,各职业基础配置!$B$9:$C$12,2,FALSE)</f>
        <v>111|112|113|4201|115</v>
      </c>
      <c r="K707" s="18" t="str">
        <f>VLOOKUP(E707,各职业基础配置!$B$15:$C$18,2,FALSE)</f>
        <v>32|33|34</v>
      </c>
      <c r="L707" s="18" t="str">
        <f>VLOOKUP(E707,各职业基础配置!B:C,2,FALSE)</f>
        <v>[{32,1,1},{33,1,1},{34,1,1},{35,1,1},{7,1,1},{8,1,1},{9,1,1}]</v>
      </c>
      <c r="M707" s="18">
        <v>0</v>
      </c>
      <c r="N707" s="18">
        <f t="shared" ref="N707:N770" si="125">IF(OR(E707=3,E707=6),7,3)</f>
        <v>7</v>
      </c>
      <c r="O707" s="18">
        <f>SUMPRODUCT(P707:AI707,Sheet2!$B$3:$U$3)</f>
        <v>71143</v>
      </c>
      <c r="P707" s="18">
        <f>CEILING(INDEX([1]系统模型!$VD:$VD,MATCH(C707,[1]系统模型!$A:$A,0))*POWER(C707/220,3.8)-50+(1000-A707),1)</f>
        <v>1129</v>
      </c>
      <c r="Q707" s="18">
        <f>CEILING(INDEX([1]系统模型!$VE:$VE,MATCH(C707,[1]系统模型!$A:$A,0))*POWER(C707/220,4),1)</f>
        <v>101</v>
      </c>
      <c r="R707" s="18">
        <f>INT(INDEX([1]系统模型!$VF:$VF,MATCH(C707,[1]系统模型!$A:$A,0))*MAX(POWER(C707/180,4),0.5))</f>
        <v>8643</v>
      </c>
      <c r="S707" s="5">
        <v>1000</v>
      </c>
      <c r="T707" s="25">
        <v>0</v>
      </c>
      <c r="U707" s="25">
        <v>0</v>
      </c>
      <c r="V707" s="25">
        <v>0</v>
      </c>
      <c r="W707" s="25">
        <v>0</v>
      </c>
      <c r="X707" s="25">
        <f t="shared" ref="X707:X770" si="126">INT(R707/20)</f>
        <v>432</v>
      </c>
      <c r="Y707" s="12">
        <v>0</v>
      </c>
      <c r="Z707" s="25">
        <v>100</v>
      </c>
      <c r="AA707" s="25">
        <v>150</v>
      </c>
      <c r="AB707" s="25">
        <v>0</v>
      </c>
      <c r="AC707" s="25">
        <v>0</v>
      </c>
      <c r="AD707" s="25">
        <v>0</v>
      </c>
      <c r="AE707" s="25">
        <f t="shared" ref="AE707:AE770" si="127">C707*2</f>
        <v>290</v>
      </c>
      <c r="AF707" s="25">
        <f t="shared" ref="AF707:AF770" si="128">C707*2</f>
        <v>290</v>
      </c>
      <c r="AG707" s="25">
        <v>0</v>
      </c>
      <c r="AH707" s="25">
        <f t="shared" ref="AH707:AH770" si="129">MAX(10000-(250-C707)*75,0)</f>
        <v>2125</v>
      </c>
      <c r="AI707" s="25">
        <f t="shared" ref="AI707:AI770" si="130">INT(P707/75)</f>
        <v>15</v>
      </c>
      <c r="AJ707" s="25">
        <v>1</v>
      </c>
      <c r="AK707" s="25">
        <v>1000</v>
      </c>
      <c r="AL707" s="25">
        <v>100</v>
      </c>
      <c r="AM707" s="26">
        <v>10</v>
      </c>
      <c r="AN707" s="26">
        <v>10</v>
      </c>
      <c r="AO707" s="22" t="s">
        <v>2211</v>
      </c>
      <c r="AP707" s="26">
        <v>0</v>
      </c>
      <c r="AQ707" s="26">
        <f t="shared" ref="AQ707:AQ770" si="131">MAX(CEILING(1000-A707*1.02,10),0)</f>
        <v>280</v>
      </c>
      <c r="AR707" s="18" t="str">
        <f ca="1">CONCATENATE(OFFSET(Sheet1!$A$2,RANDBETWEEN(2,500),0,1,1),OFFSET(Sheet1!$A$2,RANDBETWEEN(2,500),RANDBETWEEN(1,5),1,1))</f>
        <v>艾尔索普维文</v>
      </c>
      <c r="AS707">
        <f>SUMPRODUCT(P707:AI707,Sheet2!$B$3:$U$3)</f>
        <v>71143</v>
      </c>
    </row>
    <row r="708" spans="1:45" x14ac:dyDescent="0.15">
      <c r="A708" s="18">
        <v>707</v>
      </c>
      <c r="B708" s="18" t="s">
        <v>1155</v>
      </c>
      <c r="C708" s="18">
        <f t="shared" si="121"/>
        <v>145</v>
      </c>
      <c r="D708" s="19">
        <f t="shared" si="122"/>
        <v>3</v>
      </c>
      <c r="E708" s="19">
        <f>VLOOKUP(MOD(A708,4),各职业基础配置!C$32:D$35,2,FALSE)</f>
        <v>9</v>
      </c>
      <c r="F708" s="19">
        <f>IF(A708&lt;900,INDEX(各职业基础配置!C$23:C$28,MOD(ROW(A708),4)+1),0)</f>
        <v>8</v>
      </c>
      <c r="G708" s="19">
        <f t="shared" si="123"/>
        <v>9</v>
      </c>
      <c r="H708" s="27">
        <f t="shared" si="124"/>
        <v>1</v>
      </c>
      <c r="I708" s="6" t="s">
        <v>164</v>
      </c>
      <c r="J708" s="23" t="str">
        <f>VLOOKUP(E708,各职业基础配置!$B$9:$C$12,2,FALSE)</f>
        <v>116|117|118|4201|120</v>
      </c>
      <c r="K708" s="18" t="str">
        <f>VLOOKUP(E708,各职业基础配置!$B$15:$C$18,2,FALSE)</f>
        <v>28|29|30|31</v>
      </c>
      <c r="L708" s="18" t="str">
        <f>VLOOKUP(E708,各职业基础配置!B:C,2,FALSE)</f>
        <v>[{28,1,1},{29,1,1},{30,1,1},{31,1,1},{10,1,1},{11,1,1},{12,1,1}]</v>
      </c>
      <c r="M708" s="18">
        <v>0</v>
      </c>
      <c r="N708" s="18">
        <f t="shared" si="125"/>
        <v>3</v>
      </c>
      <c r="O708" s="18">
        <f>SUMPRODUCT(P708:AI708,Sheet2!$B$3:$U$3)</f>
        <v>71118</v>
      </c>
      <c r="P708" s="18">
        <f>CEILING(INDEX([1]系统模型!$VD:$VD,MATCH(C708,[1]系统模型!$A:$A,0))*POWER(C708/220,3.8)-50+(1000-A708),1)</f>
        <v>1128</v>
      </c>
      <c r="Q708" s="18">
        <f>CEILING(INDEX([1]系统模型!$VE:$VE,MATCH(C708,[1]系统模型!$A:$A,0))*POWER(C708/220,4),1)</f>
        <v>101</v>
      </c>
      <c r="R708" s="18">
        <f>INT(INDEX([1]系统模型!$VF:$VF,MATCH(C708,[1]系统模型!$A:$A,0))*MAX(POWER(C708/180,4),0.5))</f>
        <v>8643</v>
      </c>
      <c r="S708" s="5">
        <v>1000</v>
      </c>
      <c r="T708" s="25">
        <v>0</v>
      </c>
      <c r="U708" s="25">
        <v>0</v>
      </c>
      <c r="V708" s="25">
        <v>0</v>
      </c>
      <c r="W708" s="25">
        <v>0</v>
      </c>
      <c r="X708" s="25">
        <f t="shared" si="126"/>
        <v>432</v>
      </c>
      <c r="Y708" s="12">
        <v>0</v>
      </c>
      <c r="Z708" s="25">
        <v>100</v>
      </c>
      <c r="AA708" s="25">
        <v>150</v>
      </c>
      <c r="AB708" s="25">
        <v>0</v>
      </c>
      <c r="AC708" s="25">
        <v>0</v>
      </c>
      <c r="AD708" s="25">
        <v>0</v>
      </c>
      <c r="AE708" s="25">
        <f t="shared" si="127"/>
        <v>290</v>
      </c>
      <c r="AF708" s="25">
        <f t="shared" si="128"/>
        <v>290</v>
      </c>
      <c r="AG708" s="25">
        <v>0</v>
      </c>
      <c r="AH708" s="25">
        <f t="shared" si="129"/>
        <v>2125</v>
      </c>
      <c r="AI708" s="25">
        <f t="shared" si="130"/>
        <v>15</v>
      </c>
      <c r="AJ708" s="25">
        <v>1</v>
      </c>
      <c r="AK708" s="25">
        <v>1000</v>
      </c>
      <c r="AL708" s="25">
        <v>100</v>
      </c>
      <c r="AM708" s="26">
        <v>10</v>
      </c>
      <c r="AN708" s="26">
        <v>10</v>
      </c>
      <c r="AO708" s="22" t="s">
        <v>2211</v>
      </c>
      <c r="AP708" s="26">
        <v>0</v>
      </c>
      <c r="AQ708" s="26">
        <f t="shared" si="131"/>
        <v>280</v>
      </c>
      <c r="AR708" s="18" t="str">
        <f ca="1">CONCATENATE(OFFSET(Sheet1!$A$2,RANDBETWEEN(2,500),0,1,1),OFFSET(Sheet1!$A$2,RANDBETWEEN(2,500),RANDBETWEEN(1,5),1,1))</f>
        <v>伊夫</v>
      </c>
      <c r="AS708">
        <f>SUMPRODUCT(P708:AI708,Sheet2!$B$3:$U$3)</f>
        <v>71118</v>
      </c>
    </row>
    <row r="709" spans="1:45" x14ac:dyDescent="0.15">
      <c r="A709" s="23">
        <v>708</v>
      </c>
      <c r="B709" s="18" t="s">
        <v>940</v>
      </c>
      <c r="C709" s="18">
        <f t="shared" si="121"/>
        <v>145</v>
      </c>
      <c r="D709" s="19">
        <f t="shared" si="122"/>
        <v>2</v>
      </c>
      <c r="E709" s="19">
        <f>VLOOKUP(MOD(A709,4),各职业基础配置!C$32:D$35,2,FALSE)</f>
        <v>1</v>
      </c>
      <c r="F709" s="19">
        <f>IF(A709&lt;900,INDEX(各职业基础配置!C$23:C$28,MOD(ROW(A709),4)+1),0)</f>
        <v>13</v>
      </c>
      <c r="G709" s="19">
        <f t="shared" si="123"/>
        <v>9</v>
      </c>
      <c r="H709" s="27">
        <f t="shared" si="124"/>
        <v>1</v>
      </c>
      <c r="I709" s="6" t="s">
        <v>164</v>
      </c>
      <c r="J709" s="23" t="str">
        <f>VLOOKUP(E709,各职业基础配置!$B$9:$C$12,2,FALSE)</f>
        <v>101|102|103|4201|105</v>
      </c>
      <c r="K709" s="18" t="str">
        <f>VLOOKUP(E709,各职业基础配置!$B$15:$C$18,2,FALSE)</f>
        <v>24|25|26|27</v>
      </c>
      <c r="L709" s="18" t="str">
        <f>VLOOKUP(E709,各职业基础配置!B:C,2,FALSE)</f>
        <v>[{24,1,1},{25,1,1},{26,1,1},{27,1,1},{1,1,1},{2,1,1},{3,1,1}]</v>
      </c>
      <c r="M709" s="18">
        <v>0</v>
      </c>
      <c r="N709" s="18">
        <f t="shared" si="125"/>
        <v>3</v>
      </c>
      <c r="O709" s="18">
        <f>SUMPRODUCT(P709:AI709,Sheet2!$B$3:$U$3)</f>
        <v>71093</v>
      </c>
      <c r="P709" s="18">
        <f>CEILING(INDEX([1]系统模型!$VD:$VD,MATCH(C709,[1]系统模型!$A:$A,0))*POWER(C709/220,3.8)-50+(1000-A709),1)</f>
        <v>1127</v>
      </c>
      <c r="Q709" s="18">
        <f>CEILING(INDEX([1]系统模型!$VE:$VE,MATCH(C709,[1]系统模型!$A:$A,0))*POWER(C709/220,4),1)</f>
        <v>101</v>
      </c>
      <c r="R709" s="18">
        <f>INT(INDEX([1]系统模型!$VF:$VF,MATCH(C709,[1]系统模型!$A:$A,0))*MAX(POWER(C709/180,4),0.5))</f>
        <v>8643</v>
      </c>
      <c r="S709" s="5">
        <v>1000</v>
      </c>
      <c r="T709" s="25">
        <v>0</v>
      </c>
      <c r="U709" s="25">
        <v>0</v>
      </c>
      <c r="V709" s="25">
        <v>0</v>
      </c>
      <c r="W709" s="25">
        <v>0</v>
      </c>
      <c r="X709" s="25">
        <f t="shared" si="126"/>
        <v>432</v>
      </c>
      <c r="Y709" s="12">
        <v>0</v>
      </c>
      <c r="Z709" s="25">
        <v>100</v>
      </c>
      <c r="AA709" s="25">
        <v>150</v>
      </c>
      <c r="AB709" s="25">
        <v>0</v>
      </c>
      <c r="AC709" s="25">
        <v>0</v>
      </c>
      <c r="AD709" s="25">
        <v>0</v>
      </c>
      <c r="AE709" s="25">
        <f t="shared" si="127"/>
        <v>290</v>
      </c>
      <c r="AF709" s="25">
        <f t="shared" si="128"/>
        <v>290</v>
      </c>
      <c r="AG709" s="25">
        <v>0</v>
      </c>
      <c r="AH709" s="25">
        <f t="shared" si="129"/>
        <v>2125</v>
      </c>
      <c r="AI709" s="25">
        <f t="shared" si="130"/>
        <v>15</v>
      </c>
      <c r="AJ709" s="25">
        <v>1</v>
      </c>
      <c r="AK709" s="25">
        <v>1000</v>
      </c>
      <c r="AL709" s="25">
        <v>100</v>
      </c>
      <c r="AM709" s="26">
        <v>10</v>
      </c>
      <c r="AN709" s="26">
        <v>10</v>
      </c>
      <c r="AO709" s="22" t="s">
        <v>2211</v>
      </c>
      <c r="AP709" s="26">
        <v>0</v>
      </c>
      <c r="AQ709" s="26">
        <f t="shared" si="131"/>
        <v>280</v>
      </c>
      <c r="AR709" s="18" t="str">
        <f ca="1">CONCATENATE(OFFSET(Sheet1!$A$2,RANDBETWEEN(2,500),0,1,1),OFFSET(Sheet1!$A$2,RANDBETWEEN(2,500),RANDBETWEEN(1,5),1,1))</f>
        <v>葛德文</v>
      </c>
      <c r="AS709">
        <f>SUMPRODUCT(P709:AI709,Sheet2!$B$3:$U$3)</f>
        <v>71093</v>
      </c>
    </row>
    <row r="710" spans="1:45" x14ac:dyDescent="0.15">
      <c r="A710" s="18">
        <v>709</v>
      </c>
      <c r="B710" s="18" t="s">
        <v>2100</v>
      </c>
      <c r="C710" s="18">
        <f t="shared" si="121"/>
        <v>145</v>
      </c>
      <c r="D710" s="19">
        <f t="shared" si="122"/>
        <v>3</v>
      </c>
      <c r="E710" s="19">
        <f>VLOOKUP(MOD(A710,4),各职业基础配置!C$32:D$35,2,FALSE)</f>
        <v>3</v>
      </c>
      <c r="F710" s="19">
        <f>IF(A710&lt;900,INDEX(各职业基础配置!C$23:C$28,MOD(ROW(A710),4)+1),0)</f>
        <v>14</v>
      </c>
      <c r="G710" s="19">
        <f t="shared" si="123"/>
        <v>9</v>
      </c>
      <c r="H710" s="27">
        <f t="shared" si="124"/>
        <v>1</v>
      </c>
      <c r="I710" s="6" t="s">
        <v>164</v>
      </c>
      <c r="J710" s="23" t="str">
        <f>VLOOKUP(E710,各职业基础配置!$B$9:$C$12,2,FALSE)</f>
        <v>106|107|108|4201|110</v>
      </c>
      <c r="K710" s="18" t="str">
        <f>VLOOKUP(E710,各职业基础配置!$B$15:$C$18,2,FALSE)</f>
        <v>20|21|22|23</v>
      </c>
      <c r="L710" s="18" t="str">
        <f>VLOOKUP(E710,各职业基础配置!B:C,2,FALSE)</f>
        <v>[{20,1,1},{21,1,1},{22,1,1},{23,1,1},{4,1,1},{5,1,1},{6,1,1}]</v>
      </c>
      <c r="M710" s="18">
        <v>0</v>
      </c>
      <c r="N710" s="18">
        <f t="shared" si="125"/>
        <v>7</v>
      </c>
      <c r="O710" s="18">
        <f>SUMPRODUCT(P710:AI710,Sheet2!$B$3:$U$3)</f>
        <v>71068</v>
      </c>
      <c r="P710" s="18">
        <f>CEILING(INDEX([1]系统模型!$VD:$VD,MATCH(C710,[1]系统模型!$A:$A,0))*POWER(C710/220,3.8)-50+(1000-A710),1)</f>
        <v>1126</v>
      </c>
      <c r="Q710" s="18">
        <f>CEILING(INDEX([1]系统模型!$VE:$VE,MATCH(C710,[1]系统模型!$A:$A,0))*POWER(C710/220,4),1)</f>
        <v>101</v>
      </c>
      <c r="R710" s="18">
        <f>INT(INDEX([1]系统模型!$VF:$VF,MATCH(C710,[1]系统模型!$A:$A,0))*MAX(POWER(C710/180,4),0.5))</f>
        <v>8643</v>
      </c>
      <c r="S710" s="5">
        <v>1000</v>
      </c>
      <c r="T710" s="25">
        <v>0</v>
      </c>
      <c r="U710" s="25">
        <v>0</v>
      </c>
      <c r="V710" s="25">
        <v>0</v>
      </c>
      <c r="W710" s="25">
        <v>0</v>
      </c>
      <c r="X710" s="25">
        <f t="shared" si="126"/>
        <v>432</v>
      </c>
      <c r="Y710" s="12">
        <v>0</v>
      </c>
      <c r="Z710" s="25">
        <v>100</v>
      </c>
      <c r="AA710" s="25">
        <v>150</v>
      </c>
      <c r="AB710" s="25">
        <v>0</v>
      </c>
      <c r="AC710" s="25">
        <v>0</v>
      </c>
      <c r="AD710" s="25">
        <v>0</v>
      </c>
      <c r="AE710" s="25">
        <f t="shared" si="127"/>
        <v>290</v>
      </c>
      <c r="AF710" s="25">
        <f t="shared" si="128"/>
        <v>290</v>
      </c>
      <c r="AG710" s="25">
        <v>0</v>
      </c>
      <c r="AH710" s="25">
        <f t="shared" si="129"/>
        <v>2125</v>
      </c>
      <c r="AI710" s="25">
        <f t="shared" si="130"/>
        <v>15</v>
      </c>
      <c r="AJ710" s="25">
        <v>1</v>
      </c>
      <c r="AK710" s="25">
        <v>1000</v>
      </c>
      <c r="AL710" s="25">
        <v>100</v>
      </c>
      <c r="AM710" s="26">
        <v>10</v>
      </c>
      <c r="AN710" s="26">
        <v>10</v>
      </c>
      <c r="AO710" s="22" t="s">
        <v>2211</v>
      </c>
      <c r="AP710" s="26">
        <v>0</v>
      </c>
      <c r="AQ710" s="26">
        <f t="shared" si="131"/>
        <v>280</v>
      </c>
      <c r="AR710" s="18" t="str">
        <f ca="1">CONCATENATE(OFFSET(Sheet1!$A$2,RANDBETWEEN(2,500),0,1,1),OFFSET(Sheet1!$A$2,RANDBETWEEN(2,500),RANDBETWEEN(1,5),1,1))</f>
        <v>巴里佩儿</v>
      </c>
      <c r="AS710">
        <f>SUMPRODUCT(P710:AI710,Sheet2!$B$3:$U$3)</f>
        <v>71068</v>
      </c>
    </row>
    <row r="711" spans="1:45" x14ac:dyDescent="0.15">
      <c r="A711" s="18">
        <v>710</v>
      </c>
      <c r="B711" s="18" t="s">
        <v>2101</v>
      </c>
      <c r="C711" s="18">
        <f t="shared" si="121"/>
        <v>144</v>
      </c>
      <c r="D711" s="19">
        <f t="shared" si="122"/>
        <v>2</v>
      </c>
      <c r="E711" s="19">
        <f>VLOOKUP(MOD(A711,4),各职业基础配置!C$32:D$35,2,FALSE)</f>
        <v>6</v>
      </c>
      <c r="F711" s="19">
        <f>IF(A711&lt;900,INDEX(各职业基础配置!C$23:C$28,MOD(ROW(A711),4)+1),0)</f>
        <v>16</v>
      </c>
      <c r="G711" s="19">
        <f t="shared" si="123"/>
        <v>9</v>
      </c>
      <c r="H711" s="27">
        <f t="shared" si="124"/>
        <v>1</v>
      </c>
      <c r="I711" s="6" t="s">
        <v>164</v>
      </c>
      <c r="J711" s="23" t="str">
        <f>VLOOKUP(E711,各职业基础配置!$B$9:$C$12,2,FALSE)</f>
        <v>111|112|113|4201|115</v>
      </c>
      <c r="K711" s="18" t="str">
        <f>VLOOKUP(E711,各职业基础配置!$B$15:$C$18,2,FALSE)</f>
        <v>32|33|34</v>
      </c>
      <c r="L711" s="18" t="str">
        <f>VLOOKUP(E711,各职业基础配置!B:C,2,FALSE)</f>
        <v>[{32,1,1},{33,1,1},{34,1,1},{35,1,1},{7,1,1},{8,1,1},{9,1,1}]</v>
      </c>
      <c r="M711" s="18">
        <v>0</v>
      </c>
      <c r="N711" s="18">
        <f t="shared" si="125"/>
        <v>7</v>
      </c>
      <c r="O711" s="18">
        <f>SUMPRODUCT(P711:AI711,Sheet2!$B$3:$U$3)</f>
        <v>69660</v>
      </c>
      <c r="P711" s="18">
        <f>CEILING(INDEX([1]系统模型!$VD:$VD,MATCH(C711,[1]系统模型!$A:$A,0))*POWER(C711/220,3.8)-50+(1000-A711),1)</f>
        <v>1096</v>
      </c>
      <c r="Q711" s="18">
        <f>CEILING(INDEX([1]系统模型!$VE:$VE,MATCH(C711,[1]系统模型!$A:$A,0))*POWER(C711/220,4),1)</f>
        <v>97</v>
      </c>
      <c r="R711" s="18">
        <f>INT(INDEX([1]系统模型!$VF:$VF,MATCH(C711,[1]系统模型!$A:$A,0))*MAX(POWER(C711/180,4),0.5))</f>
        <v>8585</v>
      </c>
      <c r="S711" s="5">
        <v>1000</v>
      </c>
      <c r="T711" s="25">
        <v>0</v>
      </c>
      <c r="U711" s="25">
        <v>0</v>
      </c>
      <c r="V711" s="25">
        <v>0</v>
      </c>
      <c r="W711" s="25">
        <v>0</v>
      </c>
      <c r="X711" s="25">
        <f t="shared" si="126"/>
        <v>429</v>
      </c>
      <c r="Y711" s="12">
        <v>0</v>
      </c>
      <c r="Z711" s="25">
        <v>100</v>
      </c>
      <c r="AA711" s="25">
        <v>150</v>
      </c>
      <c r="AB711" s="25">
        <v>0</v>
      </c>
      <c r="AC711" s="25">
        <v>0</v>
      </c>
      <c r="AD711" s="25">
        <v>0</v>
      </c>
      <c r="AE711" s="25">
        <f t="shared" si="127"/>
        <v>288</v>
      </c>
      <c r="AF711" s="25">
        <f t="shared" si="128"/>
        <v>288</v>
      </c>
      <c r="AG711" s="25">
        <v>0</v>
      </c>
      <c r="AH711" s="25">
        <f t="shared" si="129"/>
        <v>2050</v>
      </c>
      <c r="AI711" s="25">
        <f t="shared" si="130"/>
        <v>14</v>
      </c>
      <c r="AJ711" s="25">
        <v>1</v>
      </c>
      <c r="AK711" s="25">
        <v>1000</v>
      </c>
      <c r="AL711" s="25">
        <v>100</v>
      </c>
      <c r="AM711" s="26">
        <v>10</v>
      </c>
      <c r="AN711" s="26">
        <v>10</v>
      </c>
      <c r="AO711" s="22" t="s">
        <v>2211</v>
      </c>
      <c r="AP711" s="26">
        <v>0</v>
      </c>
      <c r="AQ711" s="26">
        <f t="shared" si="131"/>
        <v>280</v>
      </c>
      <c r="AR711" s="18" t="str">
        <f ca="1">CONCATENATE(OFFSET(Sheet1!$A$2,RANDBETWEEN(2,500),0,1,1),OFFSET(Sheet1!$A$2,RANDBETWEEN(2,500),RANDBETWEEN(1,5),1,1))</f>
        <v>伯纳德</v>
      </c>
      <c r="AS711">
        <f>SUMPRODUCT(P711:AI711,Sheet2!$B$3:$U$3)</f>
        <v>69660</v>
      </c>
    </row>
    <row r="712" spans="1:45" x14ac:dyDescent="0.15">
      <c r="A712" s="23">
        <v>711</v>
      </c>
      <c r="B712" s="18" t="s">
        <v>817</v>
      </c>
      <c r="C712" s="18">
        <f t="shared" si="121"/>
        <v>144</v>
      </c>
      <c r="D712" s="19">
        <f t="shared" si="122"/>
        <v>3</v>
      </c>
      <c r="E712" s="19">
        <f>VLOOKUP(MOD(A712,4),各职业基础配置!C$32:D$35,2,FALSE)</f>
        <v>9</v>
      </c>
      <c r="F712" s="19">
        <f>IF(A712&lt;900,INDEX(各职业基础配置!C$23:C$28,MOD(ROW(A712),4)+1),0)</f>
        <v>8</v>
      </c>
      <c r="G712" s="19">
        <f t="shared" si="123"/>
        <v>9</v>
      </c>
      <c r="H712" s="27">
        <f t="shared" si="124"/>
        <v>1</v>
      </c>
      <c r="I712" s="6" t="s">
        <v>164</v>
      </c>
      <c r="J712" s="23" t="str">
        <f>VLOOKUP(E712,各职业基础配置!$B$9:$C$12,2,FALSE)</f>
        <v>116|117|118|4201|120</v>
      </c>
      <c r="K712" s="18" t="str">
        <f>VLOOKUP(E712,各职业基础配置!$B$15:$C$18,2,FALSE)</f>
        <v>28|29|30|31</v>
      </c>
      <c r="L712" s="18" t="str">
        <f>VLOOKUP(E712,各职业基础配置!B:C,2,FALSE)</f>
        <v>[{28,1,1},{29,1,1},{30,1,1},{31,1,1},{10,1,1},{11,1,1},{12,1,1}]</v>
      </c>
      <c r="M712" s="18">
        <v>0</v>
      </c>
      <c r="N712" s="18">
        <f t="shared" si="125"/>
        <v>3</v>
      </c>
      <c r="O712" s="18">
        <f>SUMPRODUCT(P712:AI712,Sheet2!$B$3:$U$3)</f>
        <v>69635</v>
      </c>
      <c r="P712" s="18">
        <f>CEILING(INDEX([1]系统模型!$VD:$VD,MATCH(C712,[1]系统模型!$A:$A,0))*POWER(C712/220,3.8)-50+(1000-A712),1)</f>
        <v>1095</v>
      </c>
      <c r="Q712" s="18">
        <f>CEILING(INDEX([1]系统模型!$VE:$VE,MATCH(C712,[1]系统模型!$A:$A,0))*POWER(C712/220,4),1)</f>
        <v>97</v>
      </c>
      <c r="R712" s="18">
        <f>INT(INDEX([1]系统模型!$VF:$VF,MATCH(C712,[1]系统模型!$A:$A,0))*MAX(POWER(C712/180,4),0.5))</f>
        <v>8585</v>
      </c>
      <c r="S712" s="5">
        <v>1000</v>
      </c>
      <c r="T712" s="25">
        <v>0</v>
      </c>
      <c r="U712" s="25">
        <v>0</v>
      </c>
      <c r="V712" s="25">
        <v>0</v>
      </c>
      <c r="W712" s="25">
        <v>0</v>
      </c>
      <c r="X712" s="25">
        <f t="shared" si="126"/>
        <v>429</v>
      </c>
      <c r="Y712" s="12">
        <v>0</v>
      </c>
      <c r="Z712" s="25">
        <v>100</v>
      </c>
      <c r="AA712" s="25">
        <v>150</v>
      </c>
      <c r="AB712" s="25">
        <v>0</v>
      </c>
      <c r="AC712" s="25">
        <v>0</v>
      </c>
      <c r="AD712" s="25">
        <v>0</v>
      </c>
      <c r="AE712" s="25">
        <f t="shared" si="127"/>
        <v>288</v>
      </c>
      <c r="AF712" s="25">
        <f t="shared" si="128"/>
        <v>288</v>
      </c>
      <c r="AG712" s="25">
        <v>0</v>
      </c>
      <c r="AH712" s="25">
        <f t="shared" si="129"/>
        <v>2050</v>
      </c>
      <c r="AI712" s="25">
        <f t="shared" si="130"/>
        <v>14</v>
      </c>
      <c r="AJ712" s="25">
        <v>1</v>
      </c>
      <c r="AK712" s="25">
        <v>1000</v>
      </c>
      <c r="AL712" s="25">
        <v>100</v>
      </c>
      <c r="AM712" s="26">
        <v>10</v>
      </c>
      <c r="AN712" s="26">
        <v>10</v>
      </c>
      <c r="AO712" s="22" t="s">
        <v>2211</v>
      </c>
      <c r="AP712" s="26">
        <v>0</v>
      </c>
      <c r="AQ712" s="26">
        <f t="shared" si="131"/>
        <v>280</v>
      </c>
      <c r="AR712" s="18" t="str">
        <f ca="1">CONCATENATE(OFFSET(Sheet1!$A$2,RANDBETWEEN(2,500),0,1,1),OFFSET(Sheet1!$A$2,RANDBETWEEN(2,500),RANDBETWEEN(1,5),1,1))</f>
        <v>吉姆</v>
      </c>
      <c r="AS712">
        <f>SUMPRODUCT(P712:AI712,Sheet2!$B$3:$U$3)</f>
        <v>69635</v>
      </c>
    </row>
    <row r="713" spans="1:45" x14ac:dyDescent="0.15">
      <c r="A713" s="18">
        <v>712</v>
      </c>
      <c r="B713" s="18" t="s">
        <v>487</v>
      </c>
      <c r="C713" s="18">
        <f t="shared" si="121"/>
        <v>144</v>
      </c>
      <c r="D713" s="19">
        <f t="shared" si="122"/>
        <v>2</v>
      </c>
      <c r="E713" s="19">
        <f>VLOOKUP(MOD(A713,4),各职业基础配置!C$32:D$35,2,FALSE)</f>
        <v>1</v>
      </c>
      <c r="F713" s="19">
        <f>IF(A713&lt;900,INDEX(各职业基础配置!C$23:C$28,MOD(ROW(A713),4)+1),0)</f>
        <v>13</v>
      </c>
      <c r="G713" s="19">
        <f t="shared" si="123"/>
        <v>9</v>
      </c>
      <c r="H713" s="27">
        <f t="shared" si="124"/>
        <v>1</v>
      </c>
      <c r="I713" s="6" t="s">
        <v>164</v>
      </c>
      <c r="J713" s="23" t="str">
        <f>VLOOKUP(E713,各职业基础配置!$B$9:$C$12,2,FALSE)</f>
        <v>101|102|103|4201|105</v>
      </c>
      <c r="K713" s="18" t="str">
        <f>VLOOKUP(E713,各职业基础配置!$B$15:$C$18,2,FALSE)</f>
        <v>24|25|26|27</v>
      </c>
      <c r="L713" s="18" t="str">
        <f>VLOOKUP(E713,各职业基础配置!B:C,2,FALSE)</f>
        <v>[{24,1,1},{25,1,1},{26,1,1},{27,1,1},{1,1,1},{2,1,1},{3,1,1}]</v>
      </c>
      <c r="M713" s="18">
        <v>0</v>
      </c>
      <c r="N713" s="18">
        <f t="shared" si="125"/>
        <v>3</v>
      </c>
      <c r="O713" s="18">
        <f>SUMPRODUCT(P713:AI713,Sheet2!$B$3:$U$3)</f>
        <v>69610</v>
      </c>
      <c r="P713" s="18">
        <f>CEILING(INDEX([1]系统模型!$VD:$VD,MATCH(C713,[1]系统模型!$A:$A,0))*POWER(C713/220,3.8)-50+(1000-A713),1)</f>
        <v>1094</v>
      </c>
      <c r="Q713" s="18">
        <f>CEILING(INDEX([1]系统模型!$VE:$VE,MATCH(C713,[1]系统模型!$A:$A,0))*POWER(C713/220,4),1)</f>
        <v>97</v>
      </c>
      <c r="R713" s="18">
        <f>INT(INDEX([1]系统模型!$VF:$VF,MATCH(C713,[1]系统模型!$A:$A,0))*MAX(POWER(C713/180,4),0.5))</f>
        <v>8585</v>
      </c>
      <c r="S713" s="5">
        <v>1000</v>
      </c>
      <c r="T713" s="25">
        <v>0</v>
      </c>
      <c r="U713" s="25">
        <v>0</v>
      </c>
      <c r="V713" s="25">
        <v>0</v>
      </c>
      <c r="W713" s="25">
        <v>0</v>
      </c>
      <c r="X713" s="25">
        <f t="shared" si="126"/>
        <v>429</v>
      </c>
      <c r="Y713" s="12">
        <v>0</v>
      </c>
      <c r="Z713" s="25">
        <v>100</v>
      </c>
      <c r="AA713" s="25">
        <v>150</v>
      </c>
      <c r="AB713" s="25">
        <v>0</v>
      </c>
      <c r="AC713" s="25">
        <v>0</v>
      </c>
      <c r="AD713" s="25">
        <v>0</v>
      </c>
      <c r="AE713" s="25">
        <f t="shared" si="127"/>
        <v>288</v>
      </c>
      <c r="AF713" s="25">
        <f t="shared" si="128"/>
        <v>288</v>
      </c>
      <c r="AG713" s="25">
        <v>0</v>
      </c>
      <c r="AH713" s="25">
        <f t="shared" si="129"/>
        <v>2050</v>
      </c>
      <c r="AI713" s="25">
        <f t="shared" si="130"/>
        <v>14</v>
      </c>
      <c r="AJ713" s="25">
        <v>1</v>
      </c>
      <c r="AK713" s="25">
        <v>1000</v>
      </c>
      <c r="AL713" s="25">
        <v>100</v>
      </c>
      <c r="AM713" s="26">
        <v>10</v>
      </c>
      <c r="AN713" s="26">
        <v>10</v>
      </c>
      <c r="AO713" s="22" t="s">
        <v>2211</v>
      </c>
      <c r="AP713" s="26">
        <v>0</v>
      </c>
      <c r="AQ713" s="26">
        <f t="shared" si="131"/>
        <v>280</v>
      </c>
      <c r="AR713" s="18" t="str">
        <f ca="1">CONCATENATE(OFFSET(Sheet1!$A$2,RANDBETWEEN(2,500),0,1,1),OFFSET(Sheet1!$A$2,RANDBETWEEN(2,500),RANDBETWEEN(1,5),1,1))</f>
        <v>陶丽思</v>
      </c>
      <c r="AS713">
        <f>SUMPRODUCT(P713:AI713,Sheet2!$B$3:$U$3)</f>
        <v>69610</v>
      </c>
    </row>
    <row r="714" spans="1:45" x14ac:dyDescent="0.15">
      <c r="A714" s="18">
        <v>713</v>
      </c>
      <c r="B714" s="18" t="s">
        <v>2102</v>
      </c>
      <c r="C714" s="18">
        <f t="shared" si="121"/>
        <v>144</v>
      </c>
      <c r="D714" s="19">
        <f t="shared" si="122"/>
        <v>3</v>
      </c>
      <c r="E714" s="19">
        <f>VLOOKUP(MOD(A714,4),各职业基础配置!C$32:D$35,2,FALSE)</f>
        <v>3</v>
      </c>
      <c r="F714" s="19">
        <f>IF(A714&lt;900,INDEX(各职业基础配置!C$23:C$28,MOD(ROW(A714),4)+1),0)</f>
        <v>14</v>
      </c>
      <c r="G714" s="19">
        <f t="shared" si="123"/>
        <v>9</v>
      </c>
      <c r="H714" s="27">
        <f t="shared" si="124"/>
        <v>1</v>
      </c>
      <c r="I714" s="6" t="s">
        <v>164</v>
      </c>
      <c r="J714" s="23" t="str">
        <f>VLOOKUP(E714,各职业基础配置!$B$9:$C$12,2,FALSE)</f>
        <v>106|107|108|4201|110</v>
      </c>
      <c r="K714" s="18" t="str">
        <f>VLOOKUP(E714,各职业基础配置!$B$15:$C$18,2,FALSE)</f>
        <v>20|21|22|23</v>
      </c>
      <c r="L714" s="18" t="str">
        <f>VLOOKUP(E714,各职业基础配置!B:C,2,FALSE)</f>
        <v>[{20,1,1},{21,1,1},{22,1,1},{23,1,1},{4,1,1},{5,1,1},{6,1,1}]</v>
      </c>
      <c r="M714" s="18">
        <v>0</v>
      </c>
      <c r="N714" s="18">
        <f t="shared" si="125"/>
        <v>7</v>
      </c>
      <c r="O714" s="18">
        <f>SUMPRODUCT(P714:AI714,Sheet2!$B$3:$U$3)</f>
        <v>69585</v>
      </c>
      <c r="P714" s="18">
        <f>CEILING(INDEX([1]系统模型!$VD:$VD,MATCH(C714,[1]系统模型!$A:$A,0))*POWER(C714/220,3.8)-50+(1000-A714),1)</f>
        <v>1093</v>
      </c>
      <c r="Q714" s="18">
        <f>CEILING(INDEX([1]系统模型!$VE:$VE,MATCH(C714,[1]系统模型!$A:$A,0))*POWER(C714/220,4),1)</f>
        <v>97</v>
      </c>
      <c r="R714" s="18">
        <f>INT(INDEX([1]系统模型!$VF:$VF,MATCH(C714,[1]系统模型!$A:$A,0))*MAX(POWER(C714/180,4),0.5))</f>
        <v>8585</v>
      </c>
      <c r="S714" s="5">
        <v>1000</v>
      </c>
      <c r="T714" s="25">
        <v>0</v>
      </c>
      <c r="U714" s="25">
        <v>0</v>
      </c>
      <c r="V714" s="25">
        <v>0</v>
      </c>
      <c r="W714" s="25">
        <v>0</v>
      </c>
      <c r="X714" s="25">
        <f t="shared" si="126"/>
        <v>429</v>
      </c>
      <c r="Y714" s="12">
        <v>0</v>
      </c>
      <c r="Z714" s="25">
        <v>100</v>
      </c>
      <c r="AA714" s="25">
        <v>150</v>
      </c>
      <c r="AB714" s="25">
        <v>0</v>
      </c>
      <c r="AC714" s="25">
        <v>0</v>
      </c>
      <c r="AD714" s="25">
        <v>0</v>
      </c>
      <c r="AE714" s="25">
        <f t="shared" si="127"/>
        <v>288</v>
      </c>
      <c r="AF714" s="25">
        <f t="shared" si="128"/>
        <v>288</v>
      </c>
      <c r="AG714" s="25">
        <v>0</v>
      </c>
      <c r="AH714" s="25">
        <f t="shared" si="129"/>
        <v>2050</v>
      </c>
      <c r="AI714" s="25">
        <f t="shared" si="130"/>
        <v>14</v>
      </c>
      <c r="AJ714" s="25">
        <v>1</v>
      </c>
      <c r="AK714" s="25">
        <v>1000</v>
      </c>
      <c r="AL714" s="25">
        <v>100</v>
      </c>
      <c r="AM714" s="26">
        <v>10</v>
      </c>
      <c r="AN714" s="26">
        <v>10</v>
      </c>
      <c r="AO714" s="22" t="s">
        <v>2211</v>
      </c>
      <c r="AP714" s="26">
        <v>0</v>
      </c>
      <c r="AQ714" s="26">
        <f t="shared" si="131"/>
        <v>280</v>
      </c>
      <c r="AR714" s="18" t="str">
        <f ca="1">CONCATENATE(OFFSET(Sheet1!$A$2,RANDBETWEEN(2,500),0,1,1),OFFSET(Sheet1!$A$2,RANDBETWEEN(2,500),RANDBETWEEN(1,5),1,1))</f>
        <v>贝洛克</v>
      </c>
      <c r="AS714">
        <f>SUMPRODUCT(P714:AI714,Sheet2!$B$3:$U$3)</f>
        <v>69585</v>
      </c>
    </row>
    <row r="715" spans="1:45" x14ac:dyDescent="0.15">
      <c r="A715" s="23">
        <v>714</v>
      </c>
      <c r="B715" s="18" t="s">
        <v>517</v>
      </c>
      <c r="C715" s="18">
        <f t="shared" si="121"/>
        <v>144</v>
      </c>
      <c r="D715" s="19">
        <f t="shared" si="122"/>
        <v>2</v>
      </c>
      <c r="E715" s="19">
        <f>VLOOKUP(MOD(A715,4),各职业基础配置!C$32:D$35,2,FALSE)</f>
        <v>6</v>
      </c>
      <c r="F715" s="19">
        <f>IF(A715&lt;900,INDEX(各职业基础配置!C$23:C$28,MOD(ROW(A715),4)+1),0)</f>
        <v>16</v>
      </c>
      <c r="G715" s="19">
        <f t="shared" si="123"/>
        <v>9</v>
      </c>
      <c r="H715" s="27">
        <f t="shared" si="124"/>
        <v>1</v>
      </c>
      <c r="I715" s="6" t="s">
        <v>164</v>
      </c>
      <c r="J715" s="23" t="str">
        <f>VLOOKUP(E715,各职业基础配置!$B$9:$C$12,2,FALSE)</f>
        <v>111|112|113|4201|115</v>
      </c>
      <c r="K715" s="18" t="str">
        <f>VLOOKUP(E715,各职业基础配置!$B$15:$C$18,2,FALSE)</f>
        <v>32|33|34</v>
      </c>
      <c r="L715" s="18" t="str">
        <f>VLOOKUP(E715,各职业基础配置!B:C,2,FALSE)</f>
        <v>[{32,1,1},{33,1,1},{34,1,1},{35,1,1},{7,1,1},{8,1,1},{9,1,1}]</v>
      </c>
      <c r="M715" s="18">
        <v>0</v>
      </c>
      <c r="N715" s="18">
        <f t="shared" si="125"/>
        <v>7</v>
      </c>
      <c r="O715" s="18">
        <f>SUMPRODUCT(P715:AI715,Sheet2!$B$3:$U$3)</f>
        <v>69560</v>
      </c>
      <c r="P715" s="18">
        <f>CEILING(INDEX([1]系统模型!$VD:$VD,MATCH(C715,[1]系统模型!$A:$A,0))*POWER(C715/220,3.8)-50+(1000-A715),1)</f>
        <v>1092</v>
      </c>
      <c r="Q715" s="18">
        <f>CEILING(INDEX([1]系统模型!$VE:$VE,MATCH(C715,[1]系统模型!$A:$A,0))*POWER(C715/220,4),1)</f>
        <v>97</v>
      </c>
      <c r="R715" s="18">
        <f>INT(INDEX([1]系统模型!$VF:$VF,MATCH(C715,[1]系统模型!$A:$A,0))*MAX(POWER(C715/180,4),0.5))</f>
        <v>8585</v>
      </c>
      <c r="S715" s="5">
        <v>1000</v>
      </c>
      <c r="T715" s="25">
        <v>0</v>
      </c>
      <c r="U715" s="25">
        <v>0</v>
      </c>
      <c r="V715" s="25">
        <v>0</v>
      </c>
      <c r="W715" s="25">
        <v>0</v>
      </c>
      <c r="X715" s="25">
        <f t="shared" si="126"/>
        <v>429</v>
      </c>
      <c r="Y715" s="12">
        <v>0</v>
      </c>
      <c r="Z715" s="25">
        <v>100</v>
      </c>
      <c r="AA715" s="25">
        <v>150</v>
      </c>
      <c r="AB715" s="25">
        <v>0</v>
      </c>
      <c r="AC715" s="25">
        <v>0</v>
      </c>
      <c r="AD715" s="25">
        <v>0</v>
      </c>
      <c r="AE715" s="25">
        <f t="shared" si="127"/>
        <v>288</v>
      </c>
      <c r="AF715" s="25">
        <f t="shared" si="128"/>
        <v>288</v>
      </c>
      <c r="AG715" s="25">
        <v>0</v>
      </c>
      <c r="AH715" s="25">
        <f t="shared" si="129"/>
        <v>2050</v>
      </c>
      <c r="AI715" s="25">
        <f t="shared" si="130"/>
        <v>14</v>
      </c>
      <c r="AJ715" s="25">
        <v>1</v>
      </c>
      <c r="AK715" s="25">
        <v>1000</v>
      </c>
      <c r="AL715" s="25">
        <v>100</v>
      </c>
      <c r="AM715" s="26">
        <v>10</v>
      </c>
      <c r="AN715" s="26">
        <v>10</v>
      </c>
      <c r="AO715" s="22" t="s">
        <v>2211</v>
      </c>
      <c r="AP715" s="26">
        <v>0</v>
      </c>
      <c r="AQ715" s="26">
        <f t="shared" si="131"/>
        <v>280</v>
      </c>
      <c r="AR715" s="18" t="str">
        <f ca="1">CONCATENATE(OFFSET(Sheet1!$A$2,RANDBETWEEN(2,500),0,1,1),OFFSET(Sheet1!$A$2,RANDBETWEEN(2,500),RANDBETWEEN(1,5),1,1))</f>
        <v>鲍勃</v>
      </c>
      <c r="AS715">
        <f>SUMPRODUCT(P715:AI715,Sheet2!$B$3:$U$3)</f>
        <v>69560</v>
      </c>
    </row>
    <row r="716" spans="1:45" x14ac:dyDescent="0.15">
      <c r="A716" s="18">
        <v>715</v>
      </c>
      <c r="B716" s="18" t="s">
        <v>2103</v>
      </c>
      <c r="C716" s="18">
        <f t="shared" si="121"/>
        <v>144</v>
      </c>
      <c r="D716" s="19">
        <f t="shared" si="122"/>
        <v>3</v>
      </c>
      <c r="E716" s="19">
        <f>VLOOKUP(MOD(A716,4),各职业基础配置!C$32:D$35,2,FALSE)</f>
        <v>9</v>
      </c>
      <c r="F716" s="19">
        <f>IF(A716&lt;900,INDEX(各职业基础配置!C$23:C$28,MOD(ROW(A716),4)+1),0)</f>
        <v>8</v>
      </c>
      <c r="G716" s="19">
        <f t="shared" si="123"/>
        <v>9</v>
      </c>
      <c r="H716" s="27">
        <f t="shared" si="124"/>
        <v>1</v>
      </c>
      <c r="I716" s="6" t="s">
        <v>164</v>
      </c>
      <c r="J716" s="23" t="str">
        <f>VLOOKUP(E716,各职业基础配置!$B$9:$C$12,2,FALSE)</f>
        <v>116|117|118|4201|120</v>
      </c>
      <c r="K716" s="18" t="str">
        <f>VLOOKUP(E716,各职业基础配置!$B$15:$C$18,2,FALSE)</f>
        <v>28|29|30|31</v>
      </c>
      <c r="L716" s="18" t="str">
        <f>VLOOKUP(E716,各职业基础配置!B:C,2,FALSE)</f>
        <v>[{28,1,1},{29,1,1},{30,1,1},{31,1,1},{10,1,1},{11,1,1},{12,1,1}]</v>
      </c>
      <c r="M716" s="18">
        <v>0</v>
      </c>
      <c r="N716" s="18">
        <f t="shared" si="125"/>
        <v>3</v>
      </c>
      <c r="O716" s="18">
        <f>SUMPRODUCT(P716:AI716,Sheet2!$B$3:$U$3)</f>
        <v>69535</v>
      </c>
      <c r="P716" s="18">
        <f>CEILING(INDEX([1]系统模型!$VD:$VD,MATCH(C716,[1]系统模型!$A:$A,0))*POWER(C716/220,3.8)-50+(1000-A716),1)</f>
        <v>1091</v>
      </c>
      <c r="Q716" s="18">
        <f>CEILING(INDEX([1]系统模型!$VE:$VE,MATCH(C716,[1]系统模型!$A:$A,0))*POWER(C716/220,4),1)</f>
        <v>97</v>
      </c>
      <c r="R716" s="18">
        <f>INT(INDEX([1]系统模型!$VF:$VF,MATCH(C716,[1]系统模型!$A:$A,0))*MAX(POWER(C716/180,4),0.5))</f>
        <v>8585</v>
      </c>
      <c r="S716" s="5">
        <v>1000</v>
      </c>
      <c r="T716" s="25">
        <v>0</v>
      </c>
      <c r="U716" s="25">
        <v>0</v>
      </c>
      <c r="V716" s="25">
        <v>0</v>
      </c>
      <c r="W716" s="25">
        <v>0</v>
      </c>
      <c r="X716" s="25">
        <f t="shared" si="126"/>
        <v>429</v>
      </c>
      <c r="Y716" s="12">
        <v>0</v>
      </c>
      <c r="Z716" s="25">
        <v>100</v>
      </c>
      <c r="AA716" s="25">
        <v>150</v>
      </c>
      <c r="AB716" s="25">
        <v>0</v>
      </c>
      <c r="AC716" s="25">
        <v>0</v>
      </c>
      <c r="AD716" s="25">
        <v>0</v>
      </c>
      <c r="AE716" s="25">
        <f t="shared" si="127"/>
        <v>288</v>
      </c>
      <c r="AF716" s="25">
        <f t="shared" si="128"/>
        <v>288</v>
      </c>
      <c r="AG716" s="25">
        <v>0</v>
      </c>
      <c r="AH716" s="25">
        <f t="shared" si="129"/>
        <v>2050</v>
      </c>
      <c r="AI716" s="25">
        <f t="shared" si="130"/>
        <v>14</v>
      </c>
      <c r="AJ716" s="25">
        <v>1</v>
      </c>
      <c r="AK716" s="25">
        <v>1000</v>
      </c>
      <c r="AL716" s="25">
        <v>100</v>
      </c>
      <c r="AM716" s="26">
        <v>10</v>
      </c>
      <c r="AN716" s="26">
        <v>10</v>
      </c>
      <c r="AO716" s="22" t="s">
        <v>2211</v>
      </c>
      <c r="AP716" s="26">
        <v>0</v>
      </c>
      <c r="AQ716" s="26">
        <f t="shared" si="131"/>
        <v>280</v>
      </c>
      <c r="AR716" s="18" t="str">
        <f ca="1">CONCATENATE(OFFSET(Sheet1!$A$2,RANDBETWEEN(2,500),0,1,1),OFFSET(Sheet1!$A$2,RANDBETWEEN(2,500),RANDBETWEEN(1,5),1,1))</f>
        <v>多德</v>
      </c>
      <c r="AS716">
        <f>SUMPRODUCT(P716:AI716,Sheet2!$B$3:$U$3)</f>
        <v>69535</v>
      </c>
    </row>
    <row r="717" spans="1:45" x14ac:dyDescent="0.15">
      <c r="A717" s="18">
        <v>716</v>
      </c>
      <c r="B717" s="18" t="s">
        <v>1343</v>
      </c>
      <c r="C717" s="18">
        <f t="shared" si="121"/>
        <v>144</v>
      </c>
      <c r="D717" s="19">
        <f t="shared" si="122"/>
        <v>2</v>
      </c>
      <c r="E717" s="19">
        <f>VLOOKUP(MOD(A717,4),各职业基础配置!C$32:D$35,2,FALSE)</f>
        <v>1</v>
      </c>
      <c r="F717" s="19">
        <f>IF(A717&lt;900,INDEX(各职业基础配置!C$23:C$28,MOD(ROW(A717),4)+1),0)</f>
        <v>13</v>
      </c>
      <c r="G717" s="19">
        <f t="shared" si="123"/>
        <v>9</v>
      </c>
      <c r="H717" s="27">
        <f t="shared" si="124"/>
        <v>1</v>
      </c>
      <c r="I717" s="6" t="s">
        <v>164</v>
      </c>
      <c r="J717" s="23" t="str">
        <f>VLOOKUP(E717,各职业基础配置!$B$9:$C$12,2,FALSE)</f>
        <v>101|102|103|4201|105</v>
      </c>
      <c r="K717" s="18" t="str">
        <f>VLOOKUP(E717,各职业基础配置!$B$15:$C$18,2,FALSE)</f>
        <v>24|25|26|27</v>
      </c>
      <c r="L717" s="18" t="str">
        <f>VLOOKUP(E717,各职业基础配置!B:C,2,FALSE)</f>
        <v>[{24,1,1},{25,1,1},{26,1,1},{27,1,1},{1,1,1},{2,1,1},{3,1,1}]</v>
      </c>
      <c r="M717" s="18">
        <v>0</v>
      </c>
      <c r="N717" s="18">
        <f t="shared" si="125"/>
        <v>3</v>
      </c>
      <c r="O717" s="18">
        <f>SUMPRODUCT(P717:AI717,Sheet2!$B$3:$U$3)</f>
        <v>69510</v>
      </c>
      <c r="P717" s="18">
        <f>CEILING(INDEX([1]系统模型!$VD:$VD,MATCH(C717,[1]系统模型!$A:$A,0))*POWER(C717/220,3.8)-50+(1000-A717),1)</f>
        <v>1090</v>
      </c>
      <c r="Q717" s="18">
        <f>CEILING(INDEX([1]系统模型!$VE:$VE,MATCH(C717,[1]系统模型!$A:$A,0))*POWER(C717/220,4),1)</f>
        <v>97</v>
      </c>
      <c r="R717" s="18">
        <f>INT(INDEX([1]系统模型!$VF:$VF,MATCH(C717,[1]系统模型!$A:$A,0))*MAX(POWER(C717/180,4),0.5))</f>
        <v>8585</v>
      </c>
      <c r="S717" s="5">
        <v>1000</v>
      </c>
      <c r="T717" s="25">
        <v>0</v>
      </c>
      <c r="U717" s="25">
        <v>0</v>
      </c>
      <c r="V717" s="25">
        <v>0</v>
      </c>
      <c r="W717" s="25">
        <v>0</v>
      </c>
      <c r="X717" s="25">
        <f t="shared" si="126"/>
        <v>429</v>
      </c>
      <c r="Y717" s="12">
        <v>0</v>
      </c>
      <c r="Z717" s="25">
        <v>100</v>
      </c>
      <c r="AA717" s="25">
        <v>150</v>
      </c>
      <c r="AB717" s="25">
        <v>0</v>
      </c>
      <c r="AC717" s="25">
        <v>0</v>
      </c>
      <c r="AD717" s="25">
        <v>0</v>
      </c>
      <c r="AE717" s="25">
        <f t="shared" si="127"/>
        <v>288</v>
      </c>
      <c r="AF717" s="25">
        <f t="shared" si="128"/>
        <v>288</v>
      </c>
      <c r="AG717" s="25">
        <v>0</v>
      </c>
      <c r="AH717" s="25">
        <f t="shared" si="129"/>
        <v>2050</v>
      </c>
      <c r="AI717" s="25">
        <f t="shared" si="130"/>
        <v>14</v>
      </c>
      <c r="AJ717" s="25">
        <v>1</v>
      </c>
      <c r="AK717" s="25">
        <v>1000</v>
      </c>
      <c r="AL717" s="25">
        <v>100</v>
      </c>
      <c r="AM717" s="26">
        <v>10</v>
      </c>
      <c r="AN717" s="26">
        <v>10</v>
      </c>
      <c r="AO717" s="22" t="s">
        <v>2211</v>
      </c>
      <c r="AP717" s="26">
        <v>0</v>
      </c>
      <c r="AQ717" s="26">
        <f t="shared" si="131"/>
        <v>270</v>
      </c>
      <c r="AR717" s="18" t="str">
        <f ca="1">CONCATENATE(OFFSET(Sheet1!$A$2,RANDBETWEEN(2,500),0,1,1),OFFSET(Sheet1!$A$2,RANDBETWEEN(2,500),RANDBETWEEN(1,5),1,1))</f>
        <v>布莱克</v>
      </c>
      <c r="AS717">
        <f>SUMPRODUCT(P717:AI717,Sheet2!$B$3:$U$3)</f>
        <v>69510</v>
      </c>
    </row>
    <row r="718" spans="1:45" x14ac:dyDescent="0.15">
      <c r="A718" s="23">
        <v>717</v>
      </c>
      <c r="B718" s="18" t="s">
        <v>2104</v>
      </c>
      <c r="C718" s="18">
        <f t="shared" si="121"/>
        <v>143</v>
      </c>
      <c r="D718" s="19">
        <f t="shared" si="122"/>
        <v>3</v>
      </c>
      <c r="E718" s="19">
        <f>VLOOKUP(MOD(A718,4),各职业基础配置!C$32:D$35,2,FALSE)</f>
        <v>3</v>
      </c>
      <c r="F718" s="19">
        <f>IF(A718&lt;900,INDEX(各职业基础配置!C$23:C$28,MOD(ROW(A718),4)+1),0)</f>
        <v>14</v>
      </c>
      <c r="G718" s="19">
        <f t="shared" si="123"/>
        <v>8</v>
      </c>
      <c r="H718" s="27">
        <f t="shared" si="124"/>
        <v>1</v>
      </c>
      <c r="I718" s="6" t="s">
        <v>164</v>
      </c>
      <c r="J718" s="23" t="str">
        <f>VLOOKUP(E718,各职业基础配置!$B$9:$C$12,2,FALSE)</f>
        <v>106|107|108|4201|110</v>
      </c>
      <c r="K718" s="18" t="str">
        <f>VLOOKUP(E718,各职业基础配置!$B$15:$C$18,2,FALSE)</f>
        <v>20|21|22|23</v>
      </c>
      <c r="L718" s="18" t="str">
        <f>VLOOKUP(E718,各职业基础配置!B:C,2,FALSE)</f>
        <v>[{20,1,1},{21,1,1},{22,1,1},{23,1,1},{4,1,1},{5,1,1},{6,1,1}]</v>
      </c>
      <c r="M718" s="18">
        <v>0</v>
      </c>
      <c r="N718" s="18">
        <f t="shared" si="125"/>
        <v>7</v>
      </c>
      <c r="O718" s="18">
        <f>SUMPRODUCT(P718:AI718,Sheet2!$B$3:$U$3)</f>
        <v>68173</v>
      </c>
      <c r="P718" s="18">
        <f>CEILING(INDEX([1]系统模型!$VD:$VD,MATCH(C718,[1]系统模型!$A:$A,0))*POWER(C718/220,3.8)-50+(1000-A718),1)</f>
        <v>1062</v>
      </c>
      <c r="Q718" s="18">
        <f>CEILING(INDEX([1]系统模型!$VE:$VE,MATCH(C718,[1]系统模型!$A:$A,0))*POWER(C718/220,4),1)</f>
        <v>94</v>
      </c>
      <c r="R718" s="18">
        <f>INT(INDEX([1]系统模型!$VF:$VF,MATCH(C718,[1]系统模型!$A:$A,0))*MAX(POWER(C718/180,4),0.5))</f>
        <v>8498</v>
      </c>
      <c r="S718" s="5">
        <v>1000</v>
      </c>
      <c r="T718" s="25">
        <v>0</v>
      </c>
      <c r="U718" s="25">
        <v>0</v>
      </c>
      <c r="V718" s="25">
        <v>0</v>
      </c>
      <c r="W718" s="25">
        <v>0</v>
      </c>
      <c r="X718" s="25">
        <f t="shared" si="126"/>
        <v>424</v>
      </c>
      <c r="Y718" s="12">
        <v>0</v>
      </c>
      <c r="Z718" s="25">
        <v>100</v>
      </c>
      <c r="AA718" s="25">
        <v>150</v>
      </c>
      <c r="AB718" s="25">
        <v>0</v>
      </c>
      <c r="AC718" s="25">
        <v>0</v>
      </c>
      <c r="AD718" s="25">
        <v>0</v>
      </c>
      <c r="AE718" s="25">
        <f t="shared" si="127"/>
        <v>286</v>
      </c>
      <c r="AF718" s="25">
        <f t="shared" si="128"/>
        <v>286</v>
      </c>
      <c r="AG718" s="25">
        <v>0</v>
      </c>
      <c r="AH718" s="25">
        <f t="shared" si="129"/>
        <v>1975</v>
      </c>
      <c r="AI718" s="25">
        <f t="shared" si="130"/>
        <v>14</v>
      </c>
      <c r="AJ718" s="25">
        <v>1</v>
      </c>
      <c r="AK718" s="25">
        <v>1000</v>
      </c>
      <c r="AL718" s="25">
        <v>100</v>
      </c>
      <c r="AM718" s="26">
        <v>10</v>
      </c>
      <c r="AN718" s="26">
        <v>10</v>
      </c>
      <c r="AO718" s="22" t="s">
        <v>2211</v>
      </c>
      <c r="AP718" s="26">
        <v>0</v>
      </c>
      <c r="AQ718" s="26">
        <f t="shared" si="131"/>
        <v>270</v>
      </c>
      <c r="AR718" s="18" t="str">
        <f ca="1">CONCATENATE(OFFSET(Sheet1!$A$2,RANDBETWEEN(2,500),0,1,1),OFFSET(Sheet1!$A$2,RANDBETWEEN(2,500),RANDBETWEEN(1,5),1,1))</f>
        <v>赫德森</v>
      </c>
      <c r="AS718">
        <f>SUMPRODUCT(P718:AI718,Sheet2!$B$3:$U$3)</f>
        <v>68173</v>
      </c>
    </row>
    <row r="719" spans="1:45" x14ac:dyDescent="0.15">
      <c r="A719" s="18">
        <v>718</v>
      </c>
      <c r="B719" s="18" t="s">
        <v>1218</v>
      </c>
      <c r="C719" s="18">
        <f t="shared" si="121"/>
        <v>143</v>
      </c>
      <c r="D719" s="19">
        <f t="shared" si="122"/>
        <v>2</v>
      </c>
      <c r="E719" s="19">
        <f>VLOOKUP(MOD(A719,4),各职业基础配置!C$32:D$35,2,FALSE)</f>
        <v>6</v>
      </c>
      <c r="F719" s="19">
        <f>IF(A719&lt;900,INDEX(各职业基础配置!C$23:C$28,MOD(ROW(A719),4)+1),0)</f>
        <v>16</v>
      </c>
      <c r="G719" s="19">
        <f t="shared" si="123"/>
        <v>8</v>
      </c>
      <c r="H719" s="27">
        <f t="shared" si="124"/>
        <v>1</v>
      </c>
      <c r="I719" s="6" t="s">
        <v>164</v>
      </c>
      <c r="J719" s="23" t="str">
        <f>VLOOKUP(E719,各职业基础配置!$B$9:$C$12,2,FALSE)</f>
        <v>111|112|113|4201|115</v>
      </c>
      <c r="K719" s="18" t="str">
        <f>VLOOKUP(E719,各职业基础配置!$B$15:$C$18,2,FALSE)</f>
        <v>32|33|34</v>
      </c>
      <c r="L719" s="18" t="str">
        <f>VLOOKUP(E719,各职业基础配置!B:C,2,FALSE)</f>
        <v>[{32,1,1},{33,1,1},{34,1,1},{35,1,1},{7,1,1},{8,1,1},{9,1,1}]</v>
      </c>
      <c r="M719" s="18">
        <v>0</v>
      </c>
      <c r="N719" s="18">
        <f t="shared" si="125"/>
        <v>7</v>
      </c>
      <c r="O719" s="18">
        <f>SUMPRODUCT(P719:AI719,Sheet2!$B$3:$U$3)</f>
        <v>68148</v>
      </c>
      <c r="P719" s="18">
        <f>CEILING(INDEX([1]系统模型!$VD:$VD,MATCH(C719,[1]系统模型!$A:$A,0))*POWER(C719/220,3.8)-50+(1000-A719),1)</f>
        <v>1061</v>
      </c>
      <c r="Q719" s="18">
        <f>CEILING(INDEX([1]系统模型!$VE:$VE,MATCH(C719,[1]系统模型!$A:$A,0))*POWER(C719/220,4),1)</f>
        <v>94</v>
      </c>
      <c r="R719" s="18">
        <f>INT(INDEX([1]系统模型!$VF:$VF,MATCH(C719,[1]系统模型!$A:$A,0))*MAX(POWER(C719/180,4),0.5))</f>
        <v>8498</v>
      </c>
      <c r="S719" s="5">
        <v>1000</v>
      </c>
      <c r="T719" s="25">
        <v>0</v>
      </c>
      <c r="U719" s="25">
        <v>0</v>
      </c>
      <c r="V719" s="25">
        <v>0</v>
      </c>
      <c r="W719" s="25">
        <v>0</v>
      </c>
      <c r="X719" s="25">
        <f t="shared" si="126"/>
        <v>424</v>
      </c>
      <c r="Y719" s="12">
        <v>0</v>
      </c>
      <c r="Z719" s="25">
        <v>100</v>
      </c>
      <c r="AA719" s="25">
        <v>150</v>
      </c>
      <c r="AB719" s="25">
        <v>0</v>
      </c>
      <c r="AC719" s="25">
        <v>0</v>
      </c>
      <c r="AD719" s="25">
        <v>0</v>
      </c>
      <c r="AE719" s="25">
        <f t="shared" si="127"/>
        <v>286</v>
      </c>
      <c r="AF719" s="25">
        <f t="shared" si="128"/>
        <v>286</v>
      </c>
      <c r="AG719" s="25">
        <v>0</v>
      </c>
      <c r="AH719" s="25">
        <f t="shared" si="129"/>
        <v>1975</v>
      </c>
      <c r="AI719" s="25">
        <f t="shared" si="130"/>
        <v>14</v>
      </c>
      <c r="AJ719" s="25">
        <v>1</v>
      </c>
      <c r="AK719" s="25">
        <v>1000</v>
      </c>
      <c r="AL719" s="25">
        <v>100</v>
      </c>
      <c r="AM719" s="26">
        <v>10</v>
      </c>
      <c r="AN719" s="26">
        <v>10</v>
      </c>
      <c r="AO719" s="22" t="s">
        <v>2211</v>
      </c>
      <c r="AP719" s="26">
        <v>0</v>
      </c>
      <c r="AQ719" s="26">
        <f t="shared" si="131"/>
        <v>270</v>
      </c>
      <c r="AR719" s="18" t="str">
        <f ca="1">CONCATENATE(OFFSET(Sheet1!$A$2,RANDBETWEEN(2,500),0,1,1),OFFSET(Sheet1!$A$2,RANDBETWEEN(2,500),RANDBETWEEN(1,5),1,1))</f>
        <v>约翰逊</v>
      </c>
      <c r="AS719">
        <f>SUMPRODUCT(P719:AI719,Sheet2!$B$3:$U$3)</f>
        <v>68148</v>
      </c>
    </row>
    <row r="720" spans="1:45" x14ac:dyDescent="0.15">
      <c r="A720" s="18">
        <v>719</v>
      </c>
      <c r="B720" s="18" t="s">
        <v>232</v>
      </c>
      <c r="C720" s="18">
        <f t="shared" si="121"/>
        <v>143</v>
      </c>
      <c r="D720" s="19">
        <f t="shared" si="122"/>
        <v>3</v>
      </c>
      <c r="E720" s="19">
        <f>VLOOKUP(MOD(A720,4),各职业基础配置!C$32:D$35,2,FALSE)</f>
        <v>9</v>
      </c>
      <c r="F720" s="19">
        <f>IF(A720&lt;900,INDEX(各职业基础配置!C$23:C$28,MOD(ROW(A720),4)+1),0)</f>
        <v>8</v>
      </c>
      <c r="G720" s="19">
        <f t="shared" si="123"/>
        <v>8</v>
      </c>
      <c r="H720" s="27">
        <f t="shared" si="124"/>
        <v>1</v>
      </c>
      <c r="I720" s="6" t="s">
        <v>164</v>
      </c>
      <c r="J720" s="23" t="str">
        <f>VLOOKUP(E720,各职业基础配置!$B$9:$C$12,2,FALSE)</f>
        <v>116|117|118|4201|120</v>
      </c>
      <c r="K720" s="18" t="str">
        <f>VLOOKUP(E720,各职业基础配置!$B$15:$C$18,2,FALSE)</f>
        <v>28|29|30|31</v>
      </c>
      <c r="L720" s="18" t="str">
        <f>VLOOKUP(E720,各职业基础配置!B:C,2,FALSE)</f>
        <v>[{28,1,1},{29,1,1},{30,1,1},{31,1,1},{10,1,1},{11,1,1},{12,1,1}]</v>
      </c>
      <c r="M720" s="18">
        <v>0</v>
      </c>
      <c r="N720" s="18">
        <f t="shared" si="125"/>
        <v>3</v>
      </c>
      <c r="O720" s="18">
        <f>SUMPRODUCT(P720:AI720,Sheet2!$B$3:$U$3)</f>
        <v>68123</v>
      </c>
      <c r="P720" s="18">
        <f>CEILING(INDEX([1]系统模型!$VD:$VD,MATCH(C720,[1]系统模型!$A:$A,0))*POWER(C720/220,3.8)-50+(1000-A720),1)</f>
        <v>1060</v>
      </c>
      <c r="Q720" s="18">
        <f>CEILING(INDEX([1]系统模型!$VE:$VE,MATCH(C720,[1]系统模型!$A:$A,0))*POWER(C720/220,4),1)</f>
        <v>94</v>
      </c>
      <c r="R720" s="18">
        <f>INT(INDEX([1]系统模型!$VF:$VF,MATCH(C720,[1]系统模型!$A:$A,0))*MAX(POWER(C720/180,4),0.5))</f>
        <v>8498</v>
      </c>
      <c r="S720" s="5">
        <v>1000</v>
      </c>
      <c r="T720" s="25">
        <v>0</v>
      </c>
      <c r="U720" s="25">
        <v>0</v>
      </c>
      <c r="V720" s="25">
        <v>0</v>
      </c>
      <c r="W720" s="25">
        <v>0</v>
      </c>
      <c r="X720" s="25">
        <f t="shared" si="126"/>
        <v>424</v>
      </c>
      <c r="Y720" s="12">
        <v>0</v>
      </c>
      <c r="Z720" s="25">
        <v>100</v>
      </c>
      <c r="AA720" s="25">
        <v>150</v>
      </c>
      <c r="AB720" s="25">
        <v>0</v>
      </c>
      <c r="AC720" s="25">
        <v>0</v>
      </c>
      <c r="AD720" s="25">
        <v>0</v>
      </c>
      <c r="AE720" s="25">
        <f t="shared" si="127"/>
        <v>286</v>
      </c>
      <c r="AF720" s="25">
        <f t="shared" si="128"/>
        <v>286</v>
      </c>
      <c r="AG720" s="25">
        <v>0</v>
      </c>
      <c r="AH720" s="25">
        <f t="shared" si="129"/>
        <v>1975</v>
      </c>
      <c r="AI720" s="25">
        <f t="shared" si="130"/>
        <v>14</v>
      </c>
      <c r="AJ720" s="25">
        <v>1</v>
      </c>
      <c r="AK720" s="25">
        <v>1000</v>
      </c>
      <c r="AL720" s="25">
        <v>100</v>
      </c>
      <c r="AM720" s="26">
        <v>10</v>
      </c>
      <c r="AN720" s="26">
        <v>10</v>
      </c>
      <c r="AO720" s="22" t="s">
        <v>2211</v>
      </c>
      <c r="AP720" s="26">
        <v>0</v>
      </c>
      <c r="AQ720" s="26">
        <f t="shared" si="131"/>
        <v>270</v>
      </c>
      <c r="AR720" s="18" t="str">
        <f ca="1">CONCATENATE(OFFSET(Sheet1!$A$2,RANDBETWEEN(2,500),0,1,1),OFFSET(Sheet1!$A$2,RANDBETWEEN(2,500),RANDBETWEEN(1,5),1,1))</f>
        <v>卡拉米</v>
      </c>
      <c r="AS720">
        <f>SUMPRODUCT(P720:AI720,Sheet2!$B$3:$U$3)</f>
        <v>68123</v>
      </c>
    </row>
    <row r="721" spans="1:45" x14ac:dyDescent="0.15">
      <c r="A721" s="23">
        <v>720</v>
      </c>
      <c r="B721" s="18" t="s">
        <v>464</v>
      </c>
      <c r="C721" s="18">
        <f t="shared" si="121"/>
        <v>143</v>
      </c>
      <c r="D721" s="19">
        <f t="shared" si="122"/>
        <v>2</v>
      </c>
      <c r="E721" s="19">
        <f>VLOOKUP(MOD(A721,4),各职业基础配置!C$32:D$35,2,FALSE)</f>
        <v>1</v>
      </c>
      <c r="F721" s="19">
        <f>IF(A721&lt;900,INDEX(各职业基础配置!C$23:C$28,MOD(ROW(A721),4)+1),0)</f>
        <v>13</v>
      </c>
      <c r="G721" s="19">
        <f t="shared" si="123"/>
        <v>8</v>
      </c>
      <c r="H721" s="27">
        <f t="shared" si="124"/>
        <v>1</v>
      </c>
      <c r="I721" s="6" t="s">
        <v>164</v>
      </c>
      <c r="J721" s="23" t="str">
        <f>VLOOKUP(E721,各职业基础配置!$B$9:$C$12,2,FALSE)</f>
        <v>101|102|103|4201|105</v>
      </c>
      <c r="K721" s="18" t="str">
        <f>VLOOKUP(E721,各职业基础配置!$B$15:$C$18,2,FALSE)</f>
        <v>24|25|26|27</v>
      </c>
      <c r="L721" s="18" t="str">
        <f>VLOOKUP(E721,各职业基础配置!B:C,2,FALSE)</f>
        <v>[{24,1,1},{25,1,1},{26,1,1},{27,1,1},{1,1,1},{2,1,1},{3,1,1}]</v>
      </c>
      <c r="M721" s="18">
        <v>0</v>
      </c>
      <c r="N721" s="18">
        <f t="shared" si="125"/>
        <v>3</v>
      </c>
      <c r="O721" s="18">
        <f>SUMPRODUCT(P721:AI721,Sheet2!$B$3:$U$3)</f>
        <v>68098</v>
      </c>
      <c r="P721" s="18">
        <f>CEILING(INDEX([1]系统模型!$VD:$VD,MATCH(C721,[1]系统模型!$A:$A,0))*POWER(C721/220,3.8)-50+(1000-A721),1)</f>
        <v>1059</v>
      </c>
      <c r="Q721" s="18">
        <f>CEILING(INDEX([1]系统模型!$VE:$VE,MATCH(C721,[1]系统模型!$A:$A,0))*POWER(C721/220,4),1)</f>
        <v>94</v>
      </c>
      <c r="R721" s="18">
        <f>INT(INDEX([1]系统模型!$VF:$VF,MATCH(C721,[1]系统模型!$A:$A,0))*MAX(POWER(C721/180,4),0.5))</f>
        <v>8498</v>
      </c>
      <c r="S721" s="5">
        <v>1000</v>
      </c>
      <c r="T721" s="25">
        <v>0</v>
      </c>
      <c r="U721" s="25">
        <v>0</v>
      </c>
      <c r="V721" s="25">
        <v>0</v>
      </c>
      <c r="W721" s="25">
        <v>0</v>
      </c>
      <c r="X721" s="25">
        <f t="shared" si="126"/>
        <v>424</v>
      </c>
      <c r="Y721" s="12">
        <v>0</v>
      </c>
      <c r="Z721" s="25">
        <v>100</v>
      </c>
      <c r="AA721" s="25">
        <v>150</v>
      </c>
      <c r="AB721" s="25">
        <v>0</v>
      </c>
      <c r="AC721" s="25">
        <v>0</v>
      </c>
      <c r="AD721" s="25">
        <v>0</v>
      </c>
      <c r="AE721" s="25">
        <f t="shared" si="127"/>
        <v>286</v>
      </c>
      <c r="AF721" s="25">
        <f t="shared" si="128"/>
        <v>286</v>
      </c>
      <c r="AG721" s="25">
        <v>0</v>
      </c>
      <c r="AH721" s="25">
        <f t="shared" si="129"/>
        <v>1975</v>
      </c>
      <c r="AI721" s="25">
        <f t="shared" si="130"/>
        <v>14</v>
      </c>
      <c r="AJ721" s="25">
        <v>1</v>
      </c>
      <c r="AK721" s="25">
        <v>1000</v>
      </c>
      <c r="AL721" s="25">
        <v>100</v>
      </c>
      <c r="AM721" s="26">
        <v>10</v>
      </c>
      <c r="AN721" s="26">
        <v>10</v>
      </c>
      <c r="AO721" s="22" t="s">
        <v>2211</v>
      </c>
      <c r="AP721" s="26">
        <v>0</v>
      </c>
      <c r="AQ721" s="26">
        <f t="shared" si="131"/>
        <v>270</v>
      </c>
      <c r="AR721" s="18" t="str">
        <f ca="1">CONCATENATE(OFFSET(Sheet1!$A$2,RANDBETWEEN(2,500),0,1,1),OFFSET(Sheet1!$A$2,RANDBETWEEN(2,500),RANDBETWEEN(1,5),1,1))</f>
        <v>霍布斯埃拉</v>
      </c>
      <c r="AS721">
        <f>SUMPRODUCT(P721:AI721,Sheet2!$B$3:$U$3)</f>
        <v>68098</v>
      </c>
    </row>
    <row r="722" spans="1:45" x14ac:dyDescent="0.15">
      <c r="A722" s="18">
        <v>721</v>
      </c>
      <c r="B722" s="18" t="s">
        <v>2105</v>
      </c>
      <c r="C722" s="18">
        <f t="shared" si="121"/>
        <v>143</v>
      </c>
      <c r="D722" s="19">
        <f t="shared" si="122"/>
        <v>3</v>
      </c>
      <c r="E722" s="19">
        <f>VLOOKUP(MOD(A722,4),各职业基础配置!C$32:D$35,2,FALSE)</f>
        <v>3</v>
      </c>
      <c r="F722" s="19">
        <f>IF(A722&lt;900,INDEX(各职业基础配置!C$23:C$28,MOD(ROW(A722),4)+1),0)</f>
        <v>14</v>
      </c>
      <c r="G722" s="19">
        <f t="shared" si="123"/>
        <v>8</v>
      </c>
      <c r="H722" s="27">
        <f t="shared" si="124"/>
        <v>1</v>
      </c>
      <c r="I722" s="6" t="s">
        <v>164</v>
      </c>
      <c r="J722" s="23" t="str">
        <f>VLOOKUP(E722,各职业基础配置!$B$9:$C$12,2,FALSE)</f>
        <v>106|107|108|4201|110</v>
      </c>
      <c r="K722" s="18" t="str">
        <f>VLOOKUP(E722,各职业基础配置!$B$15:$C$18,2,FALSE)</f>
        <v>20|21|22|23</v>
      </c>
      <c r="L722" s="18" t="str">
        <f>VLOOKUP(E722,各职业基础配置!B:C,2,FALSE)</f>
        <v>[{20,1,1},{21,1,1},{22,1,1},{23,1,1},{4,1,1},{5,1,1},{6,1,1}]</v>
      </c>
      <c r="M722" s="18">
        <v>0</v>
      </c>
      <c r="N722" s="18">
        <f t="shared" si="125"/>
        <v>7</v>
      </c>
      <c r="O722" s="18">
        <f>SUMPRODUCT(P722:AI722,Sheet2!$B$3:$U$3)</f>
        <v>68073</v>
      </c>
      <c r="P722" s="18">
        <f>CEILING(INDEX([1]系统模型!$VD:$VD,MATCH(C722,[1]系统模型!$A:$A,0))*POWER(C722/220,3.8)-50+(1000-A722),1)</f>
        <v>1058</v>
      </c>
      <c r="Q722" s="18">
        <f>CEILING(INDEX([1]系统模型!$VE:$VE,MATCH(C722,[1]系统模型!$A:$A,0))*POWER(C722/220,4),1)</f>
        <v>94</v>
      </c>
      <c r="R722" s="18">
        <f>INT(INDEX([1]系统模型!$VF:$VF,MATCH(C722,[1]系统模型!$A:$A,0))*MAX(POWER(C722/180,4),0.5))</f>
        <v>8498</v>
      </c>
      <c r="S722" s="5">
        <v>1000</v>
      </c>
      <c r="T722" s="25">
        <v>0</v>
      </c>
      <c r="U722" s="25">
        <v>0</v>
      </c>
      <c r="V722" s="25">
        <v>0</v>
      </c>
      <c r="W722" s="25">
        <v>0</v>
      </c>
      <c r="X722" s="25">
        <f t="shared" si="126"/>
        <v>424</v>
      </c>
      <c r="Y722" s="12">
        <v>0</v>
      </c>
      <c r="Z722" s="25">
        <v>100</v>
      </c>
      <c r="AA722" s="25">
        <v>150</v>
      </c>
      <c r="AB722" s="25">
        <v>0</v>
      </c>
      <c r="AC722" s="25">
        <v>0</v>
      </c>
      <c r="AD722" s="25">
        <v>0</v>
      </c>
      <c r="AE722" s="25">
        <f t="shared" si="127"/>
        <v>286</v>
      </c>
      <c r="AF722" s="25">
        <f t="shared" si="128"/>
        <v>286</v>
      </c>
      <c r="AG722" s="25">
        <v>0</v>
      </c>
      <c r="AH722" s="25">
        <f t="shared" si="129"/>
        <v>1975</v>
      </c>
      <c r="AI722" s="25">
        <f t="shared" si="130"/>
        <v>14</v>
      </c>
      <c r="AJ722" s="25">
        <v>1</v>
      </c>
      <c r="AK722" s="25">
        <v>1000</v>
      </c>
      <c r="AL722" s="25">
        <v>100</v>
      </c>
      <c r="AM722" s="26">
        <v>10</v>
      </c>
      <c r="AN722" s="26">
        <v>10</v>
      </c>
      <c r="AO722" s="22" t="s">
        <v>2211</v>
      </c>
      <c r="AP722" s="26">
        <v>0</v>
      </c>
      <c r="AQ722" s="26">
        <f t="shared" si="131"/>
        <v>270</v>
      </c>
      <c r="AR722" s="18" t="str">
        <f ca="1">CONCATENATE(OFFSET(Sheet1!$A$2,RANDBETWEEN(2,500),0,1,1),OFFSET(Sheet1!$A$2,RANDBETWEEN(2,500),RANDBETWEEN(1,5),1,1))</f>
        <v>布朗凯伊</v>
      </c>
      <c r="AS722">
        <f>SUMPRODUCT(P722:AI722,Sheet2!$B$3:$U$3)</f>
        <v>68073</v>
      </c>
    </row>
    <row r="723" spans="1:45" x14ac:dyDescent="0.15">
      <c r="A723" s="18">
        <v>722</v>
      </c>
      <c r="B723" s="18" t="s">
        <v>560</v>
      </c>
      <c r="C723" s="18">
        <f t="shared" si="121"/>
        <v>143</v>
      </c>
      <c r="D723" s="19">
        <f t="shared" si="122"/>
        <v>2</v>
      </c>
      <c r="E723" s="19">
        <f>VLOOKUP(MOD(A723,4),各职业基础配置!C$32:D$35,2,FALSE)</f>
        <v>6</v>
      </c>
      <c r="F723" s="19">
        <f>IF(A723&lt;900,INDEX(各职业基础配置!C$23:C$28,MOD(ROW(A723),4)+1),0)</f>
        <v>16</v>
      </c>
      <c r="G723" s="19">
        <f t="shared" si="123"/>
        <v>8</v>
      </c>
      <c r="H723" s="27">
        <f t="shared" si="124"/>
        <v>1</v>
      </c>
      <c r="I723" s="6" t="s">
        <v>164</v>
      </c>
      <c r="J723" s="23" t="str">
        <f>VLOOKUP(E723,各职业基础配置!$B$9:$C$12,2,FALSE)</f>
        <v>111|112|113|4201|115</v>
      </c>
      <c r="K723" s="18" t="str">
        <f>VLOOKUP(E723,各职业基础配置!$B$15:$C$18,2,FALSE)</f>
        <v>32|33|34</v>
      </c>
      <c r="L723" s="18" t="str">
        <f>VLOOKUP(E723,各职业基础配置!B:C,2,FALSE)</f>
        <v>[{32,1,1},{33,1,1},{34,1,1},{35,1,1},{7,1,1},{8,1,1},{9,1,1}]</v>
      </c>
      <c r="M723" s="18">
        <v>0</v>
      </c>
      <c r="N723" s="18">
        <f t="shared" si="125"/>
        <v>7</v>
      </c>
      <c r="O723" s="18">
        <f>SUMPRODUCT(P723:AI723,Sheet2!$B$3:$U$3)</f>
        <v>68048</v>
      </c>
      <c r="P723" s="18">
        <f>CEILING(INDEX([1]系统模型!$VD:$VD,MATCH(C723,[1]系统模型!$A:$A,0))*POWER(C723/220,3.8)-50+(1000-A723),1)</f>
        <v>1057</v>
      </c>
      <c r="Q723" s="18">
        <f>CEILING(INDEX([1]系统模型!$VE:$VE,MATCH(C723,[1]系统模型!$A:$A,0))*POWER(C723/220,4),1)</f>
        <v>94</v>
      </c>
      <c r="R723" s="18">
        <f>INT(INDEX([1]系统模型!$VF:$VF,MATCH(C723,[1]系统模型!$A:$A,0))*MAX(POWER(C723/180,4),0.5))</f>
        <v>8498</v>
      </c>
      <c r="S723" s="5">
        <v>1000</v>
      </c>
      <c r="T723" s="25">
        <v>0</v>
      </c>
      <c r="U723" s="25">
        <v>0</v>
      </c>
      <c r="V723" s="25">
        <v>0</v>
      </c>
      <c r="W723" s="25">
        <v>0</v>
      </c>
      <c r="X723" s="25">
        <f t="shared" si="126"/>
        <v>424</v>
      </c>
      <c r="Y723" s="12">
        <v>0</v>
      </c>
      <c r="Z723" s="25">
        <v>100</v>
      </c>
      <c r="AA723" s="25">
        <v>150</v>
      </c>
      <c r="AB723" s="25">
        <v>0</v>
      </c>
      <c r="AC723" s="25">
        <v>0</v>
      </c>
      <c r="AD723" s="25">
        <v>0</v>
      </c>
      <c r="AE723" s="25">
        <f t="shared" si="127"/>
        <v>286</v>
      </c>
      <c r="AF723" s="25">
        <f t="shared" si="128"/>
        <v>286</v>
      </c>
      <c r="AG723" s="25">
        <v>0</v>
      </c>
      <c r="AH723" s="25">
        <f t="shared" si="129"/>
        <v>1975</v>
      </c>
      <c r="AI723" s="25">
        <f t="shared" si="130"/>
        <v>14</v>
      </c>
      <c r="AJ723" s="25">
        <v>1</v>
      </c>
      <c r="AK723" s="25">
        <v>1000</v>
      </c>
      <c r="AL723" s="25">
        <v>100</v>
      </c>
      <c r="AM723" s="26">
        <v>10</v>
      </c>
      <c r="AN723" s="26">
        <v>10</v>
      </c>
      <c r="AO723" s="22" t="s">
        <v>2211</v>
      </c>
      <c r="AP723" s="26">
        <v>0</v>
      </c>
      <c r="AQ723" s="26">
        <f t="shared" si="131"/>
        <v>270</v>
      </c>
      <c r="AR723" s="18" t="str">
        <f ca="1">CONCATENATE(OFFSET(Sheet1!$A$2,RANDBETWEEN(2,500),0,1,1),OFFSET(Sheet1!$A$2,RANDBETWEEN(2,500),RANDBETWEEN(1,5),1,1))</f>
        <v>伊娃</v>
      </c>
      <c r="AS723">
        <f>SUMPRODUCT(P723:AI723,Sheet2!$B$3:$U$3)</f>
        <v>68048</v>
      </c>
    </row>
    <row r="724" spans="1:45" x14ac:dyDescent="0.15">
      <c r="A724" s="23">
        <v>723</v>
      </c>
      <c r="B724" s="18" t="s">
        <v>189</v>
      </c>
      <c r="C724" s="18">
        <f t="shared" si="121"/>
        <v>142</v>
      </c>
      <c r="D724" s="19">
        <f t="shared" si="122"/>
        <v>3</v>
      </c>
      <c r="E724" s="19">
        <f>VLOOKUP(MOD(A724,4),各职业基础配置!C$32:D$35,2,FALSE)</f>
        <v>9</v>
      </c>
      <c r="F724" s="19">
        <f>IF(A724&lt;900,INDEX(各职业基础配置!C$23:C$28,MOD(ROW(A724),4)+1),0)</f>
        <v>8</v>
      </c>
      <c r="G724" s="19">
        <f t="shared" si="123"/>
        <v>8</v>
      </c>
      <c r="H724" s="27">
        <f t="shared" si="124"/>
        <v>1</v>
      </c>
      <c r="I724" s="6" t="s">
        <v>164</v>
      </c>
      <c r="J724" s="23" t="str">
        <f>VLOOKUP(E724,各职业基础配置!$B$9:$C$12,2,FALSE)</f>
        <v>116|117|118|4201|120</v>
      </c>
      <c r="K724" s="18" t="str">
        <f>VLOOKUP(E724,各职业基础配置!$B$15:$C$18,2,FALSE)</f>
        <v>28|29|30|31</v>
      </c>
      <c r="L724" s="18" t="str">
        <f>VLOOKUP(E724,各职业基础配置!B:C,2,FALSE)</f>
        <v>[{28,1,1},{29,1,1},{30,1,1},{31,1,1},{10,1,1},{11,1,1},{12,1,1}]</v>
      </c>
      <c r="M724" s="18">
        <v>0</v>
      </c>
      <c r="N724" s="18">
        <f t="shared" si="125"/>
        <v>3</v>
      </c>
      <c r="O724" s="18">
        <f>SUMPRODUCT(P724:AI724,Sheet2!$B$3:$U$3)</f>
        <v>66550</v>
      </c>
      <c r="P724" s="18">
        <f>CEILING(INDEX([1]系统模型!$VD:$VD,MATCH(C724,[1]系统模型!$A:$A,0))*POWER(C724/220,3.8)-50+(1000-A724),1)</f>
        <v>1025</v>
      </c>
      <c r="Q724" s="18">
        <f>CEILING(INDEX([1]系统模型!$VE:$VE,MATCH(C724,[1]系统模型!$A:$A,0))*POWER(C724/220,4),1)</f>
        <v>90</v>
      </c>
      <c r="R724" s="18">
        <f>INT(INDEX([1]系统模型!$VF:$VF,MATCH(C724,[1]系统模型!$A:$A,0))*MAX(POWER(C724/180,4),0.5))</f>
        <v>8400</v>
      </c>
      <c r="S724" s="5">
        <v>1000</v>
      </c>
      <c r="T724" s="25">
        <v>0</v>
      </c>
      <c r="U724" s="25">
        <v>0</v>
      </c>
      <c r="V724" s="25">
        <v>0</v>
      </c>
      <c r="W724" s="25">
        <v>0</v>
      </c>
      <c r="X724" s="25">
        <f t="shared" si="126"/>
        <v>420</v>
      </c>
      <c r="Y724" s="12">
        <v>0</v>
      </c>
      <c r="Z724" s="25">
        <v>100</v>
      </c>
      <c r="AA724" s="25">
        <v>150</v>
      </c>
      <c r="AB724" s="25">
        <v>0</v>
      </c>
      <c r="AC724" s="25">
        <v>0</v>
      </c>
      <c r="AD724" s="25">
        <v>0</v>
      </c>
      <c r="AE724" s="25">
        <f t="shared" si="127"/>
        <v>284</v>
      </c>
      <c r="AF724" s="25">
        <f t="shared" si="128"/>
        <v>284</v>
      </c>
      <c r="AG724" s="25">
        <v>0</v>
      </c>
      <c r="AH724" s="25">
        <f t="shared" si="129"/>
        <v>1900</v>
      </c>
      <c r="AI724" s="25">
        <f t="shared" si="130"/>
        <v>13</v>
      </c>
      <c r="AJ724" s="25">
        <v>1</v>
      </c>
      <c r="AK724" s="25">
        <v>1000</v>
      </c>
      <c r="AL724" s="25">
        <v>100</v>
      </c>
      <c r="AM724" s="26">
        <v>10</v>
      </c>
      <c r="AN724" s="26">
        <v>10</v>
      </c>
      <c r="AO724" s="22" t="s">
        <v>2211</v>
      </c>
      <c r="AP724" s="26">
        <v>0</v>
      </c>
      <c r="AQ724" s="26">
        <f t="shared" si="131"/>
        <v>270</v>
      </c>
      <c r="AR724" s="18" t="str">
        <f ca="1">CONCATENATE(OFFSET(Sheet1!$A$2,RANDBETWEEN(2,500),0,1,1),OFFSET(Sheet1!$A$2,RANDBETWEEN(2,500),RANDBETWEEN(1,5),1,1))</f>
        <v>赫德森</v>
      </c>
      <c r="AS724">
        <f>SUMPRODUCT(P724:AI724,Sheet2!$B$3:$U$3)</f>
        <v>66550</v>
      </c>
    </row>
    <row r="725" spans="1:45" x14ac:dyDescent="0.15">
      <c r="A725" s="18">
        <v>724</v>
      </c>
      <c r="B725" s="18" t="s">
        <v>2106</v>
      </c>
      <c r="C725" s="18">
        <f t="shared" si="121"/>
        <v>142</v>
      </c>
      <c r="D725" s="19">
        <f t="shared" si="122"/>
        <v>2</v>
      </c>
      <c r="E725" s="19">
        <f>VLOOKUP(MOD(A725,4),各职业基础配置!C$32:D$35,2,FALSE)</f>
        <v>1</v>
      </c>
      <c r="F725" s="19">
        <f>IF(A725&lt;900,INDEX(各职业基础配置!C$23:C$28,MOD(ROW(A725),4)+1),0)</f>
        <v>13</v>
      </c>
      <c r="G725" s="19">
        <f t="shared" si="123"/>
        <v>8</v>
      </c>
      <c r="H725" s="27">
        <f t="shared" si="124"/>
        <v>1</v>
      </c>
      <c r="I725" s="6" t="s">
        <v>164</v>
      </c>
      <c r="J725" s="23" t="str">
        <f>VLOOKUP(E725,各职业基础配置!$B$9:$C$12,2,FALSE)</f>
        <v>101|102|103|4201|105</v>
      </c>
      <c r="K725" s="18" t="str">
        <f>VLOOKUP(E725,各职业基础配置!$B$15:$C$18,2,FALSE)</f>
        <v>24|25|26|27</v>
      </c>
      <c r="L725" s="18" t="str">
        <f>VLOOKUP(E725,各职业基础配置!B:C,2,FALSE)</f>
        <v>[{24,1,1},{25,1,1},{26,1,1},{27,1,1},{1,1,1},{2,1,1},{3,1,1}]</v>
      </c>
      <c r="M725" s="18">
        <v>0</v>
      </c>
      <c r="N725" s="18">
        <f t="shared" si="125"/>
        <v>3</v>
      </c>
      <c r="O725" s="18">
        <f>SUMPRODUCT(P725:AI725,Sheet2!$B$3:$U$3)</f>
        <v>66525</v>
      </c>
      <c r="P725" s="18">
        <f>CEILING(INDEX([1]系统模型!$VD:$VD,MATCH(C725,[1]系统模型!$A:$A,0))*POWER(C725/220,3.8)-50+(1000-A725),1)</f>
        <v>1024</v>
      </c>
      <c r="Q725" s="18">
        <f>CEILING(INDEX([1]系统模型!$VE:$VE,MATCH(C725,[1]系统模型!$A:$A,0))*POWER(C725/220,4),1)</f>
        <v>90</v>
      </c>
      <c r="R725" s="18">
        <f>INT(INDEX([1]系统模型!$VF:$VF,MATCH(C725,[1]系统模型!$A:$A,0))*MAX(POWER(C725/180,4),0.5))</f>
        <v>8400</v>
      </c>
      <c r="S725" s="5">
        <v>1000</v>
      </c>
      <c r="T725" s="25">
        <v>0</v>
      </c>
      <c r="U725" s="25">
        <v>0</v>
      </c>
      <c r="V725" s="25">
        <v>0</v>
      </c>
      <c r="W725" s="25">
        <v>0</v>
      </c>
      <c r="X725" s="25">
        <f t="shared" si="126"/>
        <v>420</v>
      </c>
      <c r="Y725" s="12">
        <v>0</v>
      </c>
      <c r="Z725" s="25">
        <v>100</v>
      </c>
      <c r="AA725" s="25">
        <v>150</v>
      </c>
      <c r="AB725" s="25">
        <v>0</v>
      </c>
      <c r="AC725" s="25">
        <v>0</v>
      </c>
      <c r="AD725" s="25">
        <v>0</v>
      </c>
      <c r="AE725" s="25">
        <f t="shared" si="127"/>
        <v>284</v>
      </c>
      <c r="AF725" s="25">
        <f t="shared" si="128"/>
        <v>284</v>
      </c>
      <c r="AG725" s="25">
        <v>0</v>
      </c>
      <c r="AH725" s="25">
        <f t="shared" si="129"/>
        <v>1900</v>
      </c>
      <c r="AI725" s="25">
        <f t="shared" si="130"/>
        <v>13</v>
      </c>
      <c r="AJ725" s="25">
        <v>1</v>
      </c>
      <c r="AK725" s="25">
        <v>1000</v>
      </c>
      <c r="AL725" s="25">
        <v>100</v>
      </c>
      <c r="AM725" s="26">
        <v>10</v>
      </c>
      <c r="AN725" s="26">
        <v>10</v>
      </c>
      <c r="AO725" s="22" t="s">
        <v>2211</v>
      </c>
      <c r="AP725" s="26">
        <v>0</v>
      </c>
      <c r="AQ725" s="26">
        <f t="shared" si="131"/>
        <v>270</v>
      </c>
      <c r="AR725" s="18" t="str">
        <f ca="1">CONCATENATE(OFFSET(Sheet1!$A$2,RANDBETWEEN(2,500),0,1,1),OFFSET(Sheet1!$A$2,RANDBETWEEN(2,500),RANDBETWEEN(1,5),1,1))</f>
        <v>哈里森</v>
      </c>
      <c r="AS725">
        <f>SUMPRODUCT(P725:AI725,Sheet2!$B$3:$U$3)</f>
        <v>66525</v>
      </c>
    </row>
    <row r="726" spans="1:45" x14ac:dyDescent="0.15">
      <c r="A726" s="18">
        <v>725</v>
      </c>
      <c r="B726" s="18" t="s">
        <v>1063</v>
      </c>
      <c r="C726" s="18">
        <f t="shared" si="121"/>
        <v>142</v>
      </c>
      <c r="D726" s="19">
        <f t="shared" si="122"/>
        <v>3</v>
      </c>
      <c r="E726" s="19">
        <f>VLOOKUP(MOD(A726,4),各职业基础配置!C$32:D$35,2,FALSE)</f>
        <v>3</v>
      </c>
      <c r="F726" s="19">
        <f>IF(A726&lt;900,INDEX(各职业基础配置!C$23:C$28,MOD(ROW(A726),4)+1),0)</f>
        <v>14</v>
      </c>
      <c r="G726" s="19">
        <f t="shared" si="123"/>
        <v>8</v>
      </c>
      <c r="H726" s="27">
        <f t="shared" si="124"/>
        <v>1</v>
      </c>
      <c r="I726" s="6" t="s">
        <v>164</v>
      </c>
      <c r="J726" s="23" t="str">
        <f>VLOOKUP(E726,各职业基础配置!$B$9:$C$12,2,FALSE)</f>
        <v>106|107|108|4201|110</v>
      </c>
      <c r="K726" s="18" t="str">
        <f>VLOOKUP(E726,各职业基础配置!$B$15:$C$18,2,FALSE)</f>
        <v>20|21|22|23</v>
      </c>
      <c r="L726" s="18" t="str">
        <f>VLOOKUP(E726,各职业基础配置!B:C,2,FALSE)</f>
        <v>[{20,1,1},{21,1,1},{22,1,1},{23,1,1},{4,1,1},{5,1,1},{6,1,1}]</v>
      </c>
      <c r="M726" s="18">
        <v>0</v>
      </c>
      <c r="N726" s="18">
        <f t="shared" si="125"/>
        <v>7</v>
      </c>
      <c r="O726" s="18">
        <f>SUMPRODUCT(P726:AI726,Sheet2!$B$3:$U$3)</f>
        <v>66500</v>
      </c>
      <c r="P726" s="18">
        <f>CEILING(INDEX([1]系统模型!$VD:$VD,MATCH(C726,[1]系统模型!$A:$A,0))*POWER(C726/220,3.8)-50+(1000-A726),1)</f>
        <v>1023</v>
      </c>
      <c r="Q726" s="18">
        <f>CEILING(INDEX([1]系统模型!$VE:$VE,MATCH(C726,[1]系统模型!$A:$A,0))*POWER(C726/220,4),1)</f>
        <v>90</v>
      </c>
      <c r="R726" s="18">
        <f>INT(INDEX([1]系统模型!$VF:$VF,MATCH(C726,[1]系统模型!$A:$A,0))*MAX(POWER(C726/180,4),0.5))</f>
        <v>8400</v>
      </c>
      <c r="S726" s="5">
        <v>1000</v>
      </c>
      <c r="T726" s="25">
        <v>0</v>
      </c>
      <c r="U726" s="25">
        <v>0</v>
      </c>
      <c r="V726" s="25">
        <v>0</v>
      </c>
      <c r="W726" s="25">
        <v>0</v>
      </c>
      <c r="X726" s="25">
        <f t="shared" si="126"/>
        <v>420</v>
      </c>
      <c r="Y726" s="12">
        <v>0</v>
      </c>
      <c r="Z726" s="25">
        <v>100</v>
      </c>
      <c r="AA726" s="25">
        <v>150</v>
      </c>
      <c r="AB726" s="25">
        <v>0</v>
      </c>
      <c r="AC726" s="25">
        <v>0</v>
      </c>
      <c r="AD726" s="25">
        <v>0</v>
      </c>
      <c r="AE726" s="25">
        <f t="shared" si="127"/>
        <v>284</v>
      </c>
      <c r="AF726" s="25">
        <f t="shared" si="128"/>
        <v>284</v>
      </c>
      <c r="AG726" s="25">
        <v>0</v>
      </c>
      <c r="AH726" s="25">
        <f t="shared" si="129"/>
        <v>1900</v>
      </c>
      <c r="AI726" s="25">
        <f t="shared" si="130"/>
        <v>13</v>
      </c>
      <c r="AJ726" s="25">
        <v>1</v>
      </c>
      <c r="AK726" s="25">
        <v>1000</v>
      </c>
      <c r="AL726" s="25">
        <v>100</v>
      </c>
      <c r="AM726" s="26">
        <v>10</v>
      </c>
      <c r="AN726" s="26">
        <v>10</v>
      </c>
      <c r="AO726" s="22" t="s">
        <v>2211</v>
      </c>
      <c r="AP726" s="26">
        <v>0</v>
      </c>
      <c r="AQ726" s="26">
        <f t="shared" si="131"/>
        <v>270</v>
      </c>
      <c r="AR726" s="18" t="str">
        <f ca="1">CONCATENATE(OFFSET(Sheet1!$A$2,RANDBETWEEN(2,500),0,1,1),OFFSET(Sheet1!$A$2,RANDBETWEEN(2,500),RANDBETWEEN(1,5),1,1))</f>
        <v>贝克莱</v>
      </c>
      <c r="AS726">
        <f>SUMPRODUCT(P726:AI726,Sheet2!$B$3:$U$3)</f>
        <v>66500</v>
      </c>
    </row>
    <row r="727" spans="1:45" x14ac:dyDescent="0.15">
      <c r="A727" s="23">
        <v>726</v>
      </c>
      <c r="B727" s="18" t="s">
        <v>993</v>
      </c>
      <c r="C727" s="18">
        <f t="shared" si="121"/>
        <v>142</v>
      </c>
      <c r="D727" s="19">
        <f t="shared" si="122"/>
        <v>2</v>
      </c>
      <c r="E727" s="19">
        <f>VLOOKUP(MOD(A727,4),各职业基础配置!C$32:D$35,2,FALSE)</f>
        <v>6</v>
      </c>
      <c r="F727" s="19">
        <f>IF(A727&lt;900,INDEX(各职业基础配置!C$23:C$28,MOD(ROW(A727),4)+1),0)</f>
        <v>16</v>
      </c>
      <c r="G727" s="19">
        <f t="shared" si="123"/>
        <v>8</v>
      </c>
      <c r="H727" s="27">
        <f t="shared" si="124"/>
        <v>1</v>
      </c>
      <c r="I727" s="6" t="s">
        <v>164</v>
      </c>
      <c r="J727" s="23" t="str">
        <f>VLOOKUP(E727,各职业基础配置!$B$9:$C$12,2,FALSE)</f>
        <v>111|112|113|4201|115</v>
      </c>
      <c r="K727" s="18" t="str">
        <f>VLOOKUP(E727,各职业基础配置!$B$15:$C$18,2,FALSE)</f>
        <v>32|33|34</v>
      </c>
      <c r="L727" s="18" t="str">
        <f>VLOOKUP(E727,各职业基础配置!B:C,2,FALSE)</f>
        <v>[{32,1,1},{33,1,1},{34,1,1},{35,1,1},{7,1,1},{8,1,1},{9,1,1}]</v>
      </c>
      <c r="M727" s="18">
        <v>0</v>
      </c>
      <c r="N727" s="18">
        <f t="shared" si="125"/>
        <v>7</v>
      </c>
      <c r="O727" s="18">
        <f>SUMPRODUCT(P727:AI727,Sheet2!$B$3:$U$3)</f>
        <v>66475</v>
      </c>
      <c r="P727" s="18">
        <f>CEILING(INDEX([1]系统模型!$VD:$VD,MATCH(C727,[1]系统模型!$A:$A,0))*POWER(C727/220,3.8)-50+(1000-A727),1)</f>
        <v>1022</v>
      </c>
      <c r="Q727" s="18">
        <f>CEILING(INDEX([1]系统模型!$VE:$VE,MATCH(C727,[1]系统模型!$A:$A,0))*POWER(C727/220,4),1)</f>
        <v>90</v>
      </c>
      <c r="R727" s="18">
        <f>INT(INDEX([1]系统模型!$VF:$VF,MATCH(C727,[1]系统模型!$A:$A,0))*MAX(POWER(C727/180,4),0.5))</f>
        <v>8400</v>
      </c>
      <c r="S727" s="5">
        <v>1000</v>
      </c>
      <c r="T727" s="25">
        <v>0</v>
      </c>
      <c r="U727" s="25">
        <v>0</v>
      </c>
      <c r="V727" s="25">
        <v>0</v>
      </c>
      <c r="W727" s="25">
        <v>0</v>
      </c>
      <c r="X727" s="25">
        <f t="shared" si="126"/>
        <v>420</v>
      </c>
      <c r="Y727" s="12">
        <v>0</v>
      </c>
      <c r="Z727" s="25">
        <v>100</v>
      </c>
      <c r="AA727" s="25">
        <v>150</v>
      </c>
      <c r="AB727" s="25">
        <v>0</v>
      </c>
      <c r="AC727" s="25">
        <v>0</v>
      </c>
      <c r="AD727" s="25">
        <v>0</v>
      </c>
      <c r="AE727" s="25">
        <f t="shared" si="127"/>
        <v>284</v>
      </c>
      <c r="AF727" s="25">
        <f t="shared" si="128"/>
        <v>284</v>
      </c>
      <c r="AG727" s="25">
        <v>0</v>
      </c>
      <c r="AH727" s="25">
        <f t="shared" si="129"/>
        <v>1900</v>
      </c>
      <c r="AI727" s="25">
        <f t="shared" si="130"/>
        <v>13</v>
      </c>
      <c r="AJ727" s="25">
        <v>1</v>
      </c>
      <c r="AK727" s="25">
        <v>1000</v>
      </c>
      <c r="AL727" s="25">
        <v>100</v>
      </c>
      <c r="AM727" s="26">
        <v>10</v>
      </c>
      <c r="AN727" s="26">
        <v>10</v>
      </c>
      <c r="AO727" s="22" t="s">
        <v>2211</v>
      </c>
      <c r="AP727" s="26">
        <v>0</v>
      </c>
      <c r="AQ727" s="26">
        <f t="shared" si="131"/>
        <v>260</v>
      </c>
      <c r="AR727" s="18" t="str">
        <f ca="1">CONCATENATE(OFFSET(Sheet1!$A$2,RANDBETWEEN(2,500),0,1,1),OFFSET(Sheet1!$A$2,RANDBETWEEN(2,500),RANDBETWEEN(1,5),1,1))</f>
        <v>霍勒斯</v>
      </c>
      <c r="AS727">
        <f>SUMPRODUCT(P727:AI727,Sheet2!$B$3:$U$3)</f>
        <v>66475</v>
      </c>
    </row>
    <row r="728" spans="1:45" x14ac:dyDescent="0.15">
      <c r="A728" s="18">
        <v>727</v>
      </c>
      <c r="B728" s="18" t="s">
        <v>1129</v>
      </c>
      <c r="C728" s="18">
        <f t="shared" si="121"/>
        <v>142</v>
      </c>
      <c r="D728" s="19">
        <f t="shared" si="122"/>
        <v>3</v>
      </c>
      <c r="E728" s="19">
        <f>VLOOKUP(MOD(A728,4),各职业基础配置!C$32:D$35,2,FALSE)</f>
        <v>9</v>
      </c>
      <c r="F728" s="19">
        <f>IF(A728&lt;900,INDEX(各职业基础配置!C$23:C$28,MOD(ROW(A728),4)+1),0)</f>
        <v>8</v>
      </c>
      <c r="G728" s="19">
        <f t="shared" si="123"/>
        <v>8</v>
      </c>
      <c r="H728" s="27">
        <f t="shared" si="124"/>
        <v>1</v>
      </c>
      <c r="I728" s="6" t="s">
        <v>164</v>
      </c>
      <c r="J728" s="23" t="str">
        <f>VLOOKUP(E728,各职业基础配置!$B$9:$C$12,2,FALSE)</f>
        <v>116|117|118|4201|120</v>
      </c>
      <c r="K728" s="18" t="str">
        <f>VLOOKUP(E728,各职业基础配置!$B$15:$C$18,2,FALSE)</f>
        <v>28|29|30|31</v>
      </c>
      <c r="L728" s="18" t="str">
        <f>VLOOKUP(E728,各职业基础配置!B:C,2,FALSE)</f>
        <v>[{28,1,1},{29,1,1},{30,1,1},{31,1,1},{10,1,1},{11,1,1},{12,1,1}]</v>
      </c>
      <c r="M728" s="18">
        <v>0</v>
      </c>
      <c r="N728" s="18">
        <f t="shared" si="125"/>
        <v>3</v>
      </c>
      <c r="O728" s="18">
        <f>SUMPRODUCT(P728:AI728,Sheet2!$B$3:$U$3)</f>
        <v>66450</v>
      </c>
      <c r="P728" s="18">
        <f>CEILING(INDEX([1]系统模型!$VD:$VD,MATCH(C728,[1]系统模型!$A:$A,0))*POWER(C728/220,3.8)-50+(1000-A728),1)</f>
        <v>1021</v>
      </c>
      <c r="Q728" s="18">
        <f>CEILING(INDEX([1]系统模型!$VE:$VE,MATCH(C728,[1]系统模型!$A:$A,0))*POWER(C728/220,4),1)</f>
        <v>90</v>
      </c>
      <c r="R728" s="18">
        <f>INT(INDEX([1]系统模型!$VF:$VF,MATCH(C728,[1]系统模型!$A:$A,0))*MAX(POWER(C728/180,4),0.5))</f>
        <v>8400</v>
      </c>
      <c r="S728" s="5">
        <v>1000</v>
      </c>
      <c r="T728" s="25">
        <v>0</v>
      </c>
      <c r="U728" s="25">
        <v>0</v>
      </c>
      <c r="V728" s="25">
        <v>0</v>
      </c>
      <c r="W728" s="25">
        <v>0</v>
      </c>
      <c r="X728" s="25">
        <f t="shared" si="126"/>
        <v>420</v>
      </c>
      <c r="Y728" s="12">
        <v>0</v>
      </c>
      <c r="Z728" s="25">
        <v>100</v>
      </c>
      <c r="AA728" s="25">
        <v>150</v>
      </c>
      <c r="AB728" s="25">
        <v>0</v>
      </c>
      <c r="AC728" s="25">
        <v>0</v>
      </c>
      <c r="AD728" s="25">
        <v>0</v>
      </c>
      <c r="AE728" s="25">
        <f t="shared" si="127"/>
        <v>284</v>
      </c>
      <c r="AF728" s="25">
        <f t="shared" si="128"/>
        <v>284</v>
      </c>
      <c r="AG728" s="25">
        <v>0</v>
      </c>
      <c r="AH728" s="25">
        <f t="shared" si="129"/>
        <v>1900</v>
      </c>
      <c r="AI728" s="25">
        <f t="shared" si="130"/>
        <v>13</v>
      </c>
      <c r="AJ728" s="25">
        <v>1</v>
      </c>
      <c r="AK728" s="25">
        <v>1000</v>
      </c>
      <c r="AL728" s="25">
        <v>100</v>
      </c>
      <c r="AM728" s="26">
        <v>10</v>
      </c>
      <c r="AN728" s="26">
        <v>10</v>
      </c>
      <c r="AO728" s="22" t="s">
        <v>2211</v>
      </c>
      <c r="AP728" s="26">
        <v>0</v>
      </c>
      <c r="AQ728" s="26">
        <f t="shared" si="131"/>
        <v>260</v>
      </c>
      <c r="AR728" s="18" t="str">
        <f ca="1">CONCATENATE(OFFSET(Sheet1!$A$2,RANDBETWEEN(2,500),0,1,1),OFFSET(Sheet1!$A$2,RANDBETWEEN(2,500),RANDBETWEEN(1,5),1,1))</f>
        <v>查利沫沫</v>
      </c>
      <c r="AS728">
        <f>SUMPRODUCT(P728:AI728,Sheet2!$B$3:$U$3)</f>
        <v>66450</v>
      </c>
    </row>
    <row r="729" spans="1:45" x14ac:dyDescent="0.15">
      <c r="A729" s="18">
        <v>728</v>
      </c>
      <c r="B729" s="18" t="s">
        <v>1190</v>
      </c>
      <c r="C729" s="18">
        <f t="shared" si="121"/>
        <v>142</v>
      </c>
      <c r="D729" s="19">
        <f t="shared" si="122"/>
        <v>2</v>
      </c>
      <c r="E729" s="19">
        <f>VLOOKUP(MOD(A729,4),各职业基础配置!C$32:D$35,2,FALSE)</f>
        <v>1</v>
      </c>
      <c r="F729" s="19">
        <f>IF(A729&lt;900,INDEX(各职业基础配置!C$23:C$28,MOD(ROW(A729),4)+1),0)</f>
        <v>13</v>
      </c>
      <c r="G729" s="19">
        <f t="shared" si="123"/>
        <v>8</v>
      </c>
      <c r="H729" s="27">
        <f t="shared" si="124"/>
        <v>1</v>
      </c>
      <c r="I729" s="6" t="s">
        <v>164</v>
      </c>
      <c r="J729" s="23" t="str">
        <f>VLOOKUP(E729,各职业基础配置!$B$9:$C$12,2,FALSE)</f>
        <v>101|102|103|4201|105</v>
      </c>
      <c r="K729" s="18" t="str">
        <f>VLOOKUP(E729,各职业基础配置!$B$15:$C$18,2,FALSE)</f>
        <v>24|25|26|27</v>
      </c>
      <c r="L729" s="18" t="str">
        <f>VLOOKUP(E729,各职业基础配置!B:C,2,FALSE)</f>
        <v>[{24,1,1},{25,1,1},{26,1,1},{27,1,1},{1,1,1},{2,1,1},{3,1,1}]</v>
      </c>
      <c r="M729" s="18">
        <v>0</v>
      </c>
      <c r="N729" s="18">
        <f t="shared" si="125"/>
        <v>3</v>
      </c>
      <c r="O729" s="18">
        <f>SUMPRODUCT(P729:AI729,Sheet2!$B$3:$U$3)</f>
        <v>66425</v>
      </c>
      <c r="P729" s="18">
        <f>CEILING(INDEX([1]系统模型!$VD:$VD,MATCH(C729,[1]系统模型!$A:$A,0))*POWER(C729/220,3.8)-50+(1000-A729),1)</f>
        <v>1020</v>
      </c>
      <c r="Q729" s="18">
        <f>CEILING(INDEX([1]系统模型!$VE:$VE,MATCH(C729,[1]系统模型!$A:$A,0))*POWER(C729/220,4),1)</f>
        <v>90</v>
      </c>
      <c r="R729" s="18">
        <f>INT(INDEX([1]系统模型!$VF:$VF,MATCH(C729,[1]系统模型!$A:$A,0))*MAX(POWER(C729/180,4),0.5))</f>
        <v>8400</v>
      </c>
      <c r="S729" s="5">
        <v>1000</v>
      </c>
      <c r="T729" s="25">
        <v>0</v>
      </c>
      <c r="U729" s="25">
        <v>0</v>
      </c>
      <c r="V729" s="25">
        <v>0</v>
      </c>
      <c r="W729" s="25">
        <v>0</v>
      </c>
      <c r="X729" s="25">
        <f t="shared" si="126"/>
        <v>420</v>
      </c>
      <c r="Y729" s="12">
        <v>0</v>
      </c>
      <c r="Z729" s="25">
        <v>100</v>
      </c>
      <c r="AA729" s="25">
        <v>150</v>
      </c>
      <c r="AB729" s="25">
        <v>0</v>
      </c>
      <c r="AC729" s="25">
        <v>0</v>
      </c>
      <c r="AD729" s="25">
        <v>0</v>
      </c>
      <c r="AE729" s="25">
        <f t="shared" si="127"/>
        <v>284</v>
      </c>
      <c r="AF729" s="25">
        <f t="shared" si="128"/>
        <v>284</v>
      </c>
      <c r="AG729" s="25">
        <v>0</v>
      </c>
      <c r="AH729" s="25">
        <f t="shared" si="129"/>
        <v>1900</v>
      </c>
      <c r="AI729" s="25">
        <f t="shared" si="130"/>
        <v>13</v>
      </c>
      <c r="AJ729" s="25">
        <v>1</v>
      </c>
      <c r="AK729" s="25">
        <v>1000</v>
      </c>
      <c r="AL729" s="25">
        <v>100</v>
      </c>
      <c r="AM729" s="26">
        <v>10</v>
      </c>
      <c r="AN729" s="26">
        <v>10</v>
      </c>
      <c r="AO729" s="22" t="s">
        <v>2211</v>
      </c>
      <c r="AP729" s="26">
        <v>0</v>
      </c>
      <c r="AQ729" s="26">
        <f t="shared" si="131"/>
        <v>260</v>
      </c>
      <c r="AR729" s="18" t="str">
        <f ca="1">CONCATENATE(OFFSET(Sheet1!$A$2,RANDBETWEEN(2,500),0,1,1),OFFSET(Sheet1!$A$2,RANDBETWEEN(2,500),RANDBETWEEN(1,5),1,1))</f>
        <v>巴比</v>
      </c>
      <c r="AS729">
        <f>SUMPRODUCT(P729:AI729,Sheet2!$B$3:$U$3)</f>
        <v>66425</v>
      </c>
    </row>
    <row r="730" spans="1:45" x14ac:dyDescent="0.15">
      <c r="A730" s="23">
        <v>729</v>
      </c>
      <c r="B730" s="18" t="s">
        <v>1277</v>
      </c>
      <c r="C730" s="18">
        <f t="shared" si="121"/>
        <v>142</v>
      </c>
      <c r="D730" s="19">
        <f t="shared" si="122"/>
        <v>3</v>
      </c>
      <c r="E730" s="19">
        <f>VLOOKUP(MOD(A730,4),各职业基础配置!C$32:D$35,2,FALSE)</f>
        <v>3</v>
      </c>
      <c r="F730" s="19">
        <f>IF(A730&lt;900,INDEX(各职业基础配置!C$23:C$28,MOD(ROW(A730),4)+1),0)</f>
        <v>14</v>
      </c>
      <c r="G730" s="19">
        <f t="shared" si="123"/>
        <v>8</v>
      </c>
      <c r="H730" s="27">
        <f t="shared" si="124"/>
        <v>1</v>
      </c>
      <c r="I730" s="6" t="s">
        <v>164</v>
      </c>
      <c r="J730" s="23" t="str">
        <f>VLOOKUP(E730,各职业基础配置!$B$9:$C$12,2,FALSE)</f>
        <v>106|107|108|4201|110</v>
      </c>
      <c r="K730" s="18" t="str">
        <f>VLOOKUP(E730,各职业基础配置!$B$15:$C$18,2,FALSE)</f>
        <v>20|21|22|23</v>
      </c>
      <c r="L730" s="18" t="str">
        <f>VLOOKUP(E730,各职业基础配置!B:C,2,FALSE)</f>
        <v>[{20,1,1},{21,1,1},{22,1,1},{23,1,1},{4,1,1},{5,1,1},{6,1,1}]</v>
      </c>
      <c r="M730" s="18">
        <v>0</v>
      </c>
      <c r="N730" s="18">
        <f t="shared" si="125"/>
        <v>7</v>
      </c>
      <c r="O730" s="18">
        <f>SUMPRODUCT(P730:AI730,Sheet2!$B$3:$U$3)</f>
        <v>66400</v>
      </c>
      <c r="P730" s="18">
        <f>CEILING(INDEX([1]系统模型!$VD:$VD,MATCH(C730,[1]系统模型!$A:$A,0))*POWER(C730/220,3.8)-50+(1000-A730),1)</f>
        <v>1019</v>
      </c>
      <c r="Q730" s="18">
        <f>CEILING(INDEX([1]系统模型!$VE:$VE,MATCH(C730,[1]系统模型!$A:$A,0))*POWER(C730/220,4),1)</f>
        <v>90</v>
      </c>
      <c r="R730" s="18">
        <f>INT(INDEX([1]系统模型!$VF:$VF,MATCH(C730,[1]系统模型!$A:$A,0))*MAX(POWER(C730/180,4),0.5))</f>
        <v>8400</v>
      </c>
      <c r="S730" s="5">
        <v>1000</v>
      </c>
      <c r="T730" s="25">
        <v>0</v>
      </c>
      <c r="U730" s="25">
        <v>0</v>
      </c>
      <c r="V730" s="25">
        <v>0</v>
      </c>
      <c r="W730" s="25">
        <v>0</v>
      </c>
      <c r="X730" s="25">
        <f t="shared" si="126"/>
        <v>420</v>
      </c>
      <c r="Y730" s="12">
        <v>0</v>
      </c>
      <c r="Z730" s="25">
        <v>100</v>
      </c>
      <c r="AA730" s="25">
        <v>150</v>
      </c>
      <c r="AB730" s="25">
        <v>0</v>
      </c>
      <c r="AC730" s="25">
        <v>0</v>
      </c>
      <c r="AD730" s="25">
        <v>0</v>
      </c>
      <c r="AE730" s="25">
        <f t="shared" si="127"/>
        <v>284</v>
      </c>
      <c r="AF730" s="25">
        <f t="shared" si="128"/>
        <v>284</v>
      </c>
      <c r="AG730" s="25">
        <v>0</v>
      </c>
      <c r="AH730" s="25">
        <f t="shared" si="129"/>
        <v>1900</v>
      </c>
      <c r="AI730" s="25">
        <f t="shared" si="130"/>
        <v>13</v>
      </c>
      <c r="AJ730" s="25">
        <v>1</v>
      </c>
      <c r="AK730" s="25">
        <v>1000</v>
      </c>
      <c r="AL730" s="25">
        <v>100</v>
      </c>
      <c r="AM730" s="26">
        <v>10</v>
      </c>
      <c r="AN730" s="26">
        <v>10</v>
      </c>
      <c r="AO730" s="22" t="s">
        <v>2211</v>
      </c>
      <c r="AP730" s="26">
        <v>0</v>
      </c>
      <c r="AQ730" s="26">
        <f t="shared" si="131"/>
        <v>260</v>
      </c>
      <c r="AR730" s="18" t="str">
        <f ca="1">CONCATENATE(OFFSET(Sheet1!$A$2,RANDBETWEEN(2,500),0,1,1),OFFSET(Sheet1!$A$2,RANDBETWEEN(2,500),RANDBETWEEN(1,5),1,1))</f>
        <v>爱略特</v>
      </c>
      <c r="AS730">
        <f>SUMPRODUCT(P730:AI730,Sheet2!$B$3:$U$3)</f>
        <v>66400</v>
      </c>
    </row>
    <row r="731" spans="1:45" x14ac:dyDescent="0.15">
      <c r="A731" s="18">
        <v>730</v>
      </c>
      <c r="B731" s="18" t="s">
        <v>1301</v>
      </c>
      <c r="C731" s="18">
        <f t="shared" si="121"/>
        <v>141</v>
      </c>
      <c r="D731" s="19">
        <f t="shared" si="122"/>
        <v>2</v>
      </c>
      <c r="E731" s="19">
        <f>VLOOKUP(MOD(A731,4),各职业基础配置!C$32:D$35,2,FALSE)</f>
        <v>6</v>
      </c>
      <c r="F731" s="19">
        <f>IF(A731&lt;900,INDEX(各职业基础配置!C$23:C$28,MOD(ROW(A731),4)+1),0)</f>
        <v>16</v>
      </c>
      <c r="G731" s="19">
        <f t="shared" si="123"/>
        <v>8</v>
      </c>
      <c r="H731" s="27">
        <f t="shared" si="124"/>
        <v>1</v>
      </c>
      <c r="I731" s="6" t="s">
        <v>164</v>
      </c>
      <c r="J731" s="23" t="str">
        <f>VLOOKUP(E731,各职业基础配置!$B$9:$C$12,2,FALSE)</f>
        <v>111|112|113|4201|115</v>
      </c>
      <c r="K731" s="18" t="str">
        <f>VLOOKUP(E731,各职业基础配置!$B$15:$C$18,2,FALSE)</f>
        <v>32|33|34</v>
      </c>
      <c r="L731" s="18" t="str">
        <f>VLOOKUP(E731,各职业基础配置!B:C,2,FALSE)</f>
        <v>[{32,1,1},{33,1,1},{34,1,1},{35,1,1},{7,1,1},{8,1,1},{9,1,1}]</v>
      </c>
      <c r="M731" s="18">
        <v>0</v>
      </c>
      <c r="N731" s="18">
        <f t="shared" si="125"/>
        <v>7</v>
      </c>
      <c r="O731" s="18">
        <f>SUMPRODUCT(P731:AI731,Sheet2!$B$3:$U$3)</f>
        <v>65104</v>
      </c>
      <c r="P731" s="18">
        <f>CEILING(INDEX([1]系统模型!$VD:$VD,MATCH(C731,[1]系统模型!$A:$A,0))*POWER(C731/220,3.8)-50+(1000-A731),1)</f>
        <v>993</v>
      </c>
      <c r="Q731" s="18">
        <f>CEILING(INDEX([1]系统模型!$VE:$VE,MATCH(C731,[1]系统模型!$A:$A,0))*POWER(C731/220,4),1)</f>
        <v>86</v>
      </c>
      <c r="R731" s="18">
        <f>INT(INDEX([1]系统模型!$VF:$VF,MATCH(C731,[1]系统模型!$A:$A,0))*MAX(POWER(C731/180,4),0.5))</f>
        <v>8329</v>
      </c>
      <c r="S731" s="5">
        <v>1000</v>
      </c>
      <c r="T731" s="25">
        <v>0</v>
      </c>
      <c r="U731" s="25">
        <v>0</v>
      </c>
      <c r="V731" s="25">
        <v>0</v>
      </c>
      <c r="W731" s="25">
        <v>0</v>
      </c>
      <c r="X731" s="25">
        <f t="shared" si="126"/>
        <v>416</v>
      </c>
      <c r="Y731" s="12">
        <v>0</v>
      </c>
      <c r="Z731" s="25">
        <v>100</v>
      </c>
      <c r="AA731" s="25">
        <v>150</v>
      </c>
      <c r="AB731" s="25">
        <v>0</v>
      </c>
      <c r="AC731" s="25">
        <v>0</v>
      </c>
      <c r="AD731" s="25">
        <v>0</v>
      </c>
      <c r="AE731" s="25">
        <f t="shared" si="127"/>
        <v>282</v>
      </c>
      <c r="AF731" s="25">
        <f t="shared" si="128"/>
        <v>282</v>
      </c>
      <c r="AG731" s="25">
        <v>0</v>
      </c>
      <c r="AH731" s="25">
        <f t="shared" si="129"/>
        <v>1825</v>
      </c>
      <c r="AI731" s="25">
        <f t="shared" si="130"/>
        <v>13</v>
      </c>
      <c r="AJ731" s="25">
        <v>1</v>
      </c>
      <c r="AK731" s="25">
        <v>1000</v>
      </c>
      <c r="AL731" s="25">
        <v>100</v>
      </c>
      <c r="AM731" s="26">
        <v>10</v>
      </c>
      <c r="AN731" s="26">
        <v>10</v>
      </c>
      <c r="AO731" s="22" t="s">
        <v>2211</v>
      </c>
      <c r="AP731" s="26">
        <v>0</v>
      </c>
      <c r="AQ731" s="26">
        <f t="shared" si="131"/>
        <v>260</v>
      </c>
      <c r="AR731" s="18" t="str">
        <f ca="1">CONCATENATE(OFFSET(Sheet1!$A$2,RANDBETWEEN(2,500),0,1,1),OFFSET(Sheet1!$A$2,RANDBETWEEN(2,500),RANDBETWEEN(1,5),1,1))</f>
        <v>爱迪生</v>
      </c>
      <c r="AS731">
        <f>SUMPRODUCT(P731:AI731,Sheet2!$B$3:$U$3)</f>
        <v>65104</v>
      </c>
    </row>
    <row r="732" spans="1:45" x14ac:dyDescent="0.15">
      <c r="A732" s="18">
        <v>731</v>
      </c>
      <c r="B732" s="18" t="s">
        <v>2107</v>
      </c>
      <c r="C732" s="18">
        <f t="shared" si="121"/>
        <v>141</v>
      </c>
      <c r="D732" s="19">
        <f t="shared" si="122"/>
        <v>3</v>
      </c>
      <c r="E732" s="19">
        <f>VLOOKUP(MOD(A732,4),各职业基础配置!C$32:D$35,2,FALSE)</f>
        <v>9</v>
      </c>
      <c r="F732" s="19">
        <f>IF(A732&lt;900,INDEX(各职业基础配置!C$23:C$28,MOD(ROW(A732),4)+1),0)</f>
        <v>8</v>
      </c>
      <c r="G732" s="19">
        <f t="shared" si="123"/>
        <v>8</v>
      </c>
      <c r="H732" s="27">
        <f t="shared" si="124"/>
        <v>1</v>
      </c>
      <c r="I732" s="6" t="s">
        <v>164</v>
      </c>
      <c r="J732" s="23" t="str">
        <f>VLOOKUP(E732,各职业基础配置!$B$9:$C$12,2,FALSE)</f>
        <v>116|117|118|4201|120</v>
      </c>
      <c r="K732" s="18" t="str">
        <f>VLOOKUP(E732,各职业基础配置!$B$15:$C$18,2,FALSE)</f>
        <v>28|29|30|31</v>
      </c>
      <c r="L732" s="18" t="str">
        <f>VLOOKUP(E732,各职业基础配置!B:C,2,FALSE)</f>
        <v>[{28,1,1},{29,1,1},{30,1,1},{31,1,1},{10,1,1},{11,1,1},{12,1,1}]</v>
      </c>
      <c r="M732" s="18">
        <v>0</v>
      </c>
      <c r="N732" s="18">
        <f t="shared" si="125"/>
        <v>3</v>
      </c>
      <c r="O732" s="18">
        <f>SUMPRODUCT(P732:AI732,Sheet2!$B$3:$U$3)</f>
        <v>65079</v>
      </c>
      <c r="P732" s="18">
        <f>CEILING(INDEX([1]系统模型!$VD:$VD,MATCH(C732,[1]系统模型!$A:$A,0))*POWER(C732/220,3.8)-50+(1000-A732),1)</f>
        <v>992</v>
      </c>
      <c r="Q732" s="18">
        <f>CEILING(INDEX([1]系统模型!$VE:$VE,MATCH(C732,[1]系统模型!$A:$A,0))*POWER(C732/220,4),1)</f>
        <v>86</v>
      </c>
      <c r="R732" s="18">
        <f>INT(INDEX([1]系统模型!$VF:$VF,MATCH(C732,[1]系统模型!$A:$A,0))*MAX(POWER(C732/180,4),0.5))</f>
        <v>8329</v>
      </c>
      <c r="S732" s="5">
        <v>1000</v>
      </c>
      <c r="T732" s="25">
        <v>0</v>
      </c>
      <c r="U732" s="25">
        <v>0</v>
      </c>
      <c r="V732" s="25">
        <v>0</v>
      </c>
      <c r="W732" s="25">
        <v>0</v>
      </c>
      <c r="X732" s="25">
        <f t="shared" si="126"/>
        <v>416</v>
      </c>
      <c r="Y732" s="12">
        <v>0</v>
      </c>
      <c r="Z732" s="25">
        <v>100</v>
      </c>
      <c r="AA732" s="25">
        <v>150</v>
      </c>
      <c r="AB732" s="25">
        <v>0</v>
      </c>
      <c r="AC732" s="25">
        <v>0</v>
      </c>
      <c r="AD732" s="25">
        <v>0</v>
      </c>
      <c r="AE732" s="25">
        <f t="shared" si="127"/>
        <v>282</v>
      </c>
      <c r="AF732" s="25">
        <f t="shared" si="128"/>
        <v>282</v>
      </c>
      <c r="AG732" s="25">
        <v>0</v>
      </c>
      <c r="AH732" s="25">
        <f t="shared" si="129"/>
        <v>1825</v>
      </c>
      <c r="AI732" s="25">
        <f t="shared" si="130"/>
        <v>13</v>
      </c>
      <c r="AJ732" s="25">
        <v>1</v>
      </c>
      <c r="AK732" s="25">
        <v>1000</v>
      </c>
      <c r="AL732" s="25">
        <v>100</v>
      </c>
      <c r="AM732" s="26">
        <v>10</v>
      </c>
      <c r="AN732" s="26">
        <v>10</v>
      </c>
      <c r="AO732" s="22" t="s">
        <v>2211</v>
      </c>
      <c r="AP732" s="26">
        <v>0</v>
      </c>
      <c r="AQ732" s="26">
        <f t="shared" si="131"/>
        <v>260</v>
      </c>
      <c r="AR732" s="18" t="str">
        <f ca="1">CONCATENATE(OFFSET(Sheet1!$A$2,RANDBETWEEN(2,500),0,1,1),OFFSET(Sheet1!$A$2,RANDBETWEEN(2,500),RANDBETWEEN(1,5),1,1))</f>
        <v>波伊尔</v>
      </c>
      <c r="AS732">
        <f>SUMPRODUCT(P732:AI732,Sheet2!$B$3:$U$3)</f>
        <v>65079</v>
      </c>
    </row>
    <row r="733" spans="1:45" x14ac:dyDescent="0.15">
      <c r="A733" s="23">
        <v>732</v>
      </c>
      <c r="B733" s="18" t="s">
        <v>2108</v>
      </c>
      <c r="C733" s="18">
        <f t="shared" si="121"/>
        <v>141</v>
      </c>
      <c r="D733" s="19">
        <f t="shared" si="122"/>
        <v>2</v>
      </c>
      <c r="E733" s="19">
        <f>VLOOKUP(MOD(A733,4),各职业基础配置!C$32:D$35,2,FALSE)</f>
        <v>1</v>
      </c>
      <c r="F733" s="19">
        <f>IF(A733&lt;900,INDEX(各职业基础配置!C$23:C$28,MOD(ROW(A733),4)+1),0)</f>
        <v>13</v>
      </c>
      <c r="G733" s="19">
        <f t="shared" si="123"/>
        <v>8</v>
      </c>
      <c r="H733" s="27">
        <f t="shared" si="124"/>
        <v>1</v>
      </c>
      <c r="I733" s="6" t="s">
        <v>164</v>
      </c>
      <c r="J733" s="23" t="str">
        <f>VLOOKUP(E733,各职业基础配置!$B$9:$C$12,2,FALSE)</f>
        <v>101|102|103|4201|105</v>
      </c>
      <c r="K733" s="18" t="str">
        <f>VLOOKUP(E733,各职业基础配置!$B$15:$C$18,2,FALSE)</f>
        <v>24|25|26|27</v>
      </c>
      <c r="L733" s="18" t="str">
        <f>VLOOKUP(E733,各职业基础配置!B:C,2,FALSE)</f>
        <v>[{24,1,1},{25,1,1},{26,1,1},{27,1,1},{1,1,1},{2,1,1},{3,1,1}]</v>
      </c>
      <c r="M733" s="18">
        <v>0</v>
      </c>
      <c r="N733" s="18">
        <f t="shared" si="125"/>
        <v>3</v>
      </c>
      <c r="O733" s="18">
        <f>SUMPRODUCT(P733:AI733,Sheet2!$B$3:$U$3)</f>
        <v>65054</v>
      </c>
      <c r="P733" s="18">
        <f>CEILING(INDEX([1]系统模型!$VD:$VD,MATCH(C733,[1]系统模型!$A:$A,0))*POWER(C733/220,3.8)-50+(1000-A733),1)</f>
        <v>991</v>
      </c>
      <c r="Q733" s="18">
        <f>CEILING(INDEX([1]系统模型!$VE:$VE,MATCH(C733,[1]系统模型!$A:$A,0))*POWER(C733/220,4),1)</f>
        <v>86</v>
      </c>
      <c r="R733" s="18">
        <f>INT(INDEX([1]系统模型!$VF:$VF,MATCH(C733,[1]系统模型!$A:$A,0))*MAX(POWER(C733/180,4),0.5))</f>
        <v>8329</v>
      </c>
      <c r="S733" s="5">
        <v>1000</v>
      </c>
      <c r="T733" s="25">
        <v>0</v>
      </c>
      <c r="U733" s="25">
        <v>0</v>
      </c>
      <c r="V733" s="25">
        <v>0</v>
      </c>
      <c r="W733" s="25">
        <v>0</v>
      </c>
      <c r="X733" s="25">
        <f t="shared" si="126"/>
        <v>416</v>
      </c>
      <c r="Y733" s="12">
        <v>0</v>
      </c>
      <c r="Z733" s="25">
        <v>100</v>
      </c>
      <c r="AA733" s="25">
        <v>150</v>
      </c>
      <c r="AB733" s="25">
        <v>0</v>
      </c>
      <c r="AC733" s="25">
        <v>0</v>
      </c>
      <c r="AD733" s="25">
        <v>0</v>
      </c>
      <c r="AE733" s="25">
        <f t="shared" si="127"/>
        <v>282</v>
      </c>
      <c r="AF733" s="25">
        <f t="shared" si="128"/>
        <v>282</v>
      </c>
      <c r="AG733" s="25">
        <v>0</v>
      </c>
      <c r="AH733" s="25">
        <f t="shared" si="129"/>
        <v>1825</v>
      </c>
      <c r="AI733" s="25">
        <f t="shared" si="130"/>
        <v>13</v>
      </c>
      <c r="AJ733" s="25">
        <v>1</v>
      </c>
      <c r="AK733" s="25">
        <v>1000</v>
      </c>
      <c r="AL733" s="25">
        <v>100</v>
      </c>
      <c r="AM733" s="26">
        <v>10</v>
      </c>
      <c r="AN733" s="26">
        <v>10</v>
      </c>
      <c r="AO733" s="22" t="s">
        <v>2211</v>
      </c>
      <c r="AP733" s="26">
        <v>0</v>
      </c>
      <c r="AQ733" s="26">
        <f t="shared" si="131"/>
        <v>260</v>
      </c>
      <c r="AR733" s="18" t="str">
        <f ca="1">CONCATENATE(OFFSET(Sheet1!$A$2,RANDBETWEEN(2,500),0,1,1),OFFSET(Sheet1!$A$2,RANDBETWEEN(2,500),RANDBETWEEN(1,5),1,1))</f>
        <v>赫胥黎玛佩尔</v>
      </c>
      <c r="AS733">
        <f>SUMPRODUCT(P733:AI733,Sheet2!$B$3:$U$3)</f>
        <v>65054</v>
      </c>
    </row>
    <row r="734" spans="1:45" x14ac:dyDescent="0.15">
      <c r="A734" s="18">
        <v>733</v>
      </c>
      <c r="B734" s="18" t="s">
        <v>1371</v>
      </c>
      <c r="C734" s="18">
        <f t="shared" si="121"/>
        <v>141</v>
      </c>
      <c r="D734" s="19">
        <f t="shared" si="122"/>
        <v>3</v>
      </c>
      <c r="E734" s="19">
        <f>VLOOKUP(MOD(A734,4),各职业基础配置!C$32:D$35,2,FALSE)</f>
        <v>3</v>
      </c>
      <c r="F734" s="19">
        <f>IF(A734&lt;900,INDEX(各职业基础配置!C$23:C$28,MOD(ROW(A734),4)+1),0)</f>
        <v>14</v>
      </c>
      <c r="G734" s="19">
        <f t="shared" si="123"/>
        <v>8</v>
      </c>
      <c r="H734" s="27">
        <f t="shared" si="124"/>
        <v>1</v>
      </c>
      <c r="I734" s="6" t="s">
        <v>164</v>
      </c>
      <c r="J734" s="23" t="str">
        <f>VLOOKUP(E734,各职业基础配置!$B$9:$C$12,2,FALSE)</f>
        <v>106|107|108|4201|110</v>
      </c>
      <c r="K734" s="18" t="str">
        <f>VLOOKUP(E734,各职业基础配置!$B$15:$C$18,2,FALSE)</f>
        <v>20|21|22|23</v>
      </c>
      <c r="L734" s="18" t="str">
        <f>VLOOKUP(E734,各职业基础配置!B:C,2,FALSE)</f>
        <v>[{20,1,1},{21,1,1},{22,1,1},{23,1,1},{4,1,1},{5,1,1},{6,1,1}]</v>
      </c>
      <c r="M734" s="18">
        <v>0</v>
      </c>
      <c r="N734" s="18">
        <f t="shared" si="125"/>
        <v>7</v>
      </c>
      <c r="O734" s="18">
        <f>SUMPRODUCT(P734:AI734,Sheet2!$B$3:$U$3)</f>
        <v>65029</v>
      </c>
      <c r="P734" s="18">
        <f>CEILING(INDEX([1]系统模型!$VD:$VD,MATCH(C734,[1]系统模型!$A:$A,0))*POWER(C734/220,3.8)-50+(1000-A734),1)</f>
        <v>990</v>
      </c>
      <c r="Q734" s="18">
        <f>CEILING(INDEX([1]系统模型!$VE:$VE,MATCH(C734,[1]系统模型!$A:$A,0))*POWER(C734/220,4),1)</f>
        <v>86</v>
      </c>
      <c r="R734" s="18">
        <f>INT(INDEX([1]系统模型!$VF:$VF,MATCH(C734,[1]系统模型!$A:$A,0))*MAX(POWER(C734/180,4),0.5))</f>
        <v>8329</v>
      </c>
      <c r="S734" s="5">
        <v>1000</v>
      </c>
      <c r="T734" s="25">
        <v>0</v>
      </c>
      <c r="U734" s="25">
        <v>0</v>
      </c>
      <c r="V734" s="25">
        <v>0</v>
      </c>
      <c r="W734" s="25">
        <v>0</v>
      </c>
      <c r="X734" s="25">
        <f t="shared" si="126"/>
        <v>416</v>
      </c>
      <c r="Y734" s="12">
        <v>0</v>
      </c>
      <c r="Z734" s="25">
        <v>100</v>
      </c>
      <c r="AA734" s="25">
        <v>150</v>
      </c>
      <c r="AB734" s="25">
        <v>0</v>
      </c>
      <c r="AC734" s="25">
        <v>0</v>
      </c>
      <c r="AD734" s="25">
        <v>0</v>
      </c>
      <c r="AE734" s="25">
        <f t="shared" si="127"/>
        <v>282</v>
      </c>
      <c r="AF734" s="25">
        <f t="shared" si="128"/>
        <v>282</v>
      </c>
      <c r="AG734" s="25">
        <v>0</v>
      </c>
      <c r="AH734" s="25">
        <f t="shared" si="129"/>
        <v>1825</v>
      </c>
      <c r="AI734" s="25">
        <f t="shared" si="130"/>
        <v>13</v>
      </c>
      <c r="AJ734" s="25">
        <v>1</v>
      </c>
      <c r="AK734" s="25">
        <v>1000</v>
      </c>
      <c r="AL734" s="25">
        <v>100</v>
      </c>
      <c r="AM734" s="26">
        <v>10</v>
      </c>
      <c r="AN734" s="26">
        <v>10</v>
      </c>
      <c r="AO734" s="22" t="s">
        <v>2211</v>
      </c>
      <c r="AP734" s="26">
        <v>0</v>
      </c>
      <c r="AQ734" s="26">
        <f t="shared" si="131"/>
        <v>260</v>
      </c>
      <c r="AR734" s="18" t="str">
        <f ca="1">CONCATENATE(OFFSET(Sheet1!$A$2,RANDBETWEEN(2,500),0,1,1),OFFSET(Sheet1!$A$2,RANDBETWEEN(2,500),RANDBETWEEN(1,5),1,1))</f>
        <v>伊夫</v>
      </c>
      <c r="AS734">
        <f>SUMPRODUCT(P734:AI734,Sheet2!$B$3:$U$3)</f>
        <v>65029</v>
      </c>
    </row>
    <row r="735" spans="1:45" x14ac:dyDescent="0.15">
      <c r="A735" s="18">
        <v>734</v>
      </c>
      <c r="B735" s="18" t="s">
        <v>2109</v>
      </c>
      <c r="C735" s="18">
        <f t="shared" si="121"/>
        <v>141</v>
      </c>
      <c r="D735" s="19">
        <f t="shared" si="122"/>
        <v>2</v>
      </c>
      <c r="E735" s="19">
        <f>VLOOKUP(MOD(A735,4),各职业基础配置!C$32:D$35,2,FALSE)</f>
        <v>6</v>
      </c>
      <c r="F735" s="19">
        <f>IF(A735&lt;900,INDEX(各职业基础配置!C$23:C$28,MOD(ROW(A735),4)+1),0)</f>
        <v>16</v>
      </c>
      <c r="G735" s="19">
        <f t="shared" si="123"/>
        <v>8</v>
      </c>
      <c r="H735" s="27">
        <f t="shared" si="124"/>
        <v>1</v>
      </c>
      <c r="I735" s="6" t="s">
        <v>164</v>
      </c>
      <c r="J735" s="23" t="str">
        <f>VLOOKUP(E735,各职业基础配置!$B$9:$C$12,2,FALSE)</f>
        <v>111|112|113|4201|115</v>
      </c>
      <c r="K735" s="18" t="str">
        <f>VLOOKUP(E735,各职业基础配置!$B$15:$C$18,2,FALSE)</f>
        <v>32|33|34</v>
      </c>
      <c r="L735" s="18" t="str">
        <f>VLOOKUP(E735,各职业基础配置!B:C,2,FALSE)</f>
        <v>[{32,1,1},{33,1,1},{34,1,1},{35,1,1},{7,1,1},{8,1,1},{9,1,1}]</v>
      </c>
      <c r="M735" s="18">
        <v>0</v>
      </c>
      <c r="N735" s="18">
        <f t="shared" si="125"/>
        <v>7</v>
      </c>
      <c r="O735" s="18">
        <f>SUMPRODUCT(P735:AI735,Sheet2!$B$3:$U$3)</f>
        <v>65004</v>
      </c>
      <c r="P735" s="18">
        <f>CEILING(INDEX([1]系统模型!$VD:$VD,MATCH(C735,[1]系统模型!$A:$A,0))*POWER(C735/220,3.8)-50+(1000-A735),1)</f>
        <v>989</v>
      </c>
      <c r="Q735" s="18">
        <f>CEILING(INDEX([1]系统模型!$VE:$VE,MATCH(C735,[1]系统模型!$A:$A,0))*POWER(C735/220,4),1)</f>
        <v>86</v>
      </c>
      <c r="R735" s="18">
        <f>INT(INDEX([1]系统模型!$VF:$VF,MATCH(C735,[1]系统模型!$A:$A,0))*MAX(POWER(C735/180,4),0.5))</f>
        <v>8329</v>
      </c>
      <c r="S735" s="5">
        <v>1000</v>
      </c>
      <c r="T735" s="25">
        <v>0</v>
      </c>
      <c r="U735" s="25">
        <v>0</v>
      </c>
      <c r="V735" s="25">
        <v>0</v>
      </c>
      <c r="W735" s="25">
        <v>0</v>
      </c>
      <c r="X735" s="25">
        <f t="shared" si="126"/>
        <v>416</v>
      </c>
      <c r="Y735" s="12">
        <v>0</v>
      </c>
      <c r="Z735" s="25">
        <v>100</v>
      </c>
      <c r="AA735" s="25">
        <v>150</v>
      </c>
      <c r="AB735" s="25">
        <v>0</v>
      </c>
      <c r="AC735" s="25">
        <v>0</v>
      </c>
      <c r="AD735" s="25">
        <v>0</v>
      </c>
      <c r="AE735" s="25">
        <f t="shared" si="127"/>
        <v>282</v>
      </c>
      <c r="AF735" s="25">
        <f t="shared" si="128"/>
        <v>282</v>
      </c>
      <c r="AG735" s="25">
        <v>0</v>
      </c>
      <c r="AH735" s="25">
        <f t="shared" si="129"/>
        <v>1825</v>
      </c>
      <c r="AI735" s="25">
        <f t="shared" si="130"/>
        <v>13</v>
      </c>
      <c r="AJ735" s="25">
        <v>1</v>
      </c>
      <c r="AK735" s="25">
        <v>1000</v>
      </c>
      <c r="AL735" s="25">
        <v>100</v>
      </c>
      <c r="AM735" s="26">
        <v>10</v>
      </c>
      <c r="AN735" s="26">
        <v>10</v>
      </c>
      <c r="AO735" s="22" t="s">
        <v>2211</v>
      </c>
      <c r="AP735" s="26">
        <v>0</v>
      </c>
      <c r="AQ735" s="26">
        <f t="shared" si="131"/>
        <v>260</v>
      </c>
      <c r="AR735" s="18" t="str">
        <f ca="1">CONCATENATE(OFFSET(Sheet1!$A$2,RANDBETWEEN(2,500),0,1,1),OFFSET(Sheet1!$A$2,RANDBETWEEN(2,500),RANDBETWEEN(1,5),1,1))</f>
        <v>詹理斯</v>
      </c>
      <c r="AS735">
        <f>SUMPRODUCT(P735:AI735,Sheet2!$B$3:$U$3)</f>
        <v>65004</v>
      </c>
    </row>
    <row r="736" spans="1:45" x14ac:dyDescent="0.15">
      <c r="A736" s="23">
        <v>735</v>
      </c>
      <c r="B736" s="18" t="s">
        <v>1035</v>
      </c>
      <c r="C736" s="18">
        <f t="shared" si="121"/>
        <v>141</v>
      </c>
      <c r="D736" s="19">
        <f t="shared" si="122"/>
        <v>3</v>
      </c>
      <c r="E736" s="19">
        <f>VLOOKUP(MOD(A736,4),各职业基础配置!C$32:D$35,2,FALSE)</f>
        <v>9</v>
      </c>
      <c r="F736" s="19">
        <f>IF(A736&lt;900,INDEX(各职业基础配置!C$23:C$28,MOD(ROW(A736),4)+1),0)</f>
        <v>8</v>
      </c>
      <c r="G736" s="19">
        <f t="shared" si="123"/>
        <v>8</v>
      </c>
      <c r="H736" s="27">
        <f t="shared" si="124"/>
        <v>1</v>
      </c>
      <c r="I736" s="6" t="s">
        <v>164</v>
      </c>
      <c r="J736" s="23" t="str">
        <f>VLOOKUP(E736,各职业基础配置!$B$9:$C$12,2,FALSE)</f>
        <v>116|117|118|4201|120</v>
      </c>
      <c r="K736" s="18" t="str">
        <f>VLOOKUP(E736,各职业基础配置!$B$15:$C$18,2,FALSE)</f>
        <v>28|29|30|31</v>
      </c>
      <c r="L736" s="18" t="str">
        <f>VLOOKUP(E736,各职业基础配置!B:C,2,FALSE)</f>
        <v>[{28,1,1},{29,1,1},{30,1,1},{31,1,1},{10,1,1},{11,1,1},{12,1,1}]</v>
      </c>
      <c r="M736" s="18">
        <v>0</v>
      </c>
      <c r="N736" s="18">
        <f t="shared" si="125"/>
        <v>3</v>
      </c>
      <c r="O736" s="18">
        <f>SUMPRODUCT(P736:AI736,Sheet2!$B$3:$U$3)</f>
        <v>64979</v>
      </c>
      <c r="P736" s="18">
        <f>CEILING(INDEX([1]系统模型!$VD:$VD,MATCH(C736,[1]系统模型!$A:$A,0))*POWER(C736/220,3.8)-50+(1000-A736),1)</f>
        <v>988</v>
      </c>
      <c r="Q736" s="18">
        <f>CEILING(INDEX([1]系统模型!$VE:$VE,MATCH(C736,[1]系统模型!$A:$A,0))*POWER(C736/220,4),1)</f>
        <v>86</v>
      </c>
      <c r="R736" s="18">
        <f>INT(INDEX([1]系统模型!$VF:$VF,MATCH(C736,[1]系统模型!$A:$A,0))*MAX(POWER(C736/180,4),0.5))</f>
        <v>8329</v>
      </c>
      <c r="S736" s="5">
        <v>1000</v>
      </c>
      <c r="T736" s="25">
        <v>0</v>
      </c>
      <c r="U736" s="25">
        <v>0</v>
      </c>
      <c r="V736" s="25">
        <v>0</v>
      </c>
      <c r="W736" s="25">
        <v>0</v>
      </c>
      <c r="X736" s="25">
        <f t="shared" si="126"/>
        <v>416</v>
      </c>
      <c r="Y736" s="12">
        <v>0</v>
      </c>
      <c r="Z736" s="25">
        <v>100</v>
      </c>
      <c r="AA736" s="25">
        <v>150</v>
      </c>
      <c r="AB736" s="25">
        <v>0</v>
      </c>
      <c r="AC736" s="25">
        <v>0</v>
      </c>
      <c r="AD736" s="25">
        <v>0</v>
      </c>
      <c r="AE736" s="25">
        <f t="shared" si="127"/>
        <v>282</v>
      </c>
      <c r="AF736" s="25">
        <f t="shared" si="128"/>
        <v>282</v>
      </c>
      <c r="AG736" s="25">
        <v>0</v>
      </c>
      <c r="AH736" s="25">
        <f t="shared" si="129"/>
        <v>1825</v>
      </c>
      <c r="AI736" s="25">
        <f t="shared" si="130"/>
        <v>13</v>
      </c>
      <c r="AJ736" s="25">
        <v>1</v>
      </c>
      <c r="AK736" s="25">
        <v>1000</v>
      </c>
      <c r="AL736" s="25">
        <v>100</v>
      </c>
      <c r="AM736" s="26">
        <v>10</v>
      </c>
      <c r="AN736" s="26">
        <v>10</v>
      </c>
      <c r="AO736" s="22" t="s">
        <v>2211</v>
      </c>
      <c r="AP736" s="26">
        <v>0</v>
      </c>
      <c r="AQ736" s="26">
        <f t="shared" si="131"/>
        <v>260</v>
      </c>
      <c r="AR736" s="18" t="str">
        <f ca="1">CONCATENATE(OFFSET(Sheet1!$A$2,RANDBETWEEN(2,500),0,1,1),OFFSET(Sheet1!$A$2,RANDBETWEEN(2,500),RANDBETWEEN(1,5),1,1))</f>
        <v>贝丝</v>
      </c>
      <c r="AS736">
        <f>SUMPRODUCT(P736:AI736,Sheet2!$B$3:$U$3)</f>
        <v>64979</v>
      </c>
    </row>
    <row r="737" spans="1:45" x14ac:dyDescent="0.15">
      <c r="A737" s="18">
        <v>736</v>
      </c>
      <c r="B737" s="18" t="s">
        <v>2110</v>
      </c>
      <c r="C737" s="18">
        <f t="shared" si="121"/>
        <v>141</v>
      </c>
      <c r="D737" s="19">
        <f t="shared" si="122"/>
        <v>2</v>
      </c>
      <c r="E737" s="19">
        <f>VLOOKUP(MOD(A737,4),各职业基础配置!C$32:D$35,2,FALSE)</f>
        <v>1</v>
      </c>
      <c r="F737" s="19">
        <f>IF(A737&lt;900,INDEX(各职业基础配置!C$23:C$28,MOD(ROW(A737),4)+1),0)</f>
        <v>13</v>
      </c>
      <c r="G737" s="19">
        <f t="shared" si="123"/>
        <v>8</v>
      </c>
      <c r="H737" s="27">
        <f t="shared" si="124"/>
        <v>1</v>
      </c>
      <c r="I737" s="6" t="s">
        <v>164</v>
      </c>
      <c r="J737" s="23" t="str">
        <f>VLOOKUP(E737,各职业基础配置!$B$9:$C$12,2,FALSE)</f>
        <v>101|102|103|4201|105</v>
      </c>
      <c r="K737" s="18" t="str">
        <f>VLOOKUP(E737,各职业基础配置!$B$15:$C$18,2,FALSE)</f>
        <v>24|25|26|27</v>
      </c>
      <c r="L737" s="18" t="str">
        <f>VLOOKUP(E737,各职业基础配置!B:C,2,FALSE)</f>
        <v>[{24,1,1},{25,1,1},{26,1,1},{27,1,1},{1,1,1},{2,1,1},{3,1,1}]</v>
      </c>
      <c r="M737" s="18">
        <v>0</v>
      </c>
      <c r="N737" s="18">
        <f t="shared" si="125"/>
        <v>3</v>
      </c>
      <c r="O737" s="18">
        <f>SUMPRODUCT(P737:AI737,Sheet2!$B$3:$U$3)</f>
        <v>64954</v>
      </c>
      <c r="P737" s="18">
        <f>CEILING(INDEX([1]系统模型!$VD:$VD,MATCH(C737,[1]系统模型!$A:$A,0))*POWER(C737/220,3.8)-50+(1000-A737),1)</f>
        <v>987</v>
      </c>
      <c r="Q737" s="18">
        <f>CEILING(INDEX([1]系统模型!$VE:$VE,MATCH(C737,[1]系统模型!$A:$A,0))*POWER(C737/220,4),1)</f>
        <v>86</v>
      </c>
      <c r="R737" s="18">
        <f>INT(INDEX([1]系统模型!$VF:$VF,MATCH(C737,[1]系统模型!$A:$A,0))*MAX(POWER(C737/180,4),0.5))</f>
        <v>8329</v>
      </c>
      <c r="S737" s="5">
        <v>1000</v>
      </c>
      <c r="T737" s="25">
        <v>0</v>
      </c>
      <c r="U737" s="25">
        <v>0</v>
      </c>
      <c r="V737" s="25">
        <v>0</v>
      </c>
      <c r="W737" s="25">
        <v>0</v>
      </c>
      <c r="X737" s="25">
        <f t="shared" si="126"/>
        <v>416</v>
      </c>
      <c r="Y737" s="12">
        <v>0</v>
      </c>
      <c r="Z737" s="25">
        <v>100</v>
      </c>
      <c r="AA737" s="25">
        <v>150</v>
      </c>
      <c r="AB737" s="25">
        <v>0</v>
      </c>
      <c r="AC737" s="25">
        <v>0</v>
      </c>
      <c r="AD737" s="25">
        <v>0</v>
      </c>
      <c r="AE737" s="25">
        <f t="shared" si="127"/>
        <v>282</v>
      </c>
      <c r="AF737" s="25">
        <f t="shared" si="128"/>
        <v>282</v>
      </c>
      <c r="AG737" s="25">
        <v>0</v>
      </c>
      <c r="AH737" s="25">
        <f t="shared" si="129"/>
        <v>1825</v>
      </c>
      <c r="AI737" s="25">
        <f t="shared" si="130"/>
        <v>13</v>
      </c>
      <c r="AJ737" s="25">
        <v>1</v>
      </c>
      <c r="AK737" s="25">
        <v>1000</v>
      </c>
      <c r="AL737" s="25">
        <v>100</v>
      </c>
      <c r="AM737" s="26">
        <v>10</v>
      </c>
      <c r="AN737" s="26">
        <v>10</v>
      </c>
      <c r="AO737" s="22" t="s">
        <v>2211</v>
      </c>
      <c r="AP737" s="26">
        <v>0</v>
      </c>
      <c r="AQ737" s="26">
        <f t="shared" si="131"/>
        <v>250</v>
      </c>
      <c r="AR737" s="18" t="str">
        <f ca="1">CONCATENATE(OFFSET(Sheet1!$A$2,RANDBETWEEN(2,500),0,1,1),OFFSET(Sheet1!$A$2,RANDBETWEEN(2,500),RANDBETWEEN(1,5),1,1))</f>
        <v>汉萨葛瑞丝</v>
      </c>
      <c r="AS737">
        <f>SUMPRODUCT(P737:AI737,Sheet2!$B$3:$U$3)</f>
        <v>64954</v>
      </c>
    </row>
    <row r="738" spans="1:45" x14ac:dyDescent="0.15">
      <c r="A738" s="18">
        <v>737</v>
      </c>
      <c r="B738" s="18" t="s">
        <v>2111</v>
      </c>
      <c r="C738" s="18">
        <f t="shared" si="121"/>
        <v>140</v>
      </c>
      <c r="D738" s="19">
        <f t="shared" si="122"/>
        <v>3</v>
      </c>
      <c r="E738" s="19">
        <f>VLOOKUP(MOD(A738,4),各职业基础配置!C$32:D$35,2,FALSE)</f>
        <v>3</v>
      </c>
      <c r="F738" s="19">
        <f>IF(A738&lt;900,INDEX(各职业基础配置!C$23:C$28,MOD(ROW(A738),4)+1),0)</f>
        <v>14</v>
      </c>
      <c r="G738" s="19">
        <f t="shared" si="123"/>
        <v>7</v>
      </c>
      <c r="H738" s="27">
        <f t="shared" si="124"/>
        <v>1</v>
      </c>
      <c r="I738" s="6" t="s">
        <v>164</v>
      </c>
      <c r="J738" s="23" t="str">
        <f>VLOOKUP(E738,各职业基础配置!$B$9:$C$12,2,FALSE)</f>
        <v>106|107|108|4201|110</v>
      </c>
      <c r="K738" s="18" t="str">
        <f>VLOOKUP(E738,各职业基础配置!$B$15:$C$18,2,FALSE)</f>
        <v>20|21|22|23</v>
      </c>
      <c r="L738" s="18" t="str">
        <f>VLOOKUP(E738,各职业基础配置!B:C,2,FALSE)</f>
        <v>[{20,1,1},{21,1,1},{22,1,1},{23,1,1},{4,1,1},{5,1,1},{6,1,1}]</v>
      </c>
      <c r="M738" s="18">
        <v>0</v>
      </c>
      <c r="N738" s="18">
        <f t="shared" si="125"/>
        <v>7</v>
      </c>
      <c r="O738" s="18">
        <f>SUMPRODUCT(P738:AI738,Sheet2!$B$3:$U$3)</f>
        <v>63548</v>
      </c>
      <c r="P738" s="18">
        <f>CEILING(INDEX([1]系统模型!$VD:$VD,MATCH(C738,[1]系统模型!$A:$A,0))*POWER(C738/220,3.8)-50+(1000-A738),1)</f>
        <v>960</v>
      </c>
      <c r="Q738" s="18">
        <f>CEILING(INDEX([1]系统模型!$VE:$VE,MATCH(C738,[1]系统模型!$A:$A,0))*POWER(C738/220,4),1)</f>
        <v>82</v>
      </c>
      <c r="R738" s="18">
        <f>INT(INDEX([1]系统模型!$VF:$VF,MATCH(C738,[1]系统模型!$A:$A,0))*MAX(POWER(C738/180,4),0.5))</f>
        <v>8198</v>
      </c>
      <c r="S738" s="5">
        <v>1000</v>
      </c>
      <c r="T738" s="25">
        <v>0</v>
      </c>
      <c r="U738" s="25">
        <v>0</v>
      </c>
      <c r="V738" s="25">
        <v>0</v>
      </c>
      <c r="W738" s="25">
        <v>0</v>
      </c>
      <c r="X738" s="25">
        <f t="shared" si="126"/>
        <v>409</v>
      </c>
      <c r="Y738" s="12">
        <v>0</v>
      </c>
      <c r="Z738" s="25">
        <v>100</v>
      </c>
      <c r="AA738" s="25">
        <v>150</v>
      </c>
      <c r="AB738" s="25">
        <v>0</v>
      </c>
      <c r="AC738" s="25">
        <v>0</v>
      </c>
      <c r="AD738" s="25">
        <v>0</v>
      </c>
      <c r="AE738" s="25">
        <f t="shared" si="127"/>
        <v>280</v>
      </c>
      <c r="AF738" s="25">
        <f t="shared" si="128"/>
        <v>280</v>
      </c>
      <c r="AG738" s="25">
        <v>0</v>
      </c>
      <c r="AH738" s="25">
        <f t="shared" si="129"/>
        <v>1750</v>
      </c>
      <c r="AI738" s="25">
        <f t="shared" si="130"/>
        <v>12</v>
      </c>
      <c r="AJ738" s="25">
        <v>1</v>
      </c>
      <c r="AK738" s="25">
        <v>1000</v>
      </c>
      <c r="AL738" s="25">
        <v>100</v>
      </c>
      <c r="AM738" s="26">
        <v>10</v>
      </c>
      <c r="AN738" s="26">
        <v>10</v>
      </c>
      <c r="AO738" s="22" t="s">
        <v>2211</v>
      </c>
      <c r="AP738" s="26">
        <v>0</v>
      </c>
      <c r="AQ738" s="26">
        <f t="shared" si="131"/>
        <v>250</v>
      </c>
      <c r="AR738" s="18" t="str">
        <f ca="1">CONCATENATE(OFFSET(Sheet1!$A$2,RANDBETWEEN(2,500),0,1,1),OFFSET(Sheet1!$A$2,RANDBETWEEN(2,500),RANDBETWEEN(1,5),1,1))</f>
        <v>埃奇沃思</v>
      </c>
      <c r="AS738">
        <f>SUMPRODUCT(P738:AI738,Sheet2!$B$3:$U$3)</f>
        <v>63548</v>
      </c>
    </row>
    <row r="739" spans="1:45" x14ac:dyDescent="0.15">
      <c r="A739" s="23">
        <v>738</v>
      </c>
      <c r="B739" s="18" t="s">
        <v>1027</v>
      </c>
      <c r="C739" s="18">
        <f t="shared" si="121"/>
        <v>140</v>
      </c>
      <c r="D739" s="19">
        <f t="shared" si="122"/>
        <v>2</v>
      </c>
      <c r="E739" s="19">
        <f>VLOOKUP(MOD(A739,4),各职业基础配置!C$32:D$35,2,FALSE)</f>
        <v>6</v>
      </c>
      <c r="F739" s="19">
        <f>IF(A739&lt;900,INDEX(各职业基础配置!C$23:C$28,MOD(ROW(A739),4)+1),0)</f>
        <v>16</v>
      </c>
      <c r="G739" s="19">
        <f t="shared" si="123"/>
        <v>7</v>
      </c>
      <c r="H739" s="27">
        <f t="shared" si="124"/>
        <v>1</v>
      </c>
      <c r="I739" s="6" t="s">
        <v>164</v>
      </c>
      <c r="J739" s="23" t="str">
        <f>VLOOKUP(E739,各职业基础配置!$B$9:$C$12,2,FALSE)</f>
        <v>111|112|113|4201|115</v>
      </c>
      <c r="K739" s="18" t="str">
        <f>VLOOKUP(E739,各职业基础配置!$B$15:$C$18,2,FALSE)</f>
        <v>32|33|34</v>
      </c>
      <c r="L739" s="18" t="str">
        <f>VLOOKUP(E739,各职业基础配置!B:C,2,FALSE)</f>
        <v>[{32,1,1},{33,1,1},{34,1,1},{35,1,1},{7,1,1},{8,1,1},{9,1,1}]</v>
      </c>
      <c r="M739" s="18">
        <v>0</v>
      </c>
      <c r="N739" s="18">
        <f t="shared" si="125"/>
        <v>7</v>
      </c>
      <c r="O739" s="18">
        <f>SUMPRODUCT(P739:AI739,Sheet2!$B$3:$U$3)</f>
        <v>63523</v>
      </c>
      <c r="P739" s="18">
        <f>CEILING(INDEX([1]系统模型!$VD:$VD,MATCH(C739,[1]系统模型!$A:$A,0))*POWER(C739/220,3.8)-50+(1000-A739),1)</f>
        <v>959</v>
      </c>
      <c r="Q739" s="18">
        <f>CEILING(INDEX([1]系统模型!$VE:$VE,MATCH(C739,[1]系统模型!$A:$A,0))*POWER(C739/220,4),1)</f>
        <v>82</v>
      </c>
      <c r="R739" s="18">
        <f>INT(INDEX([1]系统模型!$VF:$VF,MATCH(C739,[1]系统模型!$A:$A,0))*MAX(POWER(C739/180,4),0.5))</f>
        <v>8198</v>
      </c>
      <c r="S739" s="5">
        <v>1000</v>
      </c>
      <c r="T739" s="25">
        <v>0</v>
      </c>
      <c r="U739" s="25">
        <v>0</v>
      </c>
      <c r="V739" s="25">
        <v>0</v>
      </c>
      <c r="W739" s="25">
        <v>0</v>
      </c>
      <c r="X739" s="25">
        <f t="shared" si="126"/>
        <v>409</v>
      </c>
      <c r="Y739" s="12">
        <v>0</v>
      </c>
      <c r="Z739" s="25">
        <v>100</v>
      </c>
      <c r="AA739" s="25">
        <v>150</v>
      </c>
      <c r="AB739" s="25">
        <v>0</v>
      </c>
      <c r="AC739" s="25">
        <v>0</v>
      </c>
      <c r="AD739" s="25">
        <v>0</v>
      </c>
      <c r="AE739" s="25">
        <f t="shared" si="127"/>
        <v>280</v>
      </c>
      <c r="AF739" s="25">
        <f t="shared" si="128"/>
        <v>280</v>
      </c>
      <c r="AG739" s="25">
        <v>0</v>
      </c>
      <c r="AH739" s="25">
        <f t="shared" si="129"/>
        <v>1750</v>
      </c>
      <c r="AI739" s="25">
        <f t="shared" si="130"/>
        <v>12</v>
      </c>
      <c r="AJ739" s="25">
        <v>1</v>
      </c>
      <c r="AK739" s="25">
        <v>1000</v>
      </c>
      <c r="AL739" s="25">
        <v>100</v>
      </c>
      <c r="AM739" s="26">
        <v>10</v>
      </c>
      <c r="AN739" s="26">
        <v>10</v>
      </c>
      <c r="AO739" s="22" t="s">
        <v>2211</v>
      </c>
      <c r="AP739" s="26">
        <v>0</v>
      </c>
      <c r="AQ739" s="26">
        <f t="shared" si="131"/>
        <v>250</v>
      </c>
      <c r="AR739" s="18" t="str">
        <f ca="1">CONCATENATE(OFFSET(Sheet1!$A$2,RANDBETWEEN(2,500),0,1,1),OFFSET(Sheet1!$A$2,RANDBETWEEN(2,500),RANDBETWEEN(1,5),1,1))</f>
        <v>布赖斯</v>
      </c>
      <c r="AS739">
        <f>SUMPRODUCT(P739:AI739,Sheet2!$B$3:$U$3)</f>
        <v>63523</v>
      </c>
    </row>
    <row r="740" spans="1:45" x14ac:dyDescent="0.15">
      <c r="A740" s="18">
        <v>739</v>
      </c>
      <c r="B740" s="18" t="s">
        <v>1235</v>
      </c>
      <c r="C740" s="18">
        <f t="shared" si="121"/>
        <v>140</v>
      </c>
      <c r="D740" s="19">
        <f t="shared" si="122"/>
        <v>3</v>
      </c>
      <c r="E740" s="19">
        <f>VLOOKUP(MOD(A740,4),各职业基础配置!C$32:D$35,2,FALSE)</f>
        <v>9</v>
      </c>
      <c r="F740" s="19">
        <f>IF(A740&lt;900,INDEX(各职业基础配置!C$23:C$28,MOD(ROW(A740),4)+1),0)</f>
        <v>8</v>
      </c>
      <c r="G740" s="19">
        <f t="shared" si="123"/>
        <v>7</v>
      </c>
      <c r="H740" s="27">
        <f t="shared" si="124"/>
        <v>1</v>
      </c>
      <c r="I740" s="6" t="s">
        <v>164</v>
      </c>
      <c r="J740" s="23" t="str">
        <f>VLOOKUP(E740,各职业基础配置!$B$9:$C$12,2,FALSE)</f>
        <v>116|117|118|4201|120</v>
      </c>
      <c r="K740" s="18" t="str">
        <f>VLOOKUP(E740,各职业基础配置!$B$15:$C$18,2,FALSE)</f>
        <v>28|29|30|31</v>
      </c>
      <c r="L740" s="18" t="str">
        <f>VLOOKUP(E740,各职业基础配置!B:C,2,FALSE)</f>
        <v>[{28,1,1},{29,1,1},{30,1,1},{31,1,1},{10,1,1},{11,1,1},{12,1,1}]</v>
      </c>
      <c r="M740" s="18">
        <v>0</v>
      </c>
      <c r="N740" s="18">
        <f t="shared" si="125"/>
        <v>3</v>
      </c>
      <c r="O740" s="18">
        <f>SUMPRODUCT(P740:AI740,Sheet2!$B$3:$U$3)</f>
        <v>63498</v>
      </c>
      <c r="P740" s="18">
        <f>CEILING(INDEX([1]系统模型!$VD:$VD,MATCH(C740,[1]系统模型!$A:$A,0))*POWER(C740/220,3.8)-50+(1000-A740),1)</f>
        <v>958</v>
      </c>
      <c r="Q740" s="18">
        <f>CEILING(INDEX([1]系统模型!$VE:$VE,MATCH(C740,[1]系统模型!$A:$A,0))*POWER(C740/220,4),1)</f>
        <v>82</v>
      </c>
      <c r="R740" s="18">
        <f>INT(INDEX([1]系统模型!$VF:$VF,MATCH(C740,[1]系统模型!$A:$A,0))*MAX(POWER(C740/180,4),0.5))</f>
        <v>8198</v>
      </c>
      <c r="S740" s="5">
        <v>1000</v>
      </c>
      <c r="T740" s="25">
        <v>0</v>
      </c>
      <c r="U740" s="25">
        <v>0</v>
      </c>
      <c r="V740" s="25">
        <v>0</v>
      </c>
      <c r="W740" s="25">
        <v>0</v>
      </c>
      <c r="X740" s="25">
        <f t="shared" si="126"/>
        <v>409</v>
      </c>
      <c r="Y740" s="12">
        <v>0</v>
      </c>
      <c r="Z740" s="25">
        <v>100</v>
      </c>
      <c r="AA740" s="25">
        <v>150</v>
      </c>
      <c r="AB740" s="25">
        <v>0</v>
      </c>
      <c r="AC740" s="25">
        <v>0</v>
      </c>
      <c r="AD740" s="25">
        <v>0</v>
      </c>
      <c r="AE740" s="25">
        <f t="shared" si="127"/>
        <v>280</v>
      </c>
      <c r="AF740" s="25">
        <f t="shared" si="128"/>
        <v>280</v>
      </c>
      <c r="AG740" s="25">
        <v>0</v>
      </c>
      <c r="AH740" s="25">
        <f t="shared" si="129"/>
        <v>1750</v>
      </c>
      <c r="AI740" s="25">
        <f t="shared" si="130"/>
        <v>12</v>
      </c>
      <c r="AJ740" s="25">
        <v>1</v>
      </c>
      <c r="AK740" s="25">
        <v>1000</v>
      </c>
      <c r="AL740" s="25">
        <v>100</v>
      </c>
      <c r="AM740" s="26">
        <v>10</v>
      </c>
      <c r="AN740" s="26">
        <v>10</v>
      </c>
      <c r="AO740" s="22" t="s">
        <v>2211</v>
      </c>
      <c r="AP740" s="26">
        <v>0</v>
      </c>
      <c r="AQ740" s="26">
        <f t="shared" si="131"/>
        <v>250</v>
      </c>
      <c r="AR740" s="18" t="str">
        <f ca="1">CONCATENATE(OFFSET(Sheet1!$A$2,RANDBETWEEN(2,500),0,1,1),OFFSET(Sheet1!$A$2,RANDBETWEEN(2,500),RANDBETWEEN(1,5),1,1))</f>
        <v>加西亚</v>
      </c>
      <c r="AS740">
        <f>SUMPRODUCT(P740:AI740,Sheet2!$B$3:$U$3)</f>
        <v>63498</v>
      </c>
    </row>
    <row r="741" spans="1:45" x14ac:dyDescent="0.15">
      <c r="A741" s="18">
        <v>740</v>
      </c>
      <c r="B741" s="18" t="s">
        <v>2112</v>
      </c>
      <c r="C741" s="18">
        <f t="shared" si="121"/>
        <v>140</v>
      </c>
      <c r="D741" s="19">
        <f t="shared" si="122"/>
        <v>2</v>
      </c>
      <c r="E741" s="19">
        <f>VLOOKUP(MOD(A741,4),各职业基础配置!C$32:D$35,2,FALSE)</f>
        <v>1</v>
      </c>
      <c r="F741" s="19">
        <f>IF(A741&lt;900,INDEX(各职业基础配置!C$23:C$28,MOD(ROW(A741),4)+1),0)</f>
        <v>13</v>
      </c>
      <c r="G741" s="19">
        <f t="shared" si="123"/>
        <v>7</v>
      </c>
      <c r="H741" s="27">
        <f t="shared" si="124"/>
        <v>1</v>
      </c>
      <c r="I741" s="6" t="s">
        <v>164</v>
      </c>
      <c r="J741" s="23" t="str">
        <f>VLOOKUP(E741,各职业基础配置!$B$9:$C$12,2,FALSE)</f>
        <v>101|102|103|4201|105</v>
      </c>
      <c r="K741" s="18" t="str">
        <f>VLOOKUP(E741,各职业基础配置!$B$15:$C$18,2,FALSE)</f>
        <v>24|25|26|27</v>
      </c>
      <c r="L741" s="18" t="str">
        <f>VLOOKUP(E741,各职业基础配置!B:C,2,FALSE)</f>
        <v>[{24,1,1},{25,1,1},{26,1,1},{27,1,1},{1,1,1},{2,1,1},{3,1,1}]</v>
      </c>
      <c r="M741" s="18">
        <v>0</v>
      </c>
      <c r="N741" s="18">
        <f t="shared" si="125"/>
        <v>3</v>
      </c>
      <c r="O741" s="18">
        <f>SUMPRODUCT(P741:AI741,Sheet2!$B$3:$U$3)</f>
        <v>63473</v>
      </c>
      <c r="P741" s="18">
        <f>CEILING(INDEX([1]系统模型!$VD:$VD,MATCH(C741,[1]系统模型!$A:$A,0))*POWER(C741/220,3.8)-50+(1000-A741),1)</f>
        <v>957</v>
      </c>
      <c r="Q741" s="18">
        <f>CEILING(INDEX([1]系统模型!$VE:$VE,MATCH(C741,[1]系统模型!$A:$A,0))*POWER(C741/220,4),1)</f>
        <v>82</v>
      </c>
      <c r="R741" s="18">
        <f>INT(INDEX([1]系统模型!$VF:$VF,MATCH(C741,[1]系统模型!$A:$A,0))*MAX(POWER(C741/180,4),0.5))</f>
        <v>8198</v>
      </c>
      <c r="S741" s="5">
        <v>1000</v>
      </c>
      <c r="T741" s="25">
        <v>0</v>
      </c>
      <c r="U741" s="25">
        <v>0</v>
      </c>
      <c r="V741" s="25">
        <v>0</v>
      </c>
      <c r="W741" s="25">
        <v>0</v>
      </c>
      <c r="X741" s="25">
        <f t="shared" si="126"/>
        <v>409</v>
      </c>
      <c r="Y741" s="12">
        <v>0</v>
      </c>
      <c r="Z741" s="25">
        <v>100</v>
      </c>
      <c r="AA741" s="25">
        <v>150</v>
      </c>
      <c r="AB741" s="25">
        <v>0</v>
      </c>
      <c r="AC741" s="25">
        <v>0</v>
      </c>
      <c r="AD741" s="25">
        <v>0</v>
      </c>
      <c r="AE741" s="25">
        <f t="shared" si="127"/>
        <v>280</v>
      </c>
      <c r="AF741" s="25">
        <f t="shared" si="128"/>
        <v>280</v>
      </c>
      <c r="AG741" s="25">
        <v>0</v>
      </c>
      <c r="AH741" s="25">
        <f t="shared" si="129"/>
        <v>1750</v>
      </c>
      <c r="AI741" s="25">
        <f t="shared" si="130"/>
        <v>12</v>
      </c>
      <c r="AJ741" s="25">
        <v>1</v>
      </c>
      <c r="AK741" s="25">
        <v>1000</v>
      </c>
      <c r="AL741" s="25">
        <v>100</v>
      </c>
      <c r="AM741" s="26">
        <v>10</v>
      </c>
      <c r="AN741" s="26">
        <v>10</v>
      </c>
      <c r="AO741" s="22" t="s">
        <v>2211</v>
      </c>
      <c r="AP741" s="26">
        <v>0</v>
      </c>
      <c r="AQ741" s="26">
        <f t="shared" si="131"/>
        <v>250</v>
      </c>
      <c r="AR741" s="18" t="str">
        <f ca="1">CONCATENATE(OFFSET(Sheet1!$A$2,RANDBETWEEN(2,500),0,1,1),OFFSET(Sheet1!$A$2,RANDBETWEEN(2,500),RANDBETWEEN(1,5),1,1))</f>
        <v>屈莱顿苏珊</v>
      </c>
      <c r="AS741">
        <f>SUMPRODUCT(P741:AI741,Sheet2!$B$3:$U$3)</f>
        <v>63473</v>
      </c>
    </row>
    <row r="742" spans="1:45" x14ac:dyDescent="0.15">
      <c r="A742" s="23">
        <v>741</v>
      </c>
      <c r="B742" s="18" t="s">
        <v>424</v>
      </c>
      <c r="C742" s="18">
        <f t="shared" si="121"/>
        <v>140</v>
      </c>
      <c r="D742" s="19">
        <f t="shared" si="122"/>
        <v>3</v>
      </c>
      <c r="E742" s="19">
        <f>VLOOKUP(MOD(A742,4),各职业基础配置!C$32:D$35,2,FALSE)</f>
        <v>3</v>
      </c>
      <c r="F742" s="19">
        <f>IF(A742&lt;900,INDEX(各职业基础配置!C$23:C$28,MOD(ROW(A742),4)+1),0)</f>
        <v>14</v>
      </c>
      <c r="G742" s="19">
        <f t="shared" si="123"/>
        <v>7</v>
      </c>
      <c r="H742" s="27">
        <f t="shared" si="124"/>
        <v>1</v>
      </c>
      <c r="I742" s="6" t="s">
        <v>164</v>
      </c>
      <c r="J742" s="23" t="str">
        <f>VLOOKUP(E742,各职业基础配置!$B$9:$C$12,2,FALSE)</f>
        <v>106|107|108|4201|110</v>
      </c>
      <c r="K742" s="18" t="str">
        <f>VLOOKUP(E742,各职业基础配置!$B$15:$C$18,2,FALSE)</f>
        <v>20|21|22|23</v>
      </c>
      <c r="L742" s="18" t="str">
        <f>VLOOKUP(E742,各职业基础配置!B:C,2,FALSE)</f>
        <v>[{20,1,1},{21,1,1},{22,1,1},{23,1,1},{4,1,1},{5,1,1},{6,1,1}]</v>
      </c>
      <c r="M742" s="18">
        <v>0</v>
      </c>
      <c r="N742" s="18">
        <f t="shared" si="125"/>
        <v>7</v>
      </c>
      <c r="O742" s="18">
        <f>SUMPRODUCT(P742:AI742,Sheet2!$B$3:$U$3)</f>
        <v>63448</v>
      </c>
      <c r="P742" s="18">
        <f>CEILING(INDEX([1]系统模型!$VD:$VD,MATCH(C742,[1]系统模型!$A:$A,0))*POWER(C742/220,3.8)-50+(1000-A742),1)</f>
        <v>956</v>
      </c>
      <c r="Q742" s="18">
        <f>CEILING(INDEX([1]系统模型!$VE:$VE,MATCH(C742,[1]系统模型!$A:$A,0))*POWER(C742/220,4),1)</f>
        <v>82</v>
      </c>
      <c r="R742" s="18">
        <f>INT(INDEX([1]系统模型!$VF:$VF,MATCH(C742,[1]系统模型!$A:$A,0))*MAX(POWER(C742/180,4),0.5))</f>
        <v>8198</v>
      </c>
      <c r="S742" s="5">
        <v>1000</v>
      </c>
      <c r="T742" s="25">
        <v>0</v>
      </c>
      <c r="U742" s="25">
        <v>0</v>
      </c>
      <c r="V742" s="25">
        <v>0</v>
      </c>
      <c r="W742" s="25">
        <v>0</v>
      </c>
      <c r="X742" s="25">
        <f t="shared" si="126"/>
        <v>409</v>
      </c>
      <c r="Y742" s="12">
        <v>0</v>
      </c>
      <c r="Z742" s="25">
        <v>100</v>
      </c>
      <c r="AA742" s="25">
        <v>150</v>
      </c>
      <c r="AB742" s="25">
        <v>0</v>
      </c>
      <c r="AC742" s="25">
        <v>0</v>
      </c>
      <c r="AD742" s="25">
        <v>0</v>
      </c>
      <c r="AE742" s="25">
        <f t="shared" si="127"/>
        <v>280</v>
      </c>
      <c r="AF742" s="25">
        <f t="shared" si="128"/>
        <v>280</v>
      </c>
      <c r="AG742" s="25">
        <v>0</v>
      </c>
      <c r="AH742" s="25">
        <f t="shared" si="129"/>
        <v>1750</v>
      </c>
      <c r="AI742" s="25">
        <f t="shared" si="130"/>
        <v>12</v>
      </c>
      <c r="AJ742" s="25">
        <v>1</v>
      </c>
      <c r="AK742" s="25">
        <v>1000</v>
      </c>
      <c r="AL742" s="25">
        <v>100</v>
      </c>
      <c r="AM742" s="26">
        <v>10</v>
      </c>
      <c r="AN742" s="26">
        <v>10</v>
      </c>
      <c r="AO742" s="22" t="s">
        <v>2211</v>
      </c>
      <c r="AP742" s="26">
        <v>0</v>
      </c>
      <c r="AQ742" s="26">
        <f t="shared" si="131"/>
        <v>250</v>
      </c>
      <c r="AR742" s="18" t="str">
        <f ca="1">CONCATENATE(OFFSET(Sheet1!$A$2,RANDBETWEEN(2,500),0,1,1),OFFSET(Sheet1!$A$2,RANDBETWEEN(2,500),RANDBETWEEN(1,5),1,1))</f>
        <v>霍恩比</v>
      </c>
      <c r="AS742">
        <f>SUMPRODUCT(P742:AI742,Sheet2!$B$3:$U$3)</f>
        <v>63448</v>
      </c>
    </row>
    <row r="743" spans="1:45" x14ac:dyDescent="0.15">
      <c r="A743" s="18">
        <v>742</v>
      </c>
      <c r="B743" s="18" t="s">
        <v>1968</v>
      </c>
      <c r="C743" s="18">
        <f t="shared" si="121"/>
        <v>140</v>
      </c>
      <c r="D743" s="19">
        <f t="shared" si="122"/>
        <v>2</v>
      </c>
      <c r="E743" s="19">
        <f>VLOOKUP(MOD(A743,4),各职业基础配置!C$32:D$35,2,FALSE)</f>
        <v>6</v>
      </c>
      <c r="F743" s="19">
        <f>IF(A743&lt;900,INDEX(各职业基础配置!C$23:C$28,MOD(ROW(A743),4)+1),0)</f>
        <v>16</v>
      </c>
      <c r="G743" s="19">
        <f t="shared" si="123"/>
        <v>7</v>
      </c>
      <c r="H743" s="27">
        <f t="shared" si="124"/>
        <v>1</v>
      </c>
      <c r="I743" s="6" t="s">
        <v>164</v>
      </c>
      <c r="J743" s="23" t="str">
        <f>VLOOKUP(E743,各职业基础配置!$B$9:$C$12,2,FALSE)</f>
        <v>111|112|113|4201|115</v>
      </c>
      <c r="K743" s="18" t="str">
        <f>VLOOKUP(E743,各职业基础配置!$B$15:$C$18,2,FALSE)</f>
        <v>32|33|34</v>
      </c>
      <c r="L743" s="18" t="str">
        <f>VLOOKUP(E743,各职业基础配置!B:C,2,FALSE)</f>
        <v>[{32,1,1},{33,1,1},{34,1,1},{35,1,1},{7,1,1},{8,1,1},{9,1,1}]</v>
      </c>
      <c r="M743" s="18">
        <v>0</v>
      </c>
      <c r="N743" s="18">
        <f t="shared" si="125"/>
        <v>7</v>
      </c>
      <c r="O743" s="18">
        <f>SUMPRODUCT(P743:AI743,Sheet2!$B$3:$U$3)</f>
        <v>63423</v>
      </c>
      <c r="P743" s="18">
        <f>CEILING(INDEX([1]系统模型!$VD:$VD,MATCH(C743,[1]系统模型!$A:$A,0))*POWER(C743/220,3.8)-50+(1000-A743),1)</f>
        <v>955</v>
      </c>
      <c r="Q743" s="18">
        <f>CEILING(INDEX([1]系统模型!$VE:$VE,MATCH(C743,[1]系统模型!$A:$A,0))*POWER(C743/220,4),1)</f>
        <v>82</v>
      </c>
      <c r="R743" s="18">
        <f>INT(INDEX([1]系统模型!$VF:$VF,MATCH(C743,[1]系统模型!$A:$A,0))*MAX(POWER(C743/180,4),0.5))</f>
        <v>8198</v>
      </c>
      <c r="S743" s="5">
        <v>1000</v>
      </c>
      <c r="T743" s="25">
        <v>0</v>
      </c>
      <c r="U743" s="25">
        <v>0</v>
      </c>
      <c r="V743" s="25">
        <v>0</v>
      </c>
      <c r="W743" s="25">
        <v>0</v>
      </c>
      <c r="X743" s="25">
        <f t="shared" si="126"/>
        <v>409</v>
      </c>
      <c r="Y743" s="12">
        <v>0</v>
      </c>
      <c r="Z743" s="25">
        <v>100</v>
      </c>
      <c r="AA743" s="25">
        <v>150</v>
      </c>
      <c r="AB743" s="25">
        <v>0</v>
      </c>
      <c r="AC743" s="25">
        <v>0</v>
      </c>
      <c r="AD743" s="25">
        <v>0</v>
      </c>
      <c r="AE743" s="25">
        <f t="shared" si="127"/>
        <v>280</v>
      </c>
      <c r="AF743" s="25">
        <f t="shared" si="128"/>
        <v>280</v>
      </c>
      <c r="AG743" s="25">
        <v>0</v>
      </c>
      <c r="AH743" s="25">
        <f t="shared" si="129"/>
        <v>1750</v>
      </c>
      <c r="AI743" s="25">
        <f t="shared" si="130"/>
        <v>12</v>
      </c>
      <c r="AJ743" s="25">
        <v>1</v>
      </c>
      <c r="AK743" s="25">
        <v>1000</v>
      </c>
      <c r="AL743" s="25">
        <v>100</v>
      </c>
      <c r="AM743" s="26">
        <v>10</v>
      </c>
      <c r="AN743" s="26">
        <v>10</v>
      </c>
      <c r="AO743" s="22" t="s">
        <v>2211</v>
      </c>
      <c r="AP743" s="26">
        <v>0</v>
      </c>
      <c r="AQ743" s="26">
        <f t="shared" si="131"/>
        <v>250</v>
      </c>
      <c r="AR743" s="18" t="str">
        <f ca="1">CONCATENATE(OFFSET(Sheet1!$A$2,RANDBETWEEN(2,500),0,1,1),OFFSET(Sheet1!$A$2,RANDBETWEEN(2,500),RANDBETWEEN(1,5),1,1))</f>
        <v>科波菲尔</v>
      </c>
      <c r="AS743">
        <f>SUMPRODUCT(P743:AI743,Sheet2!$B$3:$U$3)</f>
        <v>63423</v>
      </c>
    </row>
    <row r="744" spans="1:45" x14ac:dyDescent="0.15">
      <c r="A744" s="18">
        <v>743</v>
      </c>
      <c r="B744" s="18" t="s">
        <v>1181</v>
      </c>
      <c r="C744" s="18">
        <f t="shared" si="121"/>
        <v>140</v>
      </c>
      <c r="D744" s="19">
        <f t="shared" si="122"/>
        <v>3</v>
      </c>
      <c r="E744" s="19">
        <f>VLOOKUP(MOD(A744,4),各职业基础配置!C$32:D$35,2,FALSE)</f>
        <v>9</v>
      </c>
      <c r="F744" s="19">
        <f>IF(A744&lt;900,INDEX(各职业基础配置!C$23:C$28,MOD(ROW(A744),4)+1),0)</f>
        <v>8</v>
      </c>
      <c r="G744" s="19">
        <f t="shared" si="123"/>
        <v>7</v>
      </c>
      <c r="H744" s="27">
        <f t="shared" si="124"/>
        <v>1</v>
      </c>
      <c r="I744" s="6" t="s">
        <v>164</v>
      </c>
      <c r="J744" s="23" t="str">
        <f>VLOOKUP(E744,各职业基础配置!$B$9:$C$12,2,FALSE)</f>
        <v>116|117|118|4201|120</v>
      </c>
      <c r="K744" s="18" t="str">
        <f>VLOOKUP(E744,各职业基础配置!$B$15:$C$18,2,FALSE)</f>
        <v>28|29|30|31</v>
      </c>
      <c r="L744" s="18" t="str">
        <f>VLOOKUP(E744,各职业基础配置!B:C,2,FALSE)</f>
        <v>[{28,1,1},{29,1,1},{30,1,1},{31,1,1},{10,1,1},{11,1,1},{12,1,1}]</v>
      </c>
      <c r="M744" s="18">
        <v>0</v>
      </c>
      <c r="N744" s="18">
        <f t="shared" si="125"/>
        <v>3</v>
      </c>
      <c r="O744" s="18">
        <f>SUMPRODUCT(P744:AI744,Sheet2!$B$3:$U$3)</f>
        <v>63398</v>
      </c>
      <c r="P744" s="18">
        <f>CEILING(INDEX([1]系统模型!$VD:$VD,MATCH(C744,[1]系统模型!$A:$A,0))*POWER(C744/220,3.8)-50+(1000-A744),1)</f>
        <v>954</v>
      </c>
      <c r="Q744" s="18">
        <f>CEILING(INDEX([1]系统模型!$VE:$VE,MATCH(C744,[1]系统模型!$A:$A,0))*POWER(C744/220,4),1)</f>
        <v>82</v>
      </c>
      <c r="R744" s="18">
        <f>INT(INDEX([1]系统模型!$VF:$VF,MATCH(C744,[1]系统模型!$A:$A,0))*MAX(POWER(C744/180,4),0.5))</f>
        <v>8198</v>
      </c>
      <c r="S744" s="5">
        <v>1000</v>
      </c>
      <c r="T744" s="25">
        <v>0</v>
      </c>
      <c r="U744" s="25">
        <v>0</v>
      </c>
      <c r="V744" s="25">
        <v>0</v>
      </c>
      <c r="W744" s="25">
        <v>0</v>
      </c>
      <c r="X744" s="25">
        <f t="shared" si="126"/>
        <v>409</v>
      </c>
      <c r="Y744" s="12">
        <v>0</v>
      </c>
      <c r="Z744" s="25">
        <v>100</v>
      </c>
      <c r="AA744" s="25">
        <v>150</v>
      </c>
      <c r="AB744" s="25">
        <v>0</v>
      </c>
      <c r="AC744" s="25">
        <v>0</v>
      </c>
      <c r="AD744" s="25">
        <v>0</v>
      </c>
      <c r="AE744" s="25">
        <f t="shared" si="127"/>
        <v>280</v>
      </c>
      <c r="AF744" s="25">
        <f t="shared" si="128"/>
        <v>280</v>
      </c>
      <c r="AG744" s="25">
        <v>0</v>
      </c>
      <c r="AH744" s="25">
        <f t="shared" si="129"/>
        <v>1750</v>
      </c>
      <c r="AI744" s="25">
        <f t="shared" si="130"/>
        <v>12</v>
      </c>
      <c r="AJ744" s="25">
        <v>1</v>
      </c>
      <c r="AK744" s="25">
        <v>1000</v>
      </c>
      <c r="AL744" s="25">
        <v>100</v>
      </c>
      <c r="AM744" s="26">
        <v>10</v>
      </c>
      <c r="AN744" s="26">
        <v>10</v>
      </c>
      <c r="AO744" s="22" t="s">
        <v>2211</v>
      </c>
      <c r="AP744" s="26">
        <v>0</v>
      </c>
      <c r="AQ744" s="26">
        <f t="shared" si="131"/>
        <v>250</v>
      </c>
      <c r="AR744" s="18" t="str">
        <f ca="1">CONCATENATE(OFFSET(Sheet1!$A$2,RANDBETWEEN(2,500),0,1,1),OFFSET(Sheet1!$A$2,RANDBETWEEN(2,500),RANDBETWEEN(1,5),1,1))</f>
        <v>卡特</v>
      </c>
      <c r="AS744">
        <f>SUMPRODUCT(P744:AI744,Sheet2!$B$3:$U$3)</f>
        <v>63398</v>
      </c>
    </row>
    <row r="745" spans="1:45" x14ac:dyDescent="0.15">
      <c r="A745" s="23">
        <v>744</v>
      </c>
      <c r="B745" s="18" t="s">
        <v>1362</v>
      </c>
      <c r="C745" s="18">
        <f t="shared" si="121"/>
        <v>139</v>
      </c>
      <c r="D745" s="19">
        <f t="shared" si="122"/>
        <v>2</v>
      </c>
      <c r="E745" s="19">
        <f>VLOOKUP(MOD(A745,4),各职业基础配置!C$32:D$35,2,FALSE)</f>
        <v>1</v>
      </c>
      <c r="F745" s="19">
        <f>IF(A745&lt;900,INDEX(各职业基础配置!C$23:C$28,MOD(ROW(A745),4)+1),0)</f>
        <v>13</v>
      </c>
      <c r="G745" s="19">
        <f t="shared" si="123"/>
        <v>7</v>
      </c>
      <c r="H745" s="27">
        <f t="shared" si="124"/>
        <v>1</v>
      </c>
      <c r="I745" s="6" t="s">
        <v>164</v>
      </c>
      <c r="J745" s="23" t="str">
        <f>VLOOKUP(E745,各职业基础配置!$B$9:$C$12,2,FALSE)</f>
        <v>101|102|103|4201|105</v>
      </c>
      <c r="K745" s="18" t="str">
        <f>VLOOKUP(E745,各职业基础配置!$B$15:$C$18,2,FALSE)</f>
        <v>24|25|26|27</v>
      </c>
      <c r="L745" s="18" t="str">
        <f>VLOOKUP(E745,各职业基础配置!B:C,2,FALSE)</f>
        <v>[{24,1,1},{25,1,1},{26,1,1},{27,1,1},{1,1,1},{2,1,1},{3,1,1}]</v>
      </c>
      <c r="M745" s="18">
        <v>0</v>
      </c>
      <c r="N745" s="18">
        <f t="shared" si="125"/>
        <v>3</v>
      </c>
      <c r="O745" s="18">
        <f>SUMPRODUCT(P745:AI745,Sheet2!$B$3:$U$3)</f>
        <v>61917</v>
      </c>
      <c r="P745" s="18">
        <f>CEILING(INDEX([1]系统模型!$VD:$VD,MATCH(C745,[1]系统模型!$A:$A,0))*POWER(C745/220,3.8)-50+(1000-A745),1)</f>
        <v>923</v>
      </c>
      <c r="Q745" s="18">
        <f>CEILING(INDEX([1]系统模型!$VE:$VE,MATCH(C745,[1]系统模型!$A:$A,0))*POWER(C745/220,4),1)</f>
        <v>78</v>
      </c>
      <c r="R745" s="18">
        <f>INT(INDEX([1]系统模型!$VF:$VF,MATCH(C745,[1]系统模型!$A:$A,0))*MAX(POWER(C745/180,4),0.5))</f>
        <v>8067</v>
      </c>
      <c r="S745" s="5">
        <v>1000</v>
      </c>
      <c r="T745" s="25">
        <v>0</v>
      </c>
      <c r="U745" s="25">
        <v>0</v>
      </c>
      <c r="V745" s="25">
        <v>0</v>
      </c>
      <c r="W745" s="25">
        <v>0</v>
      </c>
      <c r="X745" s="25">
        <f t="shared" si="126"/>
        <v>403</v>
      </c>
      <c r="Y745" s="12">
        <v>0</v>
      </c>
      <c r="Z745" s="25">
        <v>100</v>
      </c>
      <c r="AA745" s="25">
        <v>150</v>
      </c>
      <c r="AB745" s="25">
        <v>0</v>
      </c>
      <c r="AC745" s="25">
        <v>0</v>
      </c>
      <c r="AD745" s="25">
        <v>0</v>
      </c>
      <c r="AE745" s="25">
        <f t="shared" si="127"/>
        <v>278</v>
      </c>
      <c r="AF745" s="25">
        <f t="shared" si="128"/>
        <v>278</v>
      </c>
      <c r="AG745" s="25">
        <v>0</v>
      </c>
      <c r="AH745" s="25">
        <f t="shared" si="129"/>
        <v>1675</v>
      </c>
      <c r="AI745" s="25">
        <f t="shared" si="130"/>
        <v>12</v>
      </c>
      <c r="AJ745" s="25">
        <v>1</v>
      </c>
      <c r="AK745" s="25">
        <v>1000</v>
      </c>
      <c r="AL745" s="25">
        <v>100</v>
      </c>
      <c r="AM745" s="26">
        <v>10</v>
      </c>
      <c r="AN745" s="26">
        <v>10</v>
      </c>
      <c r="AO745" s="22" t="s">
        <v>2211</v>
      </c>
      <c r="AP745" s="26">
        <v>0</v>
      </c>
      <c r="AQ745" s="26">
        <f t="shared" si="131"/>
        <v>250</v>
      </c>
      <c r="AR745" s="18" t="str">
        <f ca="1">CONCATENATE(OFFSET(Sheet1!$A$2,RANDBETWEEN(2,500),0,1,1),OFFSET(Sheet1!$A$2,RANDBETWEEN(2,500),RANDBETWEEN(1,5),1,1))</f>
        <v>伊迪丝</v>
      </c>
      <c r="AS745">
        <f>SUMPRODUCT(P745:AI745,Sheet2!$B$3:$U$3)</f>
        <v>61917</v>
      </c>
    </row>
    <row r="746" spans="1:45" x14ac:dyDescent="0.15">
      <c r="A746" s="18">
        <v>745</v>
      </c>
      <c r="B746" s="18" t="s">
        <v>2113</v>
      </c>
      <c r="C746" s="18">
        <f t="shared" si="121"/>
        <v>139</v>
      </c>
      <c r="D746" s="19">
        <f t="shared" si="122"/>
        <v>3</v>
      </c>
      <c r="E746" s="19">
        <f>VLOOKUP(MOD(A746,4),各职业基础配置!C$32:D$35,2,FALSE)</f>
        <v>3</v>
      </c>
      <c r="F746" s="19">
        <f>IF(A746&lt;900,INDEX(各职业基础配置!C$23:C$28,MOD(ROW(A746),4)+1),0)</f>
        <v>14</v>
      </c>
      <c r="G746" s="19">
        <f t="shared" si="123"/>
        <v>7</v>
      </c>
      <c r="H746" s="27">
        <f t="shared" si="124"/>
        <v>1</v>
      </c>
      <c r="I746" s="6" t="s">
        <v>164</v>
      </c>
      <c r="J746" s="23" t="str">
        <f>VLOOKUP(E746,各职业基础配置!$B$9:$C$12,2,FALSE)</f>
        <v>106|107|108|4201|110</v>
      </c>
      <c r="K746" s="18" t="str">
        <f>VLOOKUP(E746,各职业基础配置!$B$15:$C$18,2,FALSE)</f>
        <v>20|21|22|23</v>
      </c>
      <c r="L746" s="18" t="str">
        <f>VLOOKUP(E746,各职业基础配置!B:C,2,FALSE)</f>
        <v>[{20,1,1},{21,1,1},{22,1,1},{23,1,1},{4,1,1},{5,1,1},{6,1,1}]</v>
      </c>
      <c r="M746" s="18">
        <v>0</v>
      </c>
      <c r="N746" s="18">
        <f t="shared" si="125"/>
        <v>7</v>
      </c>
      <c r="O746" s="18">
        <f>SUMPRODUCT(P746:AI746,Sheet2!$B$3:$U$3)</f>
        <v>61892</v>
      </c>
      <c r="P746" s="18">
        <f>CEILING(INDEX([1]系统模型!$VD:$VD,MATCH(C746,[1]系统模型!$A:$A,0))*POWER(C746/220,3.8)-50+(1000-A746),1)</f>
        <v>922</v>
      </c>
      <c r="Q746" s="18">
        <f>CEILING(INDEX([1]系统模型!$VE:$VE,MATCH(C746,[1]系统模型!$A:$A,0))*POWER(C746/220,4),1)</f>
        <v>78</v>
      </c>
      <c r="R746" s="18">
        <f>INT(INDEX([1]系统模型!$VF:$VF,MATCH(C746,[1]系统模型!$A:$A,0))*MAX(POWER(C746/180,4),0.5))</f>
        <v>8067</v>
      </c>
      <c r="S746" s="5">
        <v>1000</v>
      </c>
      <c r="T746" s="25">
        <v>0</v>
      </c>
      <c r="U746" s="25">
        <v>0</v>
      </c>
      <c r="V746" s="25">
        <v>0</v>
      </c>
      <c r="W746" s="25">
        <v>0</v>
      </c>
      <c r="X746" s="25">
        <f t="shared" si="126"/>
        <v>403</v>
      </c>
      <c r="Y746" s="12">
        <v>0</v>
      </c>
      <c r="Z746" s="25">
        <v>100</v>
      </c>
      <c r="AA746" s="25">
        <v>150</v>
      </c>
      <c r="AB746" s="25">
        <v>0</v>
      </c>
      <c r="AC746" s="25">
        <v>0</v>
      </c>
      <c r="AD746" s="25">
        <v>0</v>
      </c>
      <c r="AE746" s="25">
        <f t="shared" si="127"/>
        <v>278</v>
      </c>
      <c r="AF746" s="25">
        <f t="shared" si="128"/>
        <v>278</v>
      </c>
      <c r="AG746" s="25">
        <v>0</v>
      </c>
      <c r="AH746" s="25">
        <f t="shared" si="129"/>
        <v>1675</v>
      </c>
      <c r="AI746" s="25">
        <f t="shared" si="130"/>
        <v>12</v>
      </c>
      <c r="AJ746" s="25">
        <v>1</v>
      </c>
      <c r="AK746" s="25">
        <v>1000</v>
      </c>
      <c r="AL746" s="25">
        <v>100</v>
      </c>
      <c r="AM746" s="26">
        <v>10</v>
      </c>
      <c r="AN746" s="26">
        <v>10</v>
      </c>
      <c r="AO746" s="22" t="s">
        <v>2211</v>
      </c>
      <c r="AP746" s="26">
        <v>0</v>
      </c>
      <c r="AQ746" s="26">
        <f t="shared" si="131"/>
        <v>250</v>
      </c>
      <c r="AR746" s="18" t="str">
        <f ca="1">CONCATENATE(OFFSET(Sheet1!$A$2,RANDBETWEEN(2,500),0,1,1),OFFSET(Sheet1!$A$2,RANDBETWEEN(2,500),RANDBETWEEN(1,5),1,1))</f>
        <v>伯克</v>
      </c>
      <c r="AS746">
        <f>SUMPRODUCT(P746:AI746,Sheet2!$B$3:$U$3)</f>
        <v>61892</v>
      </c>
    </row>
    <row r="747" spans="1:45" x14ac:dyDescent="0.15">
      <c r="A747" s="18">
        <v>746</v>
      </c>
      <c r="B747" s="18" t="s">
        <v>1073</v>
      </c>
      <c r="C747" s="18">
        <f t="shared" si="121"/>
        <v>139</v>
      </c>
      <c r="D747" s="19">
        <f t="shared" si="122"/>
        <v>2</v>
      </c>
      <c r="E747" s="19">
        <f>VLOOKUP(MOD(A747,4),各职业基础配置!C$32:D$35,2,FALSE)</f>
        <v>6</v>
      </c>
      <c r="F747" s="19">
        <f>IF(A747&lt;900,INDEX(各职业基础配置!C$23:C$28,MOD(ROW(A747),4)+1),0)</f>
        <v>16</v>
      </c>
      <c r="G747" s="19">
        <f t="shared" si="123"/>
        <v>7</v>
      </c>
      <c r="H747" s="27">
        <f t="shared" si="124"/>
        <v>1</v>
      </c>
      <c r="I747" s="6" t="s">
        <v>164</v>
      </c>
      <c r="J747" s="23" t="str">
        <f>VLOOKUP(E747,各职业基础配置!$B$9:$C$12,2,FALSE)</f>
        <v>111|112|113|4201|115</v>
      </c>
      <c r="K747" s="18" t="str">
        <f>VLOOKUP(E747,各职业基础配置!$B$15:$C$18,2,FALSE)</f>
        <v>32|33|34</v>
      </c>
      <c r="L747" s="18" t="str">
        <f>VLOOKUP(E747,各职业基础配置!B:C,2,FALSE)</f>
        <v>[{32,1,1},{33,1,1},{34,1,1},{35,1,1},{7,1,1},{8,1,1},{9,1,1}]</v>
      </c>
      <c r="M747" s="18">
        <v>0</v>
      </c>
      <c r="N747" s="18">
        <f t="shared" si="125"/>
        <v>7</v>
      </c>
      <c r="O747" s="18">
        <f>SUMPRODUCT(P747:AI747,Sheet2!$B$3:$U$3)</f>
        <v>61867</v>
      </c>
      <c r="P747" s="18">
        <f>CEILING(INDEX([1]系统模型!$VD:$VD,MATCH(C747,[1]系统模型!$A:$A,0))*POWER(C747/220,3.8)-50+(1000-A747),1)</f>
        <v>921</v>
      </c>
      <c r="Q747" s="18">
        <f>CEILING(INDEX([1]系统模型!$VE:$VE,MATCH(C747,[1]系统模型!$A:$A,0))*POWER(C747/220,4),1)</f>
        <v>78</v>
      </c>
      <c r="R747" s="18">
        <f>INT(INDEX([1]系统模型!$VF:$VF,MATCH(C747,[1]系统模型!$A:$A,0))*MAX(POWER(C747/180,4),0.5))</f>
        <v>8067</v>
      </c>
      <c r="S747" s="5">
        <v>1000</v>
      </c>
      <c r="T747" s="25">
        <v>0</v>
      </c>
      <c r="U747" s="25">
        <v>0</v>
      </c>
      <c r="V747" s="25">
        <v>0</v>
      </c>
      <c r="W747" s="25">
        <v>0</v>
      </c>
      <c r="X747" s="25">
        <f t="shared" si="126"/>
        <v>403</v>
      </c>
      <c r="Y747" s="12">
        <v>0</v>
      </c>
      <c r="Z747" s="25">
        <v>100</v>
      </c>
      <c r="AA747" s="25">
        <v>150</v>
      </c>
      <c r="AB747" s="25">
        <v>0</v>
      </c>
      <c r="AC747" s="25">
        <v>0</v>
      </c>
      <c r="AD747" s="25">
        <v>0</v>
      </c>
      <c r="AE747" s="25">
        <f t="shared" si="127"/>
        <v>278</v>
      </c>
      <c r="AF747" s="25">
        <f t="shared" si="128"/>
        <v>278</v>
      </c>
      <c r="AG747" s="25">
        <v>0</v>
      </c>
      <c r="AH747" s="25">
        <f t="shared" si="129"/>
        <v>1675</v>
      </c>
      <c r="AI747" s="25">
        <f t="shared" si="130"/>
        <v>12</v>
      </c>
      <c r="AJ747" s="25">
        <v>1</v>
      </c>
      <c r="AK747" s="25">
        <v>1000</v>
      </c>
      <c r="AL747" s="25">
        <v>100</v>
      </c>
      <c r="AM747" s="26">
        <v>10</v>
      </c>
      <c r="AN747" s="26">
        <v>10</v>
      </c>
      <c r="AO747" s="22" t="s">
        <v>2211</v>
      </c>
      <c r="AP747" s="26">
        <v>0</v>
      </c>
      <c r="AQ747" s="26">
        <f t="shared" si="131"/>
        <v>240</v>
      </c>
      <c r="AR747" s="18" t="str">
        <f ca="1">CONCATENATE(OFFSET(Sheet1!$A$2,RANDBETWEEN(2,500),0,1,1),OFFSET(Sheet1!$A$2,RANDBETWEEN(2,500),RANDBETWEEN(1,5),1,1))</f>
        <v>安</v>
      </c>
      <c r="AS747">
        <f>SUMPRODUCT(P747:AI747,Sheet2!$B$3:$U$3)</f>
        <v>61867</v>
      </c>
    </row>
    <row r="748" spans="1:45" x14ac:dyDescent="0.15">
      <c r="A748" s="23">
        <v>747</v>
      </c>
      <c r="B748" s="18" t="s">
        <v>2114</v>
      </c>
      <c r="C748" s="18">
        <f t="shared" si="121"/>
        <v>139</v>
      </c>
      <c r="D748" s="19">
        <f t="shared" si="122"/>
        <v>3</v>
      </c>
      <c r="E748" s="19">
        <f>VLOOKUP(MOD(A748,4),各职业基础配置!C$32:D$35,2,FALSE)</f>
        <v>9</v>
      </c>
      <c r="F748" s="19">
        <f>IF(A748&lt;900,INDEX(各职业基础配置!C$23:C$28,MOD(ROW(A748),4)+1),0)</f>
        <v>8</v>
      </c>
      <c r="G748" s="19">
        <f t="shared" si="123"/>
        <v>7</v>
      </c>
      <c r="H748" s="27">
        <f t="shared" si="124"/>
        <v>1</v>
      </c>
      <c r="I748" s="6" t="s">
        <v>164</v>
      </c>
      <c r="J748" s="23" t="str">
        <f>VLOOKUP(E748,各职业基础配置!$B$9:$C$12,2,FALSE)</f>
        <v>116|117|118|4201|120</v>
      </c>
      <c r="K748" s="18" t="str">
        <f>VLOOKUP(E748,各职业基础配置!$B$15:$C$18,2,FALSE)</f>
        <v>28|29|30|31</v>
      </c>
      <c r="L748" s="18" t="str">
        <f>VLOOKUP(E748,各职业基础配置!B:C,2,FALSE)</f>
        <v>[{28,1,1},{29,1,1},{30,1,1},{31,1,1},{10,1,1},{11,1,1},{12,1,1}]</v>
      </c>
      <c r="M748" s="18">
        <v>0</v>
      </c>
      <c r="N748" s="18">
        <f t="shared" si="125"/>
        <v>3</v>
      </c>
      <c r="O748" s="18">
        <f>SUMPRODUCT(P748:AI748,Sheet2!$B$3:$U$3)</f>
        <v>61842</v>
      </c>
      <c r="P748" s="18">
        <f>CEILING(INDEX([1]系统模型!$VD:$VD,MATCH(C748,[1]系统模型!$A:$A,0))*POWER(C748/220,3.8)-50+(1000-A748),1)</f>
        <v>920</v>
      </c>
      <c r="Q748" s="18">
        <f>CEILING(INDEX([1]系统模型!$VE:$VE,MATCH(C748,[1]系统模型!$A:$A,0))*POWER(C748/220,4),1)</f>
        <v>78</v>
      </c>
      <c r="R748" s="18">
        <f>INT(INDEX([1]系统模型!$VF:$VF,MATCH(C748,[1]系统模型!$A:$A,0))*MAX(POWER(C748/180,4),0.5))</f>
        <v>8067</v>
      </c>
      <c r="S748" s="5">
        <v>1000</v>
      </c>
      <c r="T748" s="25">
        <v>0</v>
      </c>
      <c r="U748" s="25">
        <v>0</v>
      </c>
      <c r="V748" s="25">
        <v>0</v>
      </c>
      <c r="W748" s="25">
        <v>0</v>
      </c>
      <c r="X748" s="25">
        <f t="shared" si="126"/>
        <v>403</v>
      </c>
      <c r="Y748" s="12">
        <v>0</v>
      </c>
      <c r="Z748" s="25">
        <v>100</v>
      </c>
      <c r="AA748" s="25">
        <v>150</v>
      </c>
      <c r="AB748" s="25">
        <v>0</v>
      </c>
      <c r="AC748" s="25">
        <v>0</v>
      </c>
      <c r="AD748" s="25">
        <v>0</v>
      </c>
      <c r="AE748" s="25">
        <f t="shared" si="127"/>
        <v>278</v>
      </c>
      <c r="AF748" s="25">
        <f t="shared" si="128"/>
        <v>278</v>
      </c>
      <c r="AG748" s="25">
        <v>0</v>
      </c>
      <c r="AH748" s="25">
        <f t="shared" si="129"/>
        <v>1675</v>
      </c>
      <c r="AI748" s="25">
        <f t="shared" si="130"/>
        <v>12</v>
      </c>
      <c r="AJ748" s="25">
        <v>1</v>
      </c>
      <c r="AK748" s="25">
        <v>1000</v>
      </c>
      <c r="AL748" s="25">
        <v>100</v>
      </c>
      <c r="AM748" s="26">
        <v>10</v>
      </c>
      <c r="AN748" s="26">
        <v>10</v>
      </c>
      <c r="AO748" s="22" t="s">
        <v>2211</v>
      </c>
      <c r="AP748" s="26">
        <v>0</v>
      </c>
      <c r="AQ748" s="26">
        <f t="shared" si="131"/>
        <v>240</v>
      </c>
      <c r="AR748" s="18" t="str">
        <f ca="1">CONCATENATE(OFFSET(Sheet1!$A$2,RANDBETWEEN(2,500),0,1,1),OFFSET(Sheet1!$A$2,RANDBETWEEN(2,500),RANDBETWEEN(1,5),1,1))</f>
        <v>格罗特</v>
      </c>
      <c r="AS748">
        <f>SUMPRODUCT(P748:AI748,Sheet2!$B$3:$U$3)</f>
        <v>61842</v>
      </c>
    </row>
    <row r="749" spans="1:45" x14ac:dyDescent="0.15">
      <c r="A749" s="18">
        <v>748</v>
      </c>
      <c r="B749" s="18" t="s">
        <v>2115</v>
      </c>
      <c r="C749" s="18">
        <f t="shared" si="121"/>
        <v>139</v>
      </c>
      <c r="D749" s="19">
        <f t="shared" si="122"/>
        <v>2</v>
      </c>
      <c r="E749" s="19">
        <f>VLOOKUP(MOD(A749,4),各职业基础配置!C$32:D$35,2,FALSE)</f>
        <v>1</v>
      </c>
      <c r="F749" s="19">
        <f>IF(A749&lt;900,INDEX(各职业基础配置!C$23:C$28,MOD(ROW(A749),4)+1),0)</f>
        <v>13</v>
      </c>
      <c r="G749" s="19">
        <f t="shared" si="123"/>
        <v>7</v>
      </c>
      <c r="H749" s="27">
        <f t="shared" si="124"/>
        <v>1</v>
      </c>
      <c r="I749" s="6" t="s">
        <v>164</v>
      </c>
      <c r="J749" s="23" t="str">
        <f>VLOOKUP(E749,各职业基础配置!$B$9:$C$12,2,FALSE)</f>
        <v>101|102|103|4201|105</v>
      </c>
      <c r="K749" s="18" t="str">
        <f>VLOOKUP(E749,各职业基础配置!$B$15:$C$18,2,FALSE)</f>
        <v>24|25|26|27</v>
      </c>
      <c r="L749" s="18" t="str">
        <f>VLOOKUP(E749,各职业基础配置!B:C,2,FALSE)</f>
        <v>[{24,1,1},{25,1,1},{26,1,1},{27,1,1},{1,1,1},{2,1,1},{3,1,1}]</v>
      </c>
      <c r="M749" s="18">
        <v>0</v>
      </c>
      <c r="N749" s="18">
        <f t="shared" si="125"/>
        <v>3</v>
      </c>
      <c r="O749" s="18">
        <f>SUMPRODUCT(P749:AI749,Sheet2!$B$3:$U$3)</f>
        <v>61817</v>
      </c>
      <c r="P749" s="18">
        <f>CEILING(INDEX([1]系统模型!$VD:$VD,MATCH(C749,[1]系统模型!$A:$A,0))*POWER(C749/220,3.8)-50+(1000-A749),1)</f>
        <v>919</v>
      </c>
      <c r="Q749" s="18">
        <f>CEILING(INDEX([1]系统模型!$VE:$VE,MATCH(C749,[1]系统模型!$A:$A,0))*POWER(C749/220,4),1)</f>
        <v>78</v>
      </c>
      <c r="R749" s="18">
        <f>INT(INDEX([1]系统模型!$VF:$VF,MATCH(C749,[1]系统模型!$A:$A,0))*MAX(POWER(C749/180,4),0.5))</f>
        <v>8067</v>
      </c>
      <c r="S749" s="5">
        <v>1000</v>
      </c>
      <c r="T749" s="25">
        <v>0</v>
      </c>
      <c r="U749" s="25">
        <v>0</v>
      </c>
      <c r="V749" s="25">
        <v>0</v>
      </c>
      <c r="W749" s="25">
        <v>0</v>
      </c>
      <c r="X749" s="25">
        <f t="shared" si="126"/>
        <v>403</v>
      </c>
      <c r="Y749" s="12">
        <v>0</v>
      </c>
      <c r="Z749" s="25">
        <v>100</v>
      </c>
      <c r="AA749" s="25">
        <v>150</v>
      </c>
      <c r="AB749" s="25">
        <v>0</v>
      </c>
      <c r="AC749" s="25">
        <v>0</v>
      </c>
      <c r="AD749" s="25">
        <v>0</v>
      </c>
      <c r="AE749" s="25">
        <f t="shared" si="127"/>
        <v>278</v>
      </c>
      <c r="AF749" s="25">
        <f t="shared" si="128"/>
        <v>278</v>
      </c>
      <c r="AG749" s="25">
        <v>0</v>
      </c>
      <c r="AH749" s="25">
        <f t="shared" si="129"/>
        <v>1675</v>
      </c>
      <c r="AI749" s="25">
        <f t="shared" si="130"/>
        <v>12</v>
      </c>
      <c r="AJ749" s="25">
        <v>1</v>
      </c>
      <c r="AK749" s="25">
        <v>1000</v>
      </c>
      <c r="AL749" s="25">
        <v>100</v>
      </c>
      <c r="AM749" s="26">
        <v>10</v>
      </c>
      <c r="AN749" s="26">
        <v>10</v>
      </c>
      <c r="AO749" s="22" t="s">
        <v>2211</v>
      </c>
      <c r="AP749" s="26">
        <v>0</v>
      </c>
      <c r="AQ749" s="26">
        <f t="shared" si="131"/>
        <v>240</v>
      </c>
      <c r="AR749" s="18" t="str">
        <f ca="1">CONCATENATE(OFFSET(Sheet1!$A$2,RANDBETWEEN(2,500),0,1,1),OFFSET(Sheet1!$A$2,RANDBETWEEN(2,500),RANDBETWEEN(1,5),1,1))</f>
        <v>亨廷顿</v>
      </c>
      <c r="AS749">
        <f>SUMPRODUCT(P749:AI749,Sheet2!$B$3:$U$3)</f>
        <v>61817</v>
      </c>
    </row>
    <row r="750" spans="1:45" x14ac:dyDescent="0.15">
      <c r="A750" s="18">
        <v>749</v>
      </c>
      <c r="B750" s="18" t="s">
        <v>1249</v>
      </c>
      <c r="C750" s="18">
        <f t="shared" si="121"/>
        <v>139</v>
      </c>
      <c r="D750" s="19">
        <f t="shared" si="122"/>
        <v>3</v>
      </c>
      <c r="E750" s="19">
        <f>VLOOKUP(MOD(A750,4),各职业基础配置!C$32:D$35,2,FALSE)</f>
        <v>3</v>
      </c>
      <c r="F750" s="19">
        <f>IF(A750&lt;900,INDEX(各职业基础配置!C$23:C$28,MOD(ROW(A750),4)+1),0)</f>
        <v>14</v>
      </c>
      <c r="G750" s="19">
        <f t="shared" si="123"/>
        <v>7</v>
      </c>
      <c r="H750" s="27">
        <f t="shared" si="124"/>
        <v>1</v>
      </c>
      <c r="I750" s="6" t="s">
        <v>164</v>
      </c>
      <c r="J750" s="23" t="str">
        <f>VLOOKUP(E750,各职业基础配置!$B$9:$C$12,2,FALSE)</f>
        <v>106|107|108|4201|110</v>
      </c>
      <c r="K750" s="18" t="str">
        <f>VLOOKUP(E750,各职业基础配置!$B$15:$C$18,2,FALSE)</f>
        <v>20|21|22|23</v>
      </c>
      <c r="L750" s="18" t="str">
        <f>VLOOKUP(E750,各职业基础配置!B:C,2,FALSE)</f>
        <v>[{20,1,1},{21,1,1},{22,1,1},{23,1,1},{4,1,1},{5,1,1},{6,1,1}]</v>
      </c>
      <c r="M750" s="18">
        <v>0</v>
      </c>
      <c r="N750" s="18">
        <f t="shared" si="125"/>
        <v>7</v>
      </c>
      <c r="O750" s="18">
        <f>SUMPRODUCT(P750:AI750,Sheet2!$B$3:$U$3)</f>
        <v>61792</v>
      </c>
      <c r="P750" s="18">
        <f>CEILING(INDEX([1]系统模型!$VD:$VD,MATCH(C750,[1]系统模型!$A:$A,0))*POWER(C750/220,3.8)-50+(1000-A750),1)</f>
        <v>918</v>
      </c>
      <c r="Q750" s="18">
        <f>CEILING(INDEX([1]系统模型!$VE:$VE,MATCH(C750,[1]系统模型!$A:$A,0))*POWER(C750/220,4),1)</f>
        <v>78</v>
      </c>
      <c r="R750" s="18">
        <f>INT(INDEX([1]系统模型!$VF:$VF,MATCH(C750,[1]系统模型!$A:$A,0))*MAX(POWER(C750/180,4),0.5))</f>
        <v>8067</v>
      </c>
      <c r="S750" s="5">
        <v>1000</v>
      </c>
      <c r="T750" s="25">
        <v>0</v>
      </c>
      <c r="U750" s="25">
        <v>0</v>
      </c>
      <c r="V750" s="25">
        <v>0</v>
      </c>
      <c r="W750" s="25">
        <v>0</v>
      </c>
      <c r="X750" s="25">
        <f t="shared" si="126"/>
        <v>403</v>
      </c>
      <c r="Y750" s="12">
        <v>0</v>
      </c>
      <c r="Z750" s="25">
        <v>100</v>
      </c>
      <c r="AA750" s="25">
        <v>150</v>
      </c>
      <c r="AB750" s="25">
        <v>0</v>
      </c>
      <c r="AC750" s="25">
        <v>0</v>
      </c>
      <c r="AD750" s="25">
        <v>0</v>
      </c>
      <c r="AE750" s="25">
        <f t="shared" si="127"/>
        <v>278</v>
      </c>
      <c r="AF750" s="25">
        <f t="shared" si="128"/>
        <v>278</v>
      </c>
      <c r="AG750" s="25">
        <v>0</v>
      </c>
      <c r="AH750" s="25">
        <f t="shared" si="129"/>
        <v>1675</v>
      </c>
      <c r="AI750" s="25">
        <f t="shared" si="130"/>
        <v>12</v>
      </c>
      <c r="AJ750" s="25">
        <v>1</v>
      </c>
      <c r="AK750" s="25">
        <v>1000</v>
      </c>
      <c r="AL750" s="25">
        <v>100</v>
      </c>
      <c r="AM750" s="26">
        <v>10</v>
      </c>
      <c r="AN750" s="26">
        <v>10</v>
      </c>
      <c r="AO750" s="22" t="s">
        <v>2211</v>
      </c>
      <c r="AP750" s="26">
        <v>0</v>
      </c>
      <c r="AQ750" s="26">
        <f t="shared" si="131"/>
        <v>240</v>
      </c>
      <c r="AR750" s="18" t="str">
        <f ca="1">CONCATENATE(OFFSET(Sheet1!$A$2,RANDBETWEEN(2,500),0,1,1),OFFSET(Sheet1!$A$2,RANDBETWEEN(2,500),RANDBETWEEN(1,5),1,1))</f>
        <v>鲍勃</v>
      </c>
      <c r="AS750">
        <f>SUMPRODUCT(P750:AI750,Sheet2!$B$3:$U$3)</f>
        <v>61792</v>
      </c>
    </row>
    <row r="751" spans="1:45" x14ac:dyDescent="0.15">
      <c r="A751" s="23">
        <v>750</v>
      </c>
      <c r="B751" s="18" t="s">
        <v>2116</v>
      </c>
      <c r="C751" s="18">
        <f t="shared" si="121"/>
        <v>139</v>
      </c>
      <c r="D751" s="19">
        <f t="shared" si="122"/>
        <v>2</v>
      </c>
      <c r="E751" s="19">
        <f>VLOOKUP(MOD(A751,4),各职业基础配置!C$32:D$35,2,FALSE)</f>
        <v>6</v>
      </c>
      <c r="F751" s="19">
        <f>IF(A751&lt;900,INDEX(各职业基础配置!C$23:C$28,MOD(ROW(A751),4)+1),0)</f>
        <v>16</v>
      </c>
      <c r="G751" s="19">
        <f t="shared" si="123"/>
        <v>7</v>
      </c>
      <c r="H751" s="27">
        <f t="shared" si="124"/>
        <v>1</v>
      </c>
      <c r="I751" s="6" t="s">
        <v>164</v>
      </c>
      <c r="J751" s="23" t="str">
        <f>VLOOKUP(E751,各职业基础配置!$B$9:$C$12,2,FALSE)</f>
        <v>111|112|113|4201|115</v>
      </c>
      <c r="K751" s="18" t="str">
        <f>VLOOKUP(E751,各职业基础配置!$B$15:$C$18,2,FALSE)</f>
        <v>32|33|34</v>
      </c>
      <c r="L751" s="18" t="str">
        <f>VLOOKUP(E751,各职业基础配置!B:C,2,FALSE)</f>
        <v>[{32,1,1},{33,1,1},{34,1,1},{35,1,1},{7,1,1},{8,1,1},{9,1,1}]</v>
      </c>
      <c r="M751" s="18">
        <v>0</v>
      </c>
      <c r="N751" s="18">
        <f t="shared" si="125"/>
        <v>7</v>
      </c>
      <c r="O751" s="18">
        <f>SUMPRODUCT(P751:AI751,Sheet2!$B$3:$U$3)</f>
        <v>61767</v>
      </c>
      <c r="P751" s="18">
        <f>CEILING(INDEX([1]系统模型!$VD:$VD,MATCH(C751,[1]系统模型!$A:$A,0))*POWER(C751/220,3.8)-50+(1000-A751),1)</f>
        <v>917</v>
      </c>
      <c r="Q751" s="18">
        <f>CEILING(INDEX([1]系统模型!$VE:$VE,MATCH(C751,[1]系统模型!$A:$A,0))*POWER(C751/220,4),1)</f>
        <v>78</v>
      </c>
      <c r="R751" s="18">
        <f>INT(INDEX([1]系统模型!$VF:$VF,MATCH(C751,[1]系统模型!$A:$A,0))*MAX(POWER(C751/180,4),0.5))</f>
        <v>8067</v>
      </c>
      <c r="S751" s="5">
        <v>1000</v>
      </c>
      <c r="T751" s="25">
        <v>0</v>
      </c>
      <c r="U751" s="25">
        <v>0</v>
      </c>
      <c r="V751" s="25">
        <v>0</v>
      </c>
      <c r="W751" s="25">
        <v>0</v>
      </c>
      <c r="X751" s="25">
        <f t="shared" si="126"/>
        <v>403</v>
      </c>
      <c r="Y751" s="12">
        <v>0</v>
      </c>
      <c r="Z751" s="25">
        <v>100</v>
      </c>
      <c r="AA751" s="25">
        <v>150</v>
      </c>
      <c r="AB751" s="25">
        <v>0</v>
      </c>
      <c r="AC751" s="25">
        <v>0</v>
      </c>
      <c r="AD751" s="25">
        <v>0</v>
      </c>
      <c r="AE751" s="25">
        <f t="shared" si="127"/>
        <v>278</v>
      </c>
      <c r="AF751" s="25">
        <f t="shared" si="128"/>
        <v>278</v>
      </c>
      <c r="AG751" s="25">
        <v>0</v>
      </c>
      <c r="AH751" s="25">
        <f t="shared" si="129"/>
        <v>1675</v>
      </c>
      <c r="AI751" s="25">
        <f t="shared" si="130"/>
        <v>12</v>
      </c>
      <c r="AJ751" s="25">
        <v>1</v>
      </c>
      <c r="AK751" s="25">
        <v>1000</v>
      </c>
      <c r="AL751" s="25">
        <v>100</v>
      </c>
      <c r="AM751" s="26">
        <v>10</v>
      </c>
      <c r="AN751" s="26">
        <v>10</v>
      </c>
      <c r="AO751" s="22" t="s">
        <v>2211</v>
      </c>
      <c r="AP751" s="26">
        <v>0</v>
      </c>
      <c r="AQ751" s="26">
        <f t="shared" si="131"/>
        <v>240</v>
      </c>
      <c r="AR751" s="18" t="str">
        <f ca="1">CONCATENATE(OFFSET(Sheet1!$A$2,RANDBETWEEN(2,500),0,1,1),OFFSET(Sheet1!$A$2,RANDBETWEEN(2,500),RANDBETWEEN(1,5),1,1))</f>
        <v>克兰</v>
      </c>
      <c r="AS751">
        <f>SUMPRODUCT(P751:AI751,Sheet2!$B$3:$U$3)</f>
        <v>61767</v>
      </c>
    </row>
    <row r="752" spans="1:45" x14ac:dyDescent="0.15">
      <c r="A752" s="18">
        <v>751</v>
      </c>
      <c r="B752" s="18" t="s">
        <v>501</v>
      </c>
      <c r="C752" s="18">
        <f t="shared" si="121"/>
        <v>138</v>
      </c>
      <c r="D752" s="19">
        <f t="shared" si="122"/>
        <v>3</v>
      </c>
      <c r="E752" s="19">
        <f>VLOOKUP(MOD(A752,4),各职业基础配置!C$32:D$35,2,FALSE)</f>
        <v>9</v>
      </c>
      <c r="F752" s="19">
        <f>IF(A752&lt;900,INDEX(各职业基础配置!C$23:C$28,MOD(ROW(A752),4)+1),0)</f>
        <v>8</v>
      </c>
      <c r="G752" s="19">
        <f t="shared" si="123"/>
        <v>7</v>
      </c>
      <c r="H752" s="27">
        <f t="shared" si="124"/>
        <v>1</v>
      </c>
      <c r="I752" s="6" t="s">
        <v>164</v>
      </c>
      <c r="J752" s="23" t="str">
        <f>VLOOKUP(E752,各职业基础配置!$B$9:$C$12,2,FALSE)</f>
        <v>116|117|118|4201|120</v>
      </c>
      <c r="K752" s="18" t="str">
        <f>VLOOKUP(E752,各职业基础配置!$B$15:$C$18,2,FALSE)</f>
        <v>28|29|30|31</v>
      </c>
      <c r="L752" s="18" t="str">
        <f>VLOOKUP(E752,各职业基础配置!B:C,2,FALSE)</f>
        <v>[{28,1,1},{29,1,1},{30,1,1},{31,1,1},{10,1,1},{11,1,1},{12,1,1}]</v>
      </c>
      <c r="M752" s="18">
        <v>0</v>
      </c>
      <c r="N752" s="18">
        <f t="shared" si="125"/>
        <v>3</v>
      </c>
      <c r="O752" s="18">
        <f>SUMPRODUCT(P752:AI752,Sheet2!$B$3:$U$3)</f>
        <v>60326</v>
      </c>
      <c r="P752" s="18">
        <f>CEILING(INDEX([1]系统模型!$VD:$VD,MATCH(C752,[1]系统模型!$A:$A,0))*POWER(C752/220,3.8)-50+(1000-A752),1)</f>
        <v>886</v>
      </c>
      <c r="Q752" s="18">
        <f>CEILING(INDEX([1]系统模型!$VE:$VE,MATCH(C752,[1]系统模型!$A:$A,0))*POWER(C752/220,4),1)</f>
        <v>75</v>
      </c>
      <c r="R752" s="18">
        <f>INT(INDEX([1]系统模型!$VF:$VF,MATCH(C752,[1]系统模型!$A:$A,0))*MAX(POWER(C752/180,4),0.5))</f>
        <v>7976</v>
      </c>
      <c r="S752" s="5">
        <v>1000</v>
      </c>
      <c r="T752" s="25">
        <v>0</v>
      </c>
      <c r="U752" s="25">
        <v>0</v>
      </c>
      <c r="V752" s="25">
        <v>0</v>
      </c>
      <c r="W752" s="25">
        <v>0</v>
      </c>
      <c r="X752" s="25">
        <f t="shared" si="126"/>
        <v>398</v>
      </c>
      <c r="Y752" s="12">
        <v>0</v>
      </c>
      <c r="Z752" s="25">
        <v>100</v>
      </c>
      <c r="AA752" s="25">
        <v>150</v>
      </c>
      <c r="AB752" s="25">
        <v>0</v>
      </c>
      <c r="AC752" s="25">
        <v>0</v>
      </c>
      <c r="AD752" s="25">
        <v>0</v>
      </c>
      <c r="AE752" s="25">
        <f t="shared" si="127"/>
        <v>276</v>
      </c>
      <c r="AF752" s="25">
        <f t="shared" si="128"/>
        <v>276</v>
      </c>
      <c r="AG752" s="25">
        <v>0</v>
      </c>
      <c r="AH752" s="25">
        <f t="shared" si="129"/>
        <v>1600</v>
      </c>
      <c r="AI752" s="25">
        <f t="shared" si="130"/>
        <v>11</v>
      </c>
      <c r="AJ752" s="25">
        <v>1</v>
      </c>
      <c r="AK752" s="25">
        <v>1000</v>
      </c>
      <c r="AL752" s="25">
        <v>100</v>
      </c>
      <c r="AM752" s="26">
        <v>10</v>
      </c>
      <c r="AN752" s="26">
        <v>10</v>
      </c>
      <c r="AO752" s="22" t="s">
        <v>2211</v>
      </c>
      <c r="AP752" s="26">
        <v>0</v>
      </c>
      <c r="AQ752" s="26">
        <f t="shared" si="131"/>
        <v>240</v>
      </c>
      <c r="AR752" s="18" t="str">
        <f ca="1">CONCATENATE(OFFSET(Sheet1!$A$2,RANDBETWEEN(2,500),0,1,1),OFFSET(Sheet1!$A$2,RANDBETWEEN(2,500),RANDBETWEEN(1,5),1,1))</f>
        <v>霍齐亚姗姗</v>
      </c>
      <c r="AS752">
        <f>SUMPRODUCT(P752:AI752,Sheet2!$B$3:$U$3)</f>
        <v>60326</v>
      </c>
    </row>
    <row r="753" spans="1:45" x14ac:dyDescent="0.15">
      <c r="A753" s="18">
        <v>752</v>
      </c>
      <c r="B753" s="18" t="s">
        <v>1260</v>
      </c>
      <c r="C753" s="18">
        <f t="shared" si="121"/>
        <v>138</v>
      </c>
      <c r="D753" s="19">
        <f t="shared" si="122"/>
        <v>2</v>
      </c>
      <c r="E753" s="19">
        <f>VLOOKUP(MOD(A753,4),各职业基础配置!C$32:D$35,2,FALSE)</f>
        <v>1</v>
      </c>
      <c r="F753" s="19">
        <f>IF(A753&lt;900,INDEX(各职业基础配置!C$23:C$28,MOD(ROW(A753),4)+1),0)</f>
        <v>13</v>
      </c>
      <c r="G753" s="19">
        <f t="shared" si="123"/>
        <v>7</v>
      </c>
      <c r="H753" s="27">
        <f t="shared" si="124"/>
        <v>1</v>
      </c>
      <c r="I753" s="6" t="s">
        <v>164</v>
      </c>
      <c r="J753" s="23" t="str">
        <f>VLOOKUP(E753,各职业基础配置!$B$9:$C$12,2,FALSE)</f>
        <v>101|102|103|4201|105</v>
      </c>
      <c r="K753" s="18" t="str">
        <f>VLOOKUP(E753,各职业基础配置!$B$15:$C$18,2,FALSE)</f>
        <v>24|25|26|27</v>
      </c>
      <c r="L753" s="18" t="str">
        <f>VLOOKUP(E753,各职业基础配置!B:C,2,FALSE)</f>
        <v>[{24,1,1},{25,1,1},{26,1,1},{27,1,1},{1,1,1},{2,1,1},{3,1,1}]</v>
      </c>
      <c r="M753" s="18">
        <v>0</v>
      </c>
      <c r="N753" s="18">
        <f t="shared" si="125"/>
        <v>3</v>
      </c>
      <c r="O753" s="18">
        <f>SUMPRODUCT(P753:AI753,Sheet2!$B$3:$U$3)</f>
        <v>60301</v>
      </c>
      <c r="P753" s="18">
        <f>CEILING(INDEX([1]系统模型!$VD:$VD,MATCH(C753,[1]系统模型!$A:$A,0))*POWER(C753/220,3.8)-50+(1000-A753),1)</f>
        <v>885</v>
      </c>
      <c r="Q753" s="18">
        <f>CEILING(INDEX([1]系统模型!$VE:$VE,MATCH(C753,[1]系统模型!$A:$A,0))*POWER(C753/220,4),1)</f>
        <v>75</v>
      </c>
      <c r="R753" s="18">
        <f>INT(INDEX([1]系统模型!$VF:$VF,MATCH(C753,[1]系统模型!$A:$A,0))*MAX(POWER(C753/180,4),0.5))</f>
        <v>7976</v>
      </c>
      <c r="S753" s="5">
        <v>1000</v>
      </c>
      <c r="T753" s="25">
        <v>0</v>
      </c>
      <c r="U753" s="25">
        <v>0</v>
      </c>
      <c r="V753" s="25">
        <v>0</v>
      </c>
      <c r="W753" s="25">
        <v>0</v>
      </c>
      <c r="X753" s="25">
        <f t="shared" si="126"/>
        <v>398</v>
      </c>
      <c r="Y753" s="12">
        <v>0</v>
      </c>
      <c r="Z753" s="25">
        <v>100</v>
      </c>
      <c r="AA753" s="25">
        <v>150</v>
      </c>
      <c r="AB753" s="25">
        <v>0</v>
      </c>
      <c r="AC753" s="25">
        <v>0</v>
      </c>
      <c r="AD753" s="25">
        <v>0</v>
      </c>
      <c r="AE753" s="25">
        <f t="shared" si="127"/>
        <v>276</v>
      </c>
      <c r="AF753" s="25">
        <f t="shared" si="128"/>
        <v>276</v>
      </c>
      <c r="AG753" s="25">
        <v>0</v>
      </c>
      <c r="AH753" s="25">
        <f t="shared" si="129"/>
        <v>1600</v>
      </c>
      <c r="AI753" s="25">
        <f t="shared" si="130"/>
        <v>11</v>
      </c>
      <c r="AJ753" s="25">
        <v>1</v>
      </c>
      <c r="AK753" s="25">
        <v>1000</v>
      </c>
      <c r="AL753" s="25">
        <v>100</v>
      </c>
      <c r="AM753" s="26">
        <v>10</v>
      </c>
      <c r="AN753" s="26">
        <v>10</v>
      </c>
      <c r="AO753" s="22" t="s">
        <v>2211</v>
      </c>
      <c r="AP753" s="26">
        <v>0</v>
      </c>
      <c r="AQ753" s="26">
        <f t="shared" si="131"/>
        <v>240</v>
      </c>
      <c r="AR753" s="18" t="str">
        <f ca="1">CONCATENATE(OFFSET(Sheet1!$A$2,RANDBETWEEN(2,500),0,1,1),OFFSET(Sheet1!$A$2,RANDBETWEEN(2,500),RANDBETWEEN(1,5),1,1))</f>
        <v>季星</v>
      </c>
      <c r="AS753">
        <f>SUMPRODUCT(P753:AI753,Sheet2!$B$3:$U$3)</f>
        <v>60301</v>
      </c>
    </row>
    <row r="754" spans="1:45" x14ac:dyDescent="0.15">
      <c r="A754" s="23">
        <v>753</v>
      </c>
      <c r="B754" s="18" t="s">
        <v>1037</v>
      </c>
      <c r="C754" s="18">
        <f t="shared" si="121"/>
        <v>138</v>
      </c>
      <c r="D754" s="19">
        <f t="shared" si="122"/>
        <v>3</v>
      </c>
      <c r="E754" s="19">
        <f>VLOOKUP(MOD(A754,4),各职业基础配置!C$32:D$35,2,FALSE)</f>
        <v>3</v>
      </c>
      <c r="F754" s="19">
        <f>IF(A754&lt;900,INDEX(各职业基础配置!C$23:C$28,MOD(ROW(A754),4)+1),0)</f>
        <v>14</v>
      </c>
      <c r="G754" s="19">
        <f t="shared" si="123"/>
        <v>7</v>
      </c>
      <c r="H754" s="27">
        <f t="shared" si="124"/>
        <v>1</v>
      </c>
      <c r="I754" s="6" t="s">
        <v>164</v>
      </c>
      <c r="J754" s="23" t="str">
        <f>VLOOKUP(E754,各职业基础配置!$B$9:$C$12,2,FALSE)</f>
        <v>106|107|108|4201|110</v>
      </c>
      <c r="K754" s="18" t="str">
        <f>VLOOKUP(E754,各职业基础配置!$B$15:$C$18,2,FALSE)</f>
        <v>20|21|22|23</v>
      </c>
      <c r="L754" s="18" t="str">
        <f>VLOOKUP(E754,各职业基础配置!B:C,2,FALSE)</f>
        <v>[{20,1,1},{21,1,1},{22,1,1},{23,1,1},{4,1,1},{5,1,1},{6,1,1}]</v>
      </c>
      <c r="M754" s="18">
        <v>0</v>
      </c>
      <c r="N754" s="18">
        <f t="shared" si="125"/>
        <v>7</v>
      </c>
      <c r="O754" s="18">
        <f>SUMPRODUCT(P754:AI754,Sheet2!$B$3:$U$3)</f>
        <v>60276</v>
      </c>
      <c r="P754" s="18">
        <f>CEILING(INDEX([1]系统模型!$VD:$VD,MATCH(C754,[1]系统模型!$A:$A,0))*POWER(C754/220,3.8)-50+(1000-A754),1)</f>
        <v>884</v>
      </c>
      <c r="Q754" s="18">
        <f>CEILING(INDEX([1]系统模型!$VE:$VE,MATCH(C754,[1]系统模型!$A:$A,0))*POWER(C754/220,4),1)</f>
        <v>75</v>
      </c>
      <c r="R754" s="18">
        <f>INT(INDEX([1]系统模型!$VF:$VF,MATCH(C754,[1]系统模型!$A:$A,0))*MAX(POWER(C754/180,4),0.5))</f>
        <v>7976</v>
      </c>
      <c r="S754" s="5">
        <v>1000</v>
      </c>
      <c r="T754" s="25">
        <v>0</v>
      </c>
      <c r="U754" s="25">
        <v>0</v>
      </c>
      <c r="V754" s="25">
        <v>0</v>
      </c>
      <c r="W754" s="25">
        <v>0</v>
      </c>
      <c r="X754" s="25">
        <f t="shared" si="126"/>
        <v>398</v>
      </c>
      <c r="Y754" s="12">
        <v>0</v>
      </c>
      <c r="Z754" s="25">
        <v>100</v>
      </c>
      <c r="AA754" s="25">
        <v>150</v>
      </c>
      <c r="AB754" s="25">
        <v>0</v>
      </c>
      <c r="AC754" s="25">
        <v>0</v>
      </c>
      <c r="AD754" s="25">
        <v>0</v>
      </c>
      <c r="AE754" s="25">
        <f t="shared" si="127"/>
        <v>276</v>
      </c>
      <c r="AF754" s="25">
        <f t="shared" si="128"/>
        <v>276</v>
      </c>
      <c r="AG754" s="25">
        <v>0</v>
      </c>
      <c r="AH754" s="25">
        <f t="shared" si="129"/>
        <v>1600</v>
      </c>
      <c r="AI754" s="25">
        <f t="shared" si="130"/>
        <v>11</v>
      </c>
      <c r="AJ754" s="25">
        <v>1</v>
      </c>
      <c r="AK754" s="25">
        <v>1000</v>
      </c>
      <c r="AL754" s="25">
        <v>100</v>
      </c>
      <c r="AM754" s="26">
        <v>10</v>
      </c>
      <c r="AN754" s="26">
        <v>10</v>
      </c>
      <c r="AO754" s="22" t="s">
        <v>2211</v>
      </c>
      <c r="AP754" s="26">
        <v>0</v>
      </c>
      <c r="AQ754" s="26">
        <f t="shared" si="131"/>
        <v>240</v>
      </c>
      <c r="AR754" s="18" t="str">
        <f ca="1">CONCATENATE(OFFSET(Sheet1!$A$2,RANDBETWEEN(2,500),0,1,1),OFFSET(Sheet1!$A$2,RANDBETWEEN(2,500),RANDBETWEEN(1,5),1,1))</f>
        <v>布鲁斯</v>
      </c>
      <c r="AS754">
        <f>SUMPRODUCT(P754:AI754,Sheet2!$B$3:$U$3)</f>
        <v>60276</v>
      </c>
    </row>
    <row r="755" spans="1:45" x14ac:dyDescent="0.15">
      <c r="A755" s="18">
        <v>754</v>
      </c>
      <c r="B755" s="18" t="s">
        <v>1026</v>
      </c>
      <c r="C755" s="18">
        <f t="shared" si="121"/>
        <v>138</v>
      </c>
      <c r="D755" s="19">
        <f t="shared" si="122"/>
        <v>2</v>
      </c>
      <c r="E755" s="19">
        <f>VLOOKUP(MOD(A755,4),各职业基础配置!C$32:D$35,2,FALSE)</f>
        <v>6</v>
      </c>
      <c r="F755" s="19">
        <f>IF(A755&lt;900,INDEX(各职业基础配置!C$23:C$28,MOD(ROW(A755),4)+1),0)</f>
        <v>16</v>
      </c>
      <c r="G755" s="19">
        <f t="shared" si="123"/>
        <v>7</v>
      </c>
      <c r="H755" s="27">
        <f t="shared" si="124"/>
        <v>1</v>
      </c>
      <c r="I755" s="6" t="s">
        <v>164</v>
      </c>
      <c r="J755" s="23" t="str">
        <f>VLOOKUP(E755,各职业基础配置!$B$9:$C$12,2,FALSE)</f>
        <v>111|112|113|4201|115</v>
      </c>
      <c r="K755" s="18" t="str">
        <f>VLOOKUP(E755,各职业基础配置!$B$15:$C$18,2,FALSE)</f>
        <v>32|33|34</v>
      </c>
      <c r="L755" s="18" t="str">
        <f>VLOOKUP(E755,各职业基础配置!B:C,2,FALSE)</f>
        <v>[{32,1,1},{33,1,1},{34,1,1},{35,1,1},{7,1,1},{8,1,1},{9,1,1}]</v>
      </c>
      <c r="M755" s="18">
        <v>0</v>
      </c>
      <c r="N755" s="18">
        <f t="shared" si="125"/>
        <v>7</v>
      </c>
      <c r="O755" s="18">
        <f>SUMPRODUCT(P755:AI755,Sheet2!$B$3:$U$3)</f>
        <v>60251</v>
      </c>
      <c r="P755" s="18">
        <f>CEILING(INDEX([1]系统模型!$VD:$VD,MATCH(C755,[1]系统模型!$A:$A,0))*POWER(C755/220,3.8)-50+(1000-A755),1)</f>
        <v>883</v>
      </c>
      <c r="Q755" s="18">
        <f>CEILING(INDEX([1]系统模型!$VE:$VE,MATCH(C755,[1]系统模型!$A:$A,0))*POWER(C755/220,4),1)</f>
        <v>75</v>
      </c>
      <c r="R755" s="18">
        <f>INT(INDEX([1]系统模型!$VF:$VF,MATCH(C755,[1]系统模型!$A:$A,0))*MAX(POWER(C755/180,4),0.5))</f>
        <v>7976</v>
      </c>
      <c r="S755" s="5">
        <v>1000</v>
      </c>
      <c r="T755" s="25">
        <v>0</v>
      </c>
      <c r="U755" s="25">
        <v>0</v>
      </c>
      <c r="V755" s="25">
        <v>0</v>
      </c>
      <c r="W755" s="25">
        <v>0</v>
      </c>
      <c r="X755" s="25">
        <f t="shared" si="126"/>
        <v>398</v>
      </c>
      <c r="Y755" s="12">
        <v>0</v>
      </c>
      <c r="Z755" s="25">
        <v>100</v>
      </c>
      <c r="AA755" s="25">
        <v>150</v>
      </c>
      <c r="AB755" s="25">
        <v>0</v>
      </c>
      <c r="AC755" s="25">
        <v>0</v>
      </c>
      <c r="AD755" s="25">
        <v>0</v>
      </c>
      <c r="AE755" s="25">
        <f t="shared" si="127"/>
        <v>276</v>
      </c>
      <c r="AF755" s="25">
        <f t="shared" si="128"/>
        <v>276</v>
      </c>
      <c r="AG755" s="25">
        <v>0</v>
      </c>
      <c r="AH755" s="25">
        <f t="shared" si="129"/>
        <v>1600</v>
      </c>
      <c r="AI755" s="25">
        <f t="shared" si="130"/>
        <v>11</v>
      </c>
      <c r="AJ755" s="25">
        <v>1</v>
      </c>
      <c r="AK755" s="25">
        <v>1000</v>
      </c>
      <c r="AL755" s="25">
        <v>100</v>
      </c>
      <c r="AM755" s="26">
        <v>10</v>
      </c>
      <c r="AN755" s="26">
        <v>10</v>
      </c>
      <c r="AO755" s="22" t="s">
        <v>2211</v>
      </c>
      <c r="AP755" s="26">
        <v>0</v>
      </c>
      <c r="AQ755" s="26">
        <f t="shared" si="131"/>
        <v>240</v>
      </c>
      <c r="AR755" s="18" t="str">
        <f ca="1">CONCATENATE(OFFSET(Sheet1!$A$2,RANDBETWEEN(2,500),0,1,1),OFFSET(Sheet1!$A$2,RANDBETWEEN(2,500),RANDBETWEEN(1,5),1,1))</f>
        <v>法拉第范伦汀娜</v>
      </c>
      <c r="AS755">
        <f>SUMPRODUCT(P755:AI755,Sheet2!$B$3:$U$3)</f>
        <v>60251</v>
      </c>
    </row>
    <row r="756" spans="1:45" x14ac:dyDescent="0.15">
      <c r="A756" s="18">
        <v>755</v>
      </c>
      <c r="B756" s="18" t="s">
        <v>2117</v>
      </c>
      <c r="C756" s="18">
        <f t="shared" si="121"/>
        <v>138</v>
      </c>
      <c r="D756" s="19">
        <f t="shared" si="122"/>
        <v>3</v>
      </c>
      <c r="E756" s="19">
        <f>VLOOKUP(MOD(A756,4),各职业基础配置!C$32:D$35,2,FALSE)</f>
        <v>9</v>
      </c>
      <c r="F756" s="19">
        <f>IF(A756&lt;900,INDEX(各职业基础配置!C$23:C$28,MOD(ROW(A756),4)+1),0)</f>
        <v>8</v>
      </c>
      <c r="G756" s="19">
        <f t="shared" si="123"/>
        <v>7</v>
      </c>
      <c r="H756" s="27">
        <f t="shared" si="124"/>
        <v>1</v>
      </c>
      <c r="I756" s="6" t="s">
        <v>164</v>
      </c>
      <c r="J756" s="23" t="str">
        <f>VLOOKUP(E756,各职业基础配置!$B$9:$C$12,2,FALSE)</f>
        <v>116|117|118|4201|120</v>
      </c>
      <c r="K756" s="18" t="str">
        <f>VLOOKUP(E756,各职业基础配置!$B$15:$C$18,2,FALSE)</f>
        <v>28|29|30|31</v>
      </c>
      <c r="L756" s="18" t="str">
        <f>VLOOKUP(E756,各职业基础配置!B:C,2,FALSE)</f>
        <v>[{28,1,1},{29,1,1},{30,1,1},{31,1,1},{10,1,1},{11,1,1},{12,1,1}]</v>
      </c>
      <c r="M756" s="18">
        <v>0</v>
      </c>
      <c r="N756" s="18">
        <f t="shared" si="125"/>
        <v>3</v>
      </c>
      <c r="O756" s="18">
        <f>SUMPRODUCT(P756:AI756,Sheet2!$B$3:$U$3)</f>
        <v>60226</v>
      </c>
      <c r="P756" s="18">
        <f>CEILING(INDEX([1]系统模型!$VD:$VD,MATCH(C756,[1]系统模型!$A:$A,0))*POWER(C756/220,3.8)-50+(1000-A756),1)</f>
        <v>882</v>
      </c>
      <c r="Q756" s="18">
        <f>CEILING(INDEX([1]系统模型!$VE:$VE,MATCH(C756,[1]系统模型!$A:$A,0))*POWER(C756/220,4),1)</f>
        <v>75</v>
      </c>
      <c r="R756" s="18">
        <f>INT(INDEX([1]系统模型!$VF:$VF,MATCH(C756,[1]系统模型!$A:$A,0))*MAX(POWER(C756/180,4),0.5))</f>
        <v>7976</v>
      </c>
      <c r="S756" s="5">
        <v>1000</v>
      </c>
      <c r="T756" s="25">
        <v>0</v>
      </c>
      <c r="U756" s="25">
        <v>0</v>
      </c>
      <c r="V756" s="25">
        <v>0</v>
      </c>
      <c r="W756" s="25">
        <v>0</v>
      </c>
      <c r="X756" s="25">
        <f t="shared" si="126"/>
        <v>398</v>
      </c>
      <c r="Y756" s="12">
        <v>0</v>
      </c>
      <c r="Z756" s="25">
        <v>100</v>
      </c>
      <c r="AA756" s="25">
        <v>150</v>
      </c>
      <c r="AB756" s="25">
        <v>0</v>
      </c>
      <c r="AC756" s="25">
        <v>0</v>
      </c>
      <c r="AD756" s="25">
        <v>0</v>
      </c>
      <c r="AE756" s="25">
        <f t="shared" si="127"/>
        <v>276</v>
      </c>
      <c r="AF756" s="25">
        <f t="shared" si="128"/>
        <v>276</v>
      </c>
      <c r="AG756" s="25">
        <v>0</v>
      </c>
      <c r="AH756" s="25">
        <f t="shared" si="129"/>
        <v>1600</v>
      </c>
      <c r="AI756" s="25">
        <f t="shared" si="130"/>
        <v>11</v>
      </c>
      <c r="AJ756" s="25">
        <v>1</v>
      </c>
      <c r="AK756" s="25">
        <v>1000</v>
      </c>
      <c r="AL756" s="25">
        <v>100</v>
      </c>
      <c r="AM756" s="26">
        <v>10</v>
      </c>
      <c r="AN756" s="26">
        <v>10</v>
      </c>
      <c r="AO756" s="22" t="s">
        <v>2211</v>
      </c>
      <c r="AP756" s="26">
        <v>0</v>
      </c>
      <c r="AQ756" s="26">
        <f t="shared" si="131"/>
        <v>230</v>
      </c>
      <c r="AR756" s="18" t="str">
        <f ca="1">CONCATENATE(OFFSET(Sheet1!$A$2,RANDBETWEEN(2,500),0,1,1),OFFSET(Sheet1!$A$2,RANDBETWEEN(2,500),RANDBETWEEN(1,5),1,1))</f>
        <v>布鲁克玛丽亚</v>
      </c>
      <c r="AS756">
        <f>SUMPRODUCT(P756:AI756,Sheet2!$B$3:$U$3)</f>
        <v>60226</v>
      </c>
    </row>
    <row r="757" spans="1:45" x14ac:dyDescent="0.15">
      <c r="A757" s="23">
        <v>756</v>
      </c>
      <c r="B757" s="18" t="s">
        <v>1344</v>
      </c>
      <c r="C757" s="18">
        <f t="shared" si="121"/>
        <v>138</v>
      </c>
      <c r="D757" s="19">
        <f t="shared" si="122"/>
        <v>2</v>
      </c>
      <c r="E757" s="19">
        <f>VLOOKUP(MOD(A757,4),各职业基础配置!C$32:D$35,2,FALSE)</f>
        <v>1</v>
      </c>
      <c r="F757" s="19">
        <f>IF(A757&lt;900,INDEX(各职业基础配置!C$23:C$28,MOD(ROW(A757),4)+1),0)</f>
        <v>13</v>
      </c>
      <c r="G757" s="19">
        <f t="shared" si="123"/>
        <v>7</v>
      </c>
      <c r="H757" s="27">
        <f t="shared" si="124"/>
        <v>1</v>
      </c>
      <c r="I757" s="6" t="s">
        <v>164</v>
      </c>
      <c r="J757" s="23" t="str">
        <f>VLOOKUP(E757,各职业基础配置!$B$9:$C$12,2,FALSE)</f>
        <v>101|102|103|4201|105</v>
      </c>
      <c r="K757" s="18" t="str">
        <f>VLOOKUP(E757,各职业基础配置!$B$15:$C$18,2,FALSE)</f>
        <v>24|25|26|27</v>
      </c>
      <c r="L757" s="18" t="str">
        <f>VLOOKUP(E757,各职业基础配置!B:C,2,FALSE)</f>
        <v>[{24,1,1},{25,1,1},{26,1,1},{27,1,1},{1,1,1},{2,1,1},{3,1,1}]</v>
      </c>
      <c r="M757" s="18">
        <v>0</v>
      </c>
      <c r="N757" s="18">
        <f t="shared" si="125"/>
        <v>3</v>
      </c>
      <c r="O757" s="18">
        <f>SUMPRODUCT(P757:AI757,Sheet2!$B$3:$U$3)</f>
        <v>60201</v>
      </c>
      <c r="P757" s="18">
        <f>CEILING(INDEX([1]系统模型!$VD:$VD,MATCH(C757,[1]系统模型!$A:$A,0))*POWER(C757/220,3.8)-50+(1000-A757),1)</f>
        <v>881</v>
      </c>
      <c r="Q757" s="18">
        <f>CEILING(INDEX([1]系统模型!$VE:$VE,MATCH(C757,[1]系统模型!$A:$A,0))*POWER(C757/220,4),1)</f>
        <v>75</v>
      </c>
      <c r="R757" s="18">
        <f>INT(INDEX([1]系统模型!$VF:$VF,MATCH(C757,[1]系统模型!$A:$A,0))*MAX(POWER(C757/180,4),0.5))</f>
        <v>7976</v>
      </c>
      <c r="S757" s="5">
        <v>1000</v>
      </c>
      <c r="T757" s="25">
        <v>0</v>
      </c>
      <c r="U757" s="25">
        <v>0</v>
      </c>
      <c r="V757" s="25">
        <v>0</v>
      </c>
      <c r="W757" s="25">
        <v>0</v>
      </c>
      <c r="X757" s="25">
        <f t="shared" si="126"/>
        <v>398</v>
      </c>
      <c r="Y757" s="12">
        <v>0</v>
      </c>
      <c r="Z757" s="25">
        <v>100</v>
      </c>
      <c r="AA757" s="25">
        <v>150</v>
      </c>
      <c r="AB757" s="25">
        <v>0</v>
      </c>
      <c r="AC757" s="25">
        <v>0</v>
      </c>
      <c r="AD757" s="25">
        <v>0</v>
      </c>
      <c r="AE757" s="25">
        <f t="shared" si="127"/>
        <v>276</v>
      </c>
      <c r="AF757" s="25">
        <f t="shared" si="128"/>
        <v>276</v>
      </c>
      <c r="AG757" s="25">
        <v>0</v>
      </c>
      <c r="AH757" s="25">
        <f t="shared" si="129"/>
        <v>1600</v>
      </c>
      <c r="AI757" s="25">
        <f t="shared" si="130"/>
        <v>11</v>
      </c>
      <c r="AJ757" s="25">
        <v>1</v>
      </c>
      <c r="AK757" s="25">
        <v>1000</v>
      </c>
      <c r="AL757" s="25">
        <v>100</v>
      </c>
      <c r="AM757" s="26">
        <v>10</v>
      </c>
      <c r="AN757" s="26">
        <v>10</v>
      </c>
      <c r="AO757" s="22" t="s">
        <v>2211</v>
      </c>
      <c r="AP757" s="26">
        <v>0</v>
      </c>
      <c r="AQ757" s="26">
        <f t="shared" si="131"/>
        <v>230</v>
      </c>
      <c r="AR757" s="18" t="str">
        <f ca="1">CONCATENATE(OFFSET(Sheet1!$A$2,RANDBETWEEN(2,500),0,1,1),OFFSET(Sheet1!$A$2,RANDBETWEEN(2,500),RANDBETWEEN(1,5),1,1))</f>
        <v>霍索恩</v>
      </c>
      <c r="AS757">
        <f>SUMPRODUCT(P757:AI757,Sheet2!$B$3:$U$3)</f>
        <v>60201</v>
      </c>
    </row>
    <row r="758" spans="1:45" x14ac:dyDescent="0.15">
      <c r="A758" s="18">
        <v>757</v>
      </c>
      <c r="B758" s="18" t="s">
        <v>1355</v>
      </c>
      <c r="C758" s="18">
        <f t="shared" si="121"/>
        <v>137</v>
      </c>
      <c r="D758" s="19">
        <f t="shared" si="122"/>
        <v>3</v>
      </c>
      <c r="E758" s="19">
        <f>VLOOKUP(MOD(A758,4),各职业基础配置!C$32:D$35,2,FALSE)</f>
        <v>3</v>
      </c>
      <c r="F758" s="19">
        <f>IF(A758&lt;900,INDEX(各职业基础配置!C$23:C$28,MOD(ROW(A758),4)+1),0)</f>
        <v>14</v>
      </c>
      <c r="G758" s="19">
        <f t="shared" si="123"/>
        <v>6</v>
      </c>
      <c r="H758" s="27">
        <f t="shared" si="124"/>
        <v>1</v>
      </c>
      <c r="I758" s="6" t="s">
        <v>164</v>
      </c>
      <c r="J758" s="23" t="str">
        <f>VLOOKUP(E758,各职业基础配置!$B$9:$C$12,2,FALSE)</f>
        <v>106|107|108|4201|110</v>
      </c>
      <c r="K758" s="18" t="str">
        <f>VLOOKUP(E758,各职业基础配置!$B$15:$C$18,2,FALSE)</f>
        <v>20|21|22|23</v>
      </c>
      <c r="L758" s="18" t="str">
        <f>VLOOKUP(E758,各职业基础配置!B:C,2,FALSE)</f>
        <v>[{20,1,1},{21,1,1},{22,1,1},{23,1,1},{4,1,1},{5,1,1},{6,1,1}]</v>
      </c>
      <c r="M758" s="18">
        <v>0</v>
      </c>
      <c r="N758" s="18">
        <f t="shared" si="125"/>
        <v>7</v>
      </c>
      <c r="O758" s="18">
        <f>SUMPRODUCT(P758:AI758,Sheet2!$B$3:$U$3)</f>
        <v>59042</v>
      </c>
      <c r="P758" s="18">
        <f>CEILING(INDEX([1]系统模型!$VD:$VD,MATCH(C758,[1]系统模型!$A:$A,0))*POWER(C758/220,3.8)-50+(1000-A758),1)</f>
        <v>859</v>
      </c>
      <c r="Q758" s="18">
        <f>CEILING(INDEX([1]系统模型!$VE:$VE,MATCH(C758,[1]系统模型!$A:$A,0))*POWER(C758/220,4),1)</f>
        <v>72</v>
      </c>
      <c r="R758" s="18">
        <f>INT(INDEX([1]系统模型!$VF:$VF,MATCH(C758,[1]系统模型!$A:$A,0))*MAX(POWER(C758/180,4),0.5))</f>
        <v>7917</v>
      </c>
      <c r="S758" s="5">
        <v>1000</v>
      </c>
      <c r="T758" s="25">
        <v>0</v>
      </c>
      <c r="U758" s="25">
        <v>0</v>
      </c>
      <c r="V758" s="25">
        <v>0</v>
      </c>
      <c r="W758" s="25">
        <v>0</v>
      </c>
      <c r="X758" s="25">
        <f t="shared" si="126"/>
        <v>395</v>
      </c>
      <c r="Y758" s="12">
        <v>0</v>
      </c>
      <c r="Z758" s="25">
        <v>100</v>
      </c>
      <c r="AA758" s="25">
        <v>150</v>
      </c>
      <c r="AB758" s="25">
        <v>0</v>
      </c>
      <c r="AC758" s="25">
        <v>0</v>
      </c>
      <c r="AD758" s="25">
        <v>0</v>
      </c>
      <c r="AE758" s="25">
        <f t="shared" si="127"/>
        <v>274</v>
      </c>
      <c r="AF758" s="25">
        <f t="shared" si="128"/>
        <v>274</v>
      </c>
      <c r="AG758" s="25">
        <v>0</v>
      </c>
      <c r="AH758" s="25">
        <f t="shared" si="129"/>
        <v>1525</v>
      </c>
      <c r="AI758" s="25">
        <f t="shared" si="130"/>
        <v>11</v>
      </c>
      <c r="AJ758" s="25">
        <v>1</v>
      </c>
      <c r="AK758" s="25">
        <v>1000</v>
      </c>
      <c r="AL758" s="25">
        <v>100</v>
      </c>
      <c r="AM758" s="26">
        <v>10</v>
      </c>
      <c r="AN758" s="26">
        <v>10</v>
      </c>
      <c r="AO758" s="22" t="s">
        <v>2211</v>
      </c>
      <c r="AP758" s="26">
        <v>0</v>
      </c>
      <c r="AQ758" s="26">
        <f t="shared" si="131"/>
        <v>230</v>
      </c>
      <c r="AR758" s="18" t="str">
        <f ca="1">CONCATENATE(OFFSET(Sheet1!$A$2,RANDBETWEEN(2,500),0,1,1),OFFSET(Sheet1!$A$2,RANDBETWEEN(2,500),RANDBETWEEN(1,5),1,1))</f>
        <v>杜威</v>
      </c>
      <c r="AS758">
        <f>SUMPRODUCT(P758:AI758,Sheet2!$B$3:$U$3)</f>
        <v>59042</v>
      </c>
    </row>
    <row r="759" spans="1:45" x14ac:dyDescent="0.15">
      <c r="A759" s="18">
        <v>758</v>
      </c>
      <c r="B759" s="18" t="s">
        <v>2118</v>
      </c>
      <c r="C759" s="18">
        <f t="shared" si="121"/>
        <v>137</v>
      </c>
      <c r="D759" s="19">
        <f t="shared" si="122"/>
        <v>2</v>
      </c>
      <c r="E759" s="19">
        <f>VLOOKUP(MOD(A759,4),各职业基础配置!C$32:D$35,2,FALSE)</f>
        <v>6</v>
      </c>
      <c r="F759" s="19">
        <f>IF(A759&lt;900,INDEX(各职业基础配置!C$23:C$28,MOD(ROW(A759),4)+1),0)</f>
        <v>16</v>
      </c>
      <c r="G759" s="19">
        <f t="shared" si="123"/>
        <v>6</v>
      </c>
      <c r="H759" s="27">
        <f t="shared" si="124"/>
        <v>1</v>
      </c>
      <c r="I759" s="6" t="s">
        <v>164</v>
      </c>
      <c r="J759" s="23" t="str">
        <f>VLOOKUP(E759,各职业基础配置!$B$9:$C$12,2,FALSE)</f>
        <v>111|112|113|4201|115</v>
      </c>
      <c r="K759" s="18" t="str">
        <f>VLOOKUP(E759,各职业基础配置!$B$15:$C$18,2,FALSE)</f>
        <v>32|33|34</v>
      </c>
      <c r="L759" s="18" t="str">
        <f>VLOOKUP(E759,各职业基础配置!B:C,2,FALSE)</f>
        <v>[{32,1,1},{33,1,1},{34,1,1},{35,1,1},{7,1,1},{8,1,1},{9,1,1}]</v>
      </c>
      <c r="M759" s="18">
        <v>0</v>
      </c>
      <c r="N759" s="18">
        <f t="shared" si="125"/>
        <v>7</v>
      </c>
      <c r="O759" s="18">
        <f>SUMPRODUCT(P759:AI759,Sheet2!$B$3:$U$3)</f>
        <v>59017</v>
      </c>
      <c r="P759" s="18">
        <f>CEILING(INDEX([1]系统模型!$VD:$VD,MATCH(C759,[1]系统模型!$A:$A,0))*POWER(C759/220,3.8)-50+(1000-A759),1)</f>
        <v>858</v>
      </c>
      <c r="Q759" s="18">
        <f>CEILING(INDEX([1]系统模型!$VE:$VE,MATCH(C759,[1]系统模型!$A:$A,0))*POWER(C759/220,4),1)</f>
        <v>72</v>
      </c>
      <c r="R759" s="18">
        <f>INT(INDEX([1]系统模型!$VF:$VF,MATCH(C759,[1]系统模型!$A:$A,0))*MAX(POWER(C759/180,4),0.5))</f>
        <v>7917</v>
      </c>
      <c r="S759" s="5">
        <v>1000</v>
      </c>
      <c r="T759" s="25">
        <v>0</v>
      </c>
      <c r="U759" s="25">
        <v>0</v>
      </c>
      <c r="V759" s="25">
        <v>0</v>
      </c>
      <c r="W759" s="25">
        <v>0</v>
      </c>
      <c r="X759" s="25">
        <f t="shared" si="126"/>
        <v>395</v>
      </c>
      <c r="Y759" s="12">
        <v>0</v>
      </c>
      <c r="Z759" s="25">
        <v>100</v>
      </c>
      <c r="AA759" s="25">
        <v>150</v>
      </c>
      <c r="AB759" s="25">
        <v>0</v>
      </c>
      <c r="AC759" s="25">
        <v>0</v>
      </c>
      <c r="AD759" s="25">
        <v>0</v>
      </c>
      <c r="AE759" s="25">
        <f t="shared" si="127"/>
        <v>274</v>
      </c>
      <c r="AF759" s="25">
        <f t="shared" si="128"/>
        <v>274</v>
      </c>
      <c r="AG759" s="25">
        <v>0</v>
      </c>
      <c r="AH759" s="25">
        <f t="shared" si="129"/>
        <v>1525</v>
      </c>
      <c r="AI759" s="25">
        <f t="shared" si="130"/>
        <v>11</v>
      </c>
      <c r="AJ759" s="25">
        <v>1</v>
      </c>
      <c r="AK759" s="25">
        <v>1000</v>
      </c>
      <c r="AL759" s="25">
        <v>100</v>
      </c>
      <c r="AM759" s="26">
        <v>10</v>
      </c>
      <c r="AN759" s="26">
        <v>10</v>
      </c>
      <c r="AO759" s="22" t="s">
        <v>2211</v>
      </c>
      <c r="AP759" s="26">
        <v>0</v>
      </c>
      <c r="AQ759" s="26">
        <f t="shared" si="131"/>
        <v>230</v>
      </c>
      <c r="AR759" s="18" t="str">
        <f ca="1">CONCATENATE(OFFSET(Sheet1!$A$2,RANDBETWEEN(2,500),0,1,1),OFFSET(Sheet1!$A$2,RANDBETWEEN(2,500),RANDBETWEEN(1,5),1,1))</f>
        <v>安阿尔娃</v>
      </c>
      <c r="AS759">
        <f>SUMPRODUCT(P759:AI759,Sheet2!$B$3:$U$3)</f>
        <v>59017</v>
      </c>
    </row>
    <row r="760" spans="1:45" x14ac:dyDescent="0.15">
      <c r="A760" s="23">
        <v>759</v>
      </c>
      <c r="B760" s="18" t="s">
        <v>1122</v>
      </c>
      <c r="C760" s="18">
        <f t="shared" si="121"/>
        <v>137</v>
      </c>
      <c r="D760" s="19">
        <f t="shared" si="122"/>
        <v>3</v>
      </c>
      <c r="E760" s="19">
        <f>VLOOKUP(MOD(A760,4),各职业基础配置!C$32:D$35,2,FALSE)</f>
        <v>9</v>
      </c>
      <c r="F760" s="19">
        <f>IF(A760&lt;900,INDEX(各职业基础配置!C$23:C$28,MOD(ROW(A760),4)+1),0)</f>
        <v>8</v>
      </c>
      <c r="G760" s="19">
        <f t="shared" si="123"/>
        <v>6</v>
      </c>
      <c r="H760" s="27">
        <f t="shared" si="124"/>
        <v>1</v>
      </c>
      <c r="I760" s="6" t="s">
        <v>164</v>
      </c>
      <c r="J760" s="23" t="str">
        <f>VLOOKUP(E760,各职业基础配置!$B$9:$C$12,2,FALSE)</f>
        <v>116|117|118|4201|120</v>
      </c>
      <c r="K760" s="18" t="str">
        <f>VLOOKUP(E760,各职业基础配置!$B$15:$C$18,2,FALSE)</f>
        <v>28|29|30|31</v>
      </c>
      <c r="L760" s="18" t="str">
        <f>VLOOKUP(E760,各职业基础配置!B:C,2,FALSE)</f>
        <v>[{28,1,1},{29,1,1},{30,1,1},{31,1,1},{10,1,1},{11,1,1},{12,1,1}]</v>
      </c>
      <c r="M760" s="18">
        <v>0</v>
      </c>
      <c r="N760" s="18">
        <f t="shared" si="125"/>
        <v>3</v>
      </c>
      <c r="O760" s="18">
        <f>SUMPRODUCT(P760:AI760,Sheet2!$B$3:$U$3)</f>
        <v>58992</v>
      </c>
      <c r="P760" s="18">
        <f>CEILING(INDEX([1]系统模型!$VD:$VD,MATCH(C760,[1]系统模型!$A:$A,0))*POWER(C760/220,3.8)-50+(1000-A760),1)</f>
        <v>857</v>
      </c>
      <c r="Q760" s="18">
        <f>CEILING(INDEX([1]系统模型!$VE:$VE,MATCH(C760,[1]系统模型!$A:$A,0))*POWER(C760/220,4),1)</f>
        <v>72</v>
      </c>
      <c r="R760" s="18">
        <f>INT(INDEX([1]系统模型!$VF:$VF,MATCH(C760,[1]系统模型!$A:$A,0))*MAX(POWER(C760/180,4),0.5))</f>
        <v>7917</v>
      </c>
      <c r="S760" s="5">
        <v>1000</v>
      </c>
      <c r="T760" s="25">
        <v>0</v>
      </c>
      <c r="U760" s="25">
        <v>0</v>
      </c>
      <c r="V760" s="25">
        <v>0</v>
      </c>
      <c r="W760" s="25">
        <v>0</v>
      </c>
      <c r="X760" s="25">
        <f t="shared" si="126"/>
        <v>395</v>
      </c>
      <c r="Y760" s="12">
        <v>0</v>
      </c>
      <c r="Z760" s="25">
        <v>100</v>
      </c>
      <c r="AA760" s="25">
        <v>150</v>
      </c>
      <c r="AB760" s="25">
        <v>0</v>
      </c>
      <c r="AC760" s="25">
        <v>0</v>
      </c>
      <c r="AD760" s="25">
        <v>0</v>
      </c>
      <c r="AE760" s="25">
        <f t="shared" si="127"/>
        <v>274</v>
      </c>
      <c r="AF760" s="25">
        <f t="shared" si="128"/>
        <v>274</v>
      </c>
      <c r="AG760" s="25">
        <v>0</v>
      </c>
      <c r="AH760" s="25">
        <f t="shared" si="129"/>
        <v>1525</v>
      </c>
      <c r="AI760" s="25">
        <f t="shared" si="130"/>
        <v>11</v>
      </c>
      <c r="AJ760" s="25">
        <v>1</v>
      </c>
      <c r="AK760" s="25">
        <v>1000</v>
      </c>
      <c r="AL760" s="25">
        <v>100</v>
      </c>
      <c r="AM760" s="26">
        <v>10</v>
      </c>
      <c r="AN760" s="26">
        <v>10</v>
      </c>
      <c r="AO760" s="22" t="s">
        <v>2211</v>
      </c>
      <c r="AP760" s="26">
        <v>0</v>
      </c>
      <c r="AQ760" s="26">
        <f t="shared" si="131"/>
        <v>230</v>
      </c>
      <c r="AR760" s="18" t="str">
        <f ca="1">CONCATENATE(OFFSET(Sheet1!$A$2,RANDBETWEEN(2,500),0,1,1),OFFSET(Sheet1!$A$2,RANDBETWEEN(2,500),RANDBETWEEN(1,5),1,1))</f>
        <v>克莱门特</v>
      </c>
      <c r="AS760">
        <f>SUMPRODUCT(P760:AI760,Sheet2!$B$3:$U$3)</f>
        <v>58992</v>
      </c>
    </row>
    <row r="761" spans="1:45" x14ac:dyDescent="0.15">
      <c r="A761" s="18">
        <v>760</v>
      </c>
      <c r="B761" s="18" t="s">
        <v>1186</v>
      </c>
      <c r="C761" s="18">
        <f t="shared" si="121"/>
        <v>137</v>
      </c>
      <c r="D761" s="19">
        <f t="shared" si="122"/>
        <v>2</v>
      </c>
      <c r="E761" s="19">
        <f>VLOOKUP(MOD(A761,4),各职业基础配置!C$32:D$35,2,FALSE)</f>
        <v>1</v>
      </c>
      <c r="F761" s="19">
        <f>IF(A761&lt;900,INDEX(各职业基础配置!C$23:C$28,MOD(ROW(A761),4)+1),0)</f>
        <v>13</v>
      </c>
      <c r="G761" s="19">
        <f t="shared" si="123"/>
        <v>6</v>
      </c>
      <c r="H761" s="27">
        <f t="shared" si="124"/>
        <v>1</v>
      </c>
      <c r="I761" s="6" t="s">
        <v>164</v>
      </c>
      <c r="J761" s="23" t="str">
        <f>VLOOKUP(E761,各职业基础配置!$B$9:$C$12,2,FALSE)</f>
        <v>101|102|103|4201|105</v>
      </c>
      <c r="K761" s="18" t="str">
        <f>VLOOKUP(E761,各职业基础配置!$B$15:$C$18,2,FALSE)</f>
        <v>24|25|26|27</v>
      </c>
      <c r="L761" s="18" t="str">
        <f>VLOOKUP(E761,各职业基础配置!B:C,2,FALSE)</f>
        <v>[{24,1,1},{25,1,1},{26,1,1},{27,1,1},{1,1,1},{2,1,1},{3,1,1}]</v>
      </c>
      <c r="M761" s="18">
        <v>0</v>
      </c>
      <c r="N761" s="18">
        <f t="shared" si="125"/>
        <v>3</v>
      </c>
      <c r="O761" s="18">
        <f>SUMPRODUCT(P761:AI761,Sheet2!$B$3:$U$3)</f>
        <v>58967</v>
      </c>
      <c r="P761" s="18">
        <f>CEILING(INDEX([1]系统模型!$VD:$VD,MATCH(C761,[1]系统模型!$A:$A,0))*POWER(C761/220,3.8)-50+(1000-A761),1)</f>
        <v>856</v>
      </c>
      <c r="Q761" s="18">
        <f>CEILING(INDEX([1]系统模型!$VE:$VE,MATCH(C761,[1]系统模型!$A:$A,0))*POWER(C761/220,4),1)</f>
        <v>72</v>
      </c>
      <c r="R761" s="18">
        <f>INT(INDEX([1]系统模型!$VF:$VF,MATCH(C761,[1]系统模型!$A:$A,0))*MAX(POWER(C761/180,4),0.5))</f>
        <v>7917</v>
      </c>
      <c r="S761" s="5">
        <v>1000</v>
      </c>
      <c r="T761" s="25">
        <v>0</v>
      </c>
      <c r="U761" s="25">
        <v>0</v>
      </c>
      <c r="V761" s="25">
        <v>0</v>
      </c>
      <c r="W761" s="25">
        <v>0</v>
      </c>
      <c r="X761" s="25">
        <f t="shared" si="126"/>
        <v>395</v>
      </c>
      <c r="Y761" s="12">
        <v>0</v>
      </c>
      <c r="Z761" s="25">
        <v>100</v>
      </c>
      <c r="AA761" s="25">
        <v>150</v>
      </c>
      <c r="AB761" s="25">
        <v>0</v>
      </c>
      <c r="AC761" s="25">
        <v>0</v>
      </c>
      <c r="AD761" s="25">
        <v>0</v>
      </c>
      <c r="AE761" s="25">
        <f t="shared" si="127"/>
        <v>274</v>
      </c>
      <c r="AF761" s="25">
        <f t="shared" si="128"/>
        <v>274</v>
      </c>
      <c r="AG761" s="25">
        <v>0</v>
      </c>
      <c r="AH761" s="25">
        <f t="shared" si="129"/>
        <v>1525</v>
      </c>
      <c r="AI761" s="25">
        <f t="shared" si="130"/>
        <v>11</v>
      </c>
      <c r="AJ761" s="25">
        <v>1</v>
      </c>
      <c r="AK761" s="25">
        <v>1000</v>
      </c>
      <c r="AL761" s="25">
        <v>100</v>
      </c>
      <c r="AM761" s="26">
        <v>10</v>
      </c>
      <c r="AN761" s="26">
        <v>10</v>
      </c>
      <c r="AO761" s="22" t="s">
        <v>2211</v>
      </c>
      <c r="AP761" s="26">
        <v>0</v>
      </c>
      <c r="AQ761" s="26">
        <f t="shared" si="131"/>
        <v>230</v>
      </c>
      <c r="AR761" s="18" t="str">
        <f ca="1">CONCATENATE(OFFSET(Sheet1!$A$2,RANDBETWEEN(2,500),0,1,1),OFFSET(Sheet1!$A$2,RANDBETWEEN(2,500),RANDBETWEEN(1,5),1,1))</f>
        <v>福开森</v>
      </c>
      <c r="AS761">
        <f>SUMPRODUCT(P761:AI761,Sheet2!$B$3:$U$3)</f>
        <v>58967</v>
      </c>
    </row>
    <row r="762" spans="1:45" x14ac:dyDescent="0.15">
      <c r="A762" s="18">
        <v>761</v>
      </c>
      <c r="B762" s="18" t="s">
        <v>2119</v>
      </c>
      <c r="C762" s="18">
        <f t="shared" si="121"/>
        <v>137</v>
      </c>
      <c r="D762" s="19">
        <f t="shared" si="122"/>
        <v>3</v>
      </c>
      <c r="E762" s="19">
        <f>VLOOKUP(MOD(A762,4),各职业基础配置!C$32:D$35,2,FALSE)</f>
        <v>3</v>
      </c>
      <c r="F762" s="19">
        <f>IF(A762&lt;900,INDEX(各职业基础配置!C$23:C$28,MOD(ROW(A762),4)+1),0)</f>
        <v>14</v>
      </c>
      <c r="G762" s="19">
        <f t="shared" si="123"/>
        <v>6</v>
      </c>
      <c r="H762" s="27">
        <f t="shared" si="124"/>
        <v>1</v>
      </c>
      <c r="I762" s="6" t="s">
        <v>164</v>
      </c>
      <c r="J762" s="23" t="str">
        <f>VLOOKUP(E762,各职业基础配置!$B$9:$C$12,2,FALSE)</f>
        <v>106|107|108|4201|110</v>
      </c>
      <c r="K762" s="18" t="str">
        <f>VLOOKUP(E762,各职业基础配置!$B$15:$C$18,2,FALSE)</f>
        <v>20|21|22|23</v>
      </c>
      <c r="L762" s="18" t="str">
        <f>VLOOKUP(E762,各职业基础配置!B:C,2,FALSE)</f>
        <v>[{20,1,1},{21,1,1},{22,1,1},{23,1,1},{4,1,1},{5,1,1},{6,1,1}]</v>
      </c>
      <c r="M762" s="18">
        <v>0</v>
      </c>
      <c r="N762" s="18">
        <f t="shared" si="125"/>
        <v>7</v>
      </c>
      <c r="O762" s="18">
        <f>SUMPRODUCT(P762:AI762,Sheet2!$B$3:$U$3)</f>
        <v>58942</v>
      </c>
      <c r="P762" s="18">
        <f>CEILING(INDEX([1]系统模型!$VD:$VD,MATCH(C762,[1]系统模型!$A:$A,0))*POWER(C762/220,3.8)-50+(1000-A762),1)</f>
        <v>855</v>
      </c>
      <c r="Q762" s="18">
        <f>CEILING(INDEX([1]系统模型!$VE:$VE,MATCH(C762,[1]系统模型!$A:$A,0))*POWER(C762/220,4),1)</f>
        <v>72</v>
      </c>
      <c r="R762" s="18">
        <f>INT(INDEX([1]系统模型!$VF:$VF,MATCH(C762,[1]系统模型!$A:$A,0))*MAX(POWER(C762/180,4),0.5))</f>
        <v>7917</v>
      </c>
      <c r="S762" s="5">
        <v>1000</v>
      </c>
      <c r="T762" s="25">
        <v>0</v>
      </c>
      <c r="U762" s="25">
        <v>0</v>
      </c>
      <c r="V762" s="25">
        <v>0</v>
      </c>
      <c r="W762" s="25">
        <v>0</v>
      </c>
      <c r="X762" s="25">
        <f t="shared" si="126"/>
        <v>395</v>
      </c>
      <c r="Y762" s="12">
        <v>0</v>
      </c>
      <c r="Z762" s="25">
        <v>100</v>
      </c>
      <c r="AA762" s="25">
        <v>150</v>
      </c>
      <c r="AB762" s="25">
        <v>0</v>
      </c>
      <c r="AC762" s="25">
        <v>0</v>
      </c>
      <c r="AD762" s="25">
        <v>0</v>
      </c>
      <c r="AE762" s="25">
        <f t="shared" si="127"/>
        <v>274</v>
      </c>
      <c r="AF762" s="25">
        <f t="shared" si="128"/>
        <v>274</v>
      </c>
      <c r="AG762" s="25">
        <v>0</v>
      </c>
      <c r="AH762" s="25">
        <f t="shared" si="129"/>
        <v>1525</v>
      </c>
      <c r="AI762" s="25">
        <f t="shared" si="130"/>
        <v>11</v>
      </c>
      <c r="AJ762" s="25">
        <v>1</v>
      </c>
      <c r="AK762" s="25">
        <v>1000</v>
      </c>
      <c r="AL762" s="25">
        <v>100</v>
      </c>
      <c r="AM762" s="26">
        <v>10</v>
      </c>
      <c r="AN762" s="26">
        <v>10</v>
      </c>
      <c r="AO762" s="22" t="s">
        <v>2211</v>
      </c>
      <c r="AP762" s="26">
        <v>0</v>
      </c>
      <c r="AQ762" s="26">
        <f t="shared" si="131"/>
        <v>230</v>
      </c>
      <c r="AR762" s="18" t="str">
        <f ca="1">CONCATENATE(OFFSET(Sheet1!$A$2,RANDBETWEEN(2,500),0,1,1),OFFSET(Sheet1!$A$2,RANDBETWEEN(2,500),RANDBETWEEN(1,5),1,1))</f>
        <v>豪斯曼天涯</v>
      </c>
      <c r="AS762">
        <f>SUMPRODUCT(P762:AI762,Sheet2!$B$3:$U$3)</f>
        <v>58942</v>
      </c>
    </row>
    <row r="763" spans="1:45" x14ac:dyDescent="0.15">
      <c r="A763" s="23">
        <v>762</v>
      </c>
      <c r="B763" s="18" t="s">
        <v>1094</v>
      </c>
      <c r="C763" s="18">
        <f t="shared" si="121"/>
        <v>137</v>
      </c>
      <c r="D763" s="19">
        <f t="shared" si="122"/>
        <v>2</v>
      </c>
      <c r="E763" s="19">
        <f>VLOOKUP(MOD(A763,4),各职业基础配置!C$32:D$35,2,FALSE)</f>
        <v>6</v>
      </c>
      <c r="F763" s="19">
        <f>IF(A763&lt;900,INDEX(各职业基础配置!C$23:C$28,MOD(ROW(A763),4)+1),0)</f>
        <v>16</v>
      </c>
      <c r="G763" s="19">
        <f t="shared" si="123"/>
        <v>6</v>
      </c>
      <c r="H763" s="27">
        <f t="shared" si="124"/>
        <v>1</v>
      </c>
      <c r="I763" s="6" t="s">
        <v>164</v>
      </c>
      <c r="J763" s="23" t="str">
        <f>VLOOKUP(E763,各职业基础配置!$B$9:$C$12,2,FALSE)</f>
        <v>111|112|113|4201|115</v>
      </c>
      <c r="K763" s="18" t="str">
        <f>VLOOKUP(E763,各职业基础配置!$B$15:$C$18,2,FALSE)</f>
        <v>32|33|34</v>
      </c>
      <c r="L763" s="18" t="str">
        <f>VLOOKUP(E763,各职业基础配置!B:C,2,FALSE)</f>
        <v>[{32,1,1},{33,1,1},{34,1,1},{35,1,1},{7,1,1},{8,1,1},{9,1,1}]</v>
      </c>
      <c r="M763" s="18">
        <v>0</v>
      </c>
      <c r="N763" s="18">
        <f t="shared" si="125"/>
        <v>7</v>
      </c>
      <c r="O763" s="18">
        <f>SUMPRODUCT(P763:AI763,Sheet2!$B$3:$U$3)</f>
        <v>58917</v>
      </c>
      <c r="P763" s="18">
        <f>CEILING(INDEX([1]系统模型!$VD:$VD,MATCH(C763,[1]系统模型!$A:$A,0))*POWER(C763/220,3.8)-50+(1000-A763),1)</f>
        <v>854</v>
      </c>
      <c r="Q763" s="18">
        <f>CEILING(INDEX([1]系统模型!$VE:$VE,MATCH(C763,[1]系统模型!$A:$A,0))*POWER(C763/220,4),1)</f>
        <v>72</v>
      </c>
      <c r="R763" s="18">
        <f>INT(INDEX([1]系统模型!$VF:$VF,MATCH(C763,[1]系统模型!$A:$A,0))*MAX(POWER(C763/180,4),0.5))</f>
        <v>7917</v>
      </c>
      <c r="S763" s="5">
        <v>1000</v>
      </c>
      <c r="T763" s="25">
        <v>0</v>
      </c>
      <c r="U763" s="25">
        <v>0</v>
      </c>
      <c r="V763" s="25">
        <v>0</v>
      </c>
      <c r="W763" s="25">
        <v>0</v>
      </c>
      <c r="X763" s="25">
        <f t="shared" si="126"/>
        <v>395</v>
      </c>
      <c r="Y763" s="12">
        <v>0</v>
      </c>
      <c r="Z763" s="25">
        <v>100</v>
      </c>
      <c r="AA763" s="25">
        <v>150</v>
      </c>
      <c r="AB763" s="25">
        <v>0</v>
      </c>
      <c r="AC763" s="25">
        <v>0</v>
      </c>
      <c r="AD763" s="25">
        <v>0</v>
      </c>
      <c r="AE763" s="25">
        <f t="shared" si="127"/>
        <v>274</v>
      </c>
      <c r="AF763" s="25">
        <f t="shared" si="128"/>
        <v>274</v>
      </c>
      <c r="AG763" s="25">
        <v>0</v>
      </c>
      <c r="AH763" s="25">
        <f t="shared" si="129"/>
        <v>1525</v>
      </c>
      <c r="AI763" s="25">
        <f t="shared" si="130"/>
        <v>11</v>
      </c>
      <c r="AJ763" s="25">
        <v>1</v>
      </c>
      <c r="AK763" s="25">
        <v>1000</v>
      </c>
      <c r="AL763" s="25">
        <v>100</v>
      </c>
      <c r="AM763" s="26">
        <v>10</v>
      </c>
      <c r="AN763" s="26">
        <v>10</v>
      </c>
      <c r="AO763" s="22" t="s">
        <v>2211</v>
      </c>
      <c r="AP763" s="26">
        <v>0</v>
      </c>
      <c r="AQ763" s="26">
        <f t="shared" si="131"/>
        <v>230</v>
      </c>
      <c r="AR763" s="18" t="str">
        <f ca="1">CONCATENATE(OFFSET(Sheet1!$A$2,RANDBETWEEN(2,500),0,1,1),OFFSET(Sheet1!$A$2,RANDBETWEEN(2,500),RANDBETWEEN(1,5),1,1))</f>
        <v>多德</v>
      </c>
      <c r="AS763">
        <f>SUMPRODUCT(P763:AI763,Sheet2!$B$3:$U$3)</f>
        <v>58917</v>
      </c>
    </row>
    <row r="764" spans="1:45" x14ac:dyDescent="0.15">
      <c r="A764" s="18">
        <v>763</v>
      </c>
      <c r="B764" s="18" t="s">
        <v>1122</v>
      </c>
      <c r="C764" s="18">
        <f t="shared" si="121"/>
        <v>137</v>
      </c>
      <c r="D764" s="19">
        <f t="shared" si="122"/>
        <v>3</v>
      </c>
      <c r="E764" s="19">
        <f>VLOOKUP(MOD(A764,4),各职业基础配置!C$32:D$35,2,FALSE)</f>
        <v>9</v>
      </c>
      <c r="F764" s="19">
        <f>IF(A764&lt;900,INDEX(各职业基础配置!C$23:C$28,MOD(ROW(A764),4)+1),0)</f>
        <v>8</v>
      </c>
      <c r="G764" s="19">
        <f t="shared" si="123"/>
        <v>6</v>
      </c>
      <c r="H764" s="27">
        <f t="shared" si="124"/>
        <v>1</v>
      </c>
      <c r="I764" s="6" t="s">
        <v>164</v>
      </c>
      <c r="J764" s="23" t="str">
        <f>VLOOKUP(E764,各职业基础配置!$B$9:$C$12,2,FALSE)</f>
        <v>116|117|118|4201|120</v>
      </c>
      <c r="K764" s="18" t="str">
        <f>VLOOKUP(E764,各职业基础配置!$B$15:$C$18,2,FALSE)</f>
        <v>28|29|30|31</v>
      </c>
      <c r="L764" s="18" t="str">
        <f>VLOOKUP(E764,各职业基础配置!B:C,2,FALSE)</f>
        <v>[{28,1,1},{29,1,1},{30,1,1},{31,1,1},{10,1,1},{11,1,1},{12,1,1}]</v>
      </c>
      <c r="M764" s="18">
        <v>0</v>
      </c>
      <c r="N764" s="18">
        <f t="shared" si="125"/>
        <v>3</v>
      </c>
      <c r="O764" s="18">
        <f>SUMPRODUCT(P764:AI764,Sheet2!$B$3:$U$3)</f>
        <v>58892</v>
      </c>
      <c r="P764" s="18">
        <f>CEILING(INDEX([1]系统模型!$VD:$VD,MATCH(C764,[1]系统模型!$A:$A,0))*POWER(C764/220,3.8)-50+(1000-A764),1)</f>
        <v>853</v>
      </c>
      <c r="Q764" s="18">
        <f>CEILING(INDEX([1]系统模型!$VE:$VE,MATCH(C764,[1]系统模型!$A:$A,0))*POWER(C764/220,4),1)</f>
        <v>72</v>
      </c>
      <c r="R764" s="18">
        <f>INT(INDEX([1]系统模型!$VF:$VF,MATCH(C764,[1]系统模型!$A:$A,0))*MAX(POWER(C764/180,4),0.5))</f>
        <v>7917</v>
      </c>
      <c r="S764" s="5">
        <v>1000</v>
      </c>
      <c r="T764" s="25">
        <v>0</v>
      </c>
      <c r="U764" s="25">
        <v>0</v>
      </c>
      <c r="V764" s="25">
        <v>0</v>
      </c>
      <c r="W764" s="25">
        <v>0</v>
      </c>
      <c r="X764" s="25">
        <f t="shared" si="126"/>
        <v>395</v>
      </c>
      <c r="Y764" s="12">
        <v>0</v>
      </c>
      <c r="Z764" s="25">
        <v>100</v>
      </c>
      <c r="AA764" s="25">
        <v>150</v>
      </c>
      <c r="AB764" s="25">
        <v>0</v>
      </c>
      <c r="AC764" s="25">
        <v>0</v>
      </c>
      <c r="AD764" s="25">
        <v>0</v>
      </c>
      <c r="AE764" s="25">
        <f t="shared" si="127"/>
        <v>274</v>
      </c>
      <c r="AF764" s="25">
        <f t="shared" si="128"/>
        <v>274</v>
      </c>
      <c r="AG764" s="25">
        <v>0</v>
      </c>
      <c r="AH764" s="25">
        <f t="shared" si="129"/>
        <v>1525</v>
      </c>
      <c r="AI764" s="25">
        <f t="shared" si="130"/>
        <v>11</v>
      </c>
      <c r="AJ764" s="25">
        <v>1</v>
      </c>
      <c r="AK764" s="25">
        <v>1000</v>
      </c>
      <c r="AL764" s="25">
        <v>100</v>
      </c>
      <c r="AM764" s="26">
        <v>10</v>
      </c>
      <c r="AN764" s="26">
        <v>10</v>
      </c>
      <c r="AO764" s="22" t="s">
        <v>2211</v>
      </c>
      <c r="AP764" s="26">
        <v>0</v>
      </c>
      <c r="AQ764" s="26">
        <f t="shared" si="131"/>
        <v>230</v>
      </c>
      <c r="AR764" s="18" t="str">
        <f ca="1">CONCATENATE(OFFSET(Sheet1!$A$2,RANDBETWEEN(2,500),0,1,1),OFFSET(Sheet1!$A$2,RANDBETWEEN(2,500),RANDBETWEEN(1,5),1,1))</f>
        <v>霍华德</v>
      </c>
      <c r="AS764">
        <f>SUMPRODUCT(P764:AI764,Sheet2!$B$3:$U$3)</f>
        <v>58892</v>
      </c>
    </row>
    <row r="765" spans="1:45" x14ac:dyDescent="0.15">
      <c r="A765" s="18">
        <v>764</v>
      </c>
      <c r="B765" s="18" t="s">
        <v>1048</v>
      </c>
      <c r="C765" s="18">
        <f t="shared" si="121"/>
        <v>136</v>
      </c>
      <c r="D765" s="19">
        <f t="shared" si="122"/>
        <v>2</v>
      </c>
      <c r="E765" s="19">
        <f>VLOOKUP(MOD(A765,4),各职业基础配置!C$32:D$35,2,FALSE)</f>
        <v>1</v>
      </c>
      <c r="F765" s="19">
        <f>IF(A765&lt;900,INDEX(各职业基础配置!C$23:C$28,MOD(ROW(A765),4)+1),0)</f>
        <v>13</v>
      </c>
      <c r="G765" s="19">
        <f t="shared" si="123"/>
        <v>6</v>
      </c>
      <c r="H765" s="27">
        <f t="shared" si="124"/>
        <v>1</v>
      </c>
      <c r="I765" s="6" t="s">
        <v>164</v>
      </c>
      <c r="J765" s="23" t="str">
        <f>VLOOKUP(E765,各职业基础配置!$B$9:$C$12,2,FALSE)</f>
        <v>101|102|103|4201|105</v>
      </c>
      <c r="K765" s="18" t="str">
        <f>VLOOKUP(E765,各职业基础配置!$B$15:$C$18,2,FALSE)</f>
        <v>24|25|26|27</v>
      </c>
      <c r="L765" s="18" t="str">
        <f>VLOOKUP(E765,各职业基础配置!B:C,2,FALSE)</f>
        <v>[{24,1,1},{25,1,1},{26,1,1},{27,1,1},{1,1,1},{2,1,1},{3,1,1}]</v>
      </c>
      <c r="M765" s="18">
        <v>0</v>
      </c>
      <c r="N765" s="18">
        <f t="shared" si="125"/>
        <v>3</v>
      </c>
      <c r="O765" s="18">
        <f>SUMPRODUCT(P765:AI765,Sheet2!$B$3:$U$3)</f>
        <v>57724</v>
      </c>
      <c r="P765" s="18">
        <f>CEILING(INDEX([1]系统模型!$VD:$VD,MATCH(C765,[1]系统模型!$A:$A,0))*POWER(C765/220,3.8)-50+(1000-A765),1)</f>
        <v>830</v>
      </c>
      <c r="Q765" s="18">
        <f>CEILING(INDEX([1]系统模型!$VE:$VE,MATCH(C765,[1]系统模型!$A:$A,0))*POWER(C765/220,4),1)</f>
        <v>69</v>
      </c>
      <c r="R765" s="18">
        <f>INT(INDEX([1]系统模型!$VF:$VF,MATCH(C765,[1]系统模型!$A:$A,0))*MAX(POWER(C765/180,4),0.5))</f>
        <v>7874</v>
      </c>
      <c r="S765" s="5">
        <v>1000</v>
      </c>
      <c r="T765" s="25">
        <v>0</v>
      </c>
      <c r="U765" s="25">
        <v>0</v>
      </c>
      <c r="V765" s="25">
        <v>0</v>
      </c>
      <c r="W765" s="25">
        <v>0</v>
      </c>
      <c r="X765" s="25">
        <f t="shared" si="126"/>
        <v>393</v>
      </c>
      <c r="Y765" s="12">
        <v>0</v>
      </c>
      <c r="Z765" s="25">
        <v>100</v>
      </c>
      <c r="AA765" s="25">
        <v>150</v>
      </c>
      <c r="AB765" s="25">
        <v>0</v>
      </c>
      <c r="AC765" s="25">
        <v>0</v>
      </c>
      <c r="AD765" s="25">
        <v>0</v>
      </c>
      <c r="AE765" s="25">
        <f t="shared" si="127"/>
        <v>272</v>
      </c>
      <c r="AF765" s="25">
        <f t="shared" si="128"/>
        <v>272</v>
      </c>
      <c r="AG765" s="25">
        <v>0</v>
      </c>
      <c r="AH765" s="25">
        <f t="shared" si="129"/>
        <v>1450</v>
      </c>
      <c r="AI765" s="25">
        <f t="shared" si="130"/>
        <v>11</v>
      </c>
      <c r="AJ765" s="25">
        <v>1</v>
      </c>
      <c r="AK765" s="25">
        <v>1000</v>
      </c>
      <c r="AL765" s="25">
        <v>100</v>
      </c>
      <c r="AM765" s="26">
        <v>10</v>
      </c>
      <c r="AN765" s="26">
        <v>10</v>
      </c>
      <c r="AO765" s="22" t="s">
        <v>2211</v>
      </c>
      <c r="AP765" s="26">
        <v>0</v>
      </c>
      <c r="AQ765" s="26">
        <f t="shared" si="131"/>
        <v>230</v>
      </c>
      <c r="AR765" s="18" t="str">
        <f ca="1">CONCATENATE(OFFSET(Sheet1!$A$2,RANDBETWEEN(2,500),0,1,1),OFFSET(Sheet1!$A$2,RANDBETWEEN(2,500),RANDBETWEEN(1,5),1,1))</f>
        <v>道尔蒂</v>
      </c>
      <c r="AS765">
        <f>SUMPRODUCT(P765:AI765,Sheet2!$B$3:$U$3)</f>
        <v>57724</v>
      </c>
    </row>
    <row r="766" spans="1:45" x14ac:dyDescent="0.15">
      <c r="A766" s="23">
        <v>765</v>
      </c>
      <c r="B766" s="18" t="s">
        <v>1014</v>
      </c>
      <c r="C766" s="18">
        <f t="shared" si="121"/>
        <v>136</v>
      </c>
      <c r="D766" s="19">
        <f t="shared" si="122"/>
        <v>3</v>
      </c>
      <c r="E766" s="19">
        <f>VLOOKUP(MOD(A766,4),各职业基础配置!C$32:D$35,2,FALSE)</f>
        <v>3</v>
      </c>
      <c r="F766" s="19">
        <f>IF(A766&lt;900,INDEX(各职业基础配置!C$23:C$28,MOD(ROW(A766),4)+1),0)</f>
        <v>14</v>
      </c>
      <c r="G766" s="19">
        <f t="shared" si="123"/>
        <v>6</v>
      </c>
      <c r="H766" s="27">
        <f t="shared" si="124"/>
        <v>1</v>
      </c>
      <c r="I766" s="6" t="s">
        <v>164</v>
      </c>
      <c r="J766" s="23" t="str">
        <f>VLOOKUP(E766,各职业基础配置!$B$9:$C$12,2,FALSE)</f>
        <v>106|107|108|4201|110</v>
      </c>
      <c r="K766" s="18" t="str">
        <f>VLOOKUP(E766,各职业基础配置!$B$15:$C$18,2,FALSE)</f>
        <v>20|21|22|23</v>
      </c>
      <c r="L766" s="18" t="str">
        <f>VLOOKUP(E766,各职业基础配置!B:C,2,FALSE)</f>
        <v>[{20,1,1},{21,1,1},{22,1,1},{23,1,1},{4,1,1},{5,1,1},{6,1,1}]</v>
      </c>
      <c r="M766" s="18">
        <v>0</v>
      </c>
      <c r="N766" s="18">
        <f t="shared" si="125"/>
        <v>7</v>
      </c>
      <c r="O766" s="18">
        <f>SUMPRODUCT(P766:AI766,Sheet2!$B$3:$U$3)</f>
        <v>57699</v>
      </c>
      <c r="P766" s="18">
        <f>CEILING(INDEX([1]系统模型!$VD:$VD,MATCH(C766,[1]系统模型!$A:$A,0))*POWER(C766/220,3.8)-50+(1000-A766),1)</f>
        <v>829</v>
      </c>
      <c r="Q766" s="18">
        <f>CEILING(INDEX([1]系统模型!$VE:$VE,MATCH(C766,[1]系统模型!$A:$A,0))*POWER(C766/220,4),1)</f>
        <v>69</v>
      </c>
      <c r="R766" s="18">
        <f>INT(INDEX([1]系统模型!$VF:$VF,MATCH(C766,[1]系统模型!$A:$A,0))*MAX(POWER(C766/180,4),0.5))</f>
        <v>7874</v>
      </c>
      <c r="S766" s="5">
        <v>1000</v>
      </c>
      <c r="T766" s="25">
        <v>0</v>
      </c>
      <c r="U766" s="25">
        <v>0</v>
      </c>
      <c r="V766" s="25">
        <v>0</v>
      </c>
      <c r="W766" s="25">
        <v>0</v>
      </c>
      <c r="X766" s="25">
        <f t="shared" si="126"/>
        <v>393</v>
      </c>
      <c r="Y766" s="12">
        <v>0</v>
      </c>
      <c r="Z766" s="25">
        <v>100</v>
      </c>
      <c r="AA766" s="25">
        <v>150</v>
      </c>
      <c r="AB766" s="25">
        <v>0</v>
      </c>
      <c r="AC766" s="25">
        <v>0</v>
      </c>
      <c r="AD766" s="25">
        <v>0</v>
      </c>
      <c r="AE766" s="25">
        <f t="shared" si="127"/>
        <v>272</v>
      </c>
      <c r="AF766" s="25">
        <f t="shared" si="128"/>
        <v>272</v>
      </c>
      <c r="AG766" s="25">
        <v>0</v>
      </c>
      <c r="AH766" s="25">
        <f t="shared" si="129"/>
        <v>1450</v>
      </c>
      <c r="AI766" s="25">
        <f t="shared" si="130"/>
        <v>11</v>
      </c>
      <c r="AJ766" s="25">
        <v>1</v>
      </c>
      <c r="AK766" s="25">
        <v>1000</v>
      </c>
      <c r="AL766" s="25">
        <v>100</v>
      </c>
      <c r="AM766" s="26">
        <v>10</v>
      </c>
      <c r="AN766" s="26">
        <v>10</v>
      </c>
      <c r="AO766" s="22" t="s">
        <v>2211</v>
      </c>
      <c r="AP766" s="26">
        <v>0</v>
      </c>
      <c r="AQ766" s="26">
        <f t="shared" si="131"/>
        <v>220</v>
      </c>
      <c r="AR766" s="18" t="str">
        <f ca="1">CONCATENATE(OFFSET(Sheet1!$A$2,RANDBETWEEN(2,500),0,1,1),OFFSET(Sheet1!$A$2,RANDBETWEEN(2,500),RANDBETWEEN(1,5),1,1))</f>
        <v>埃德蒙大和</v>
      </c>
      <c r="AS766">
        <f>SUMPRODUCT(P766:AI766,Sheet2!$B$3:$U$3)</f>
        <v>57699</v>
      </c>
    </row>
    <row r="767" spans="1:45" x14ac:dyDescent="0.15">
      <c r="A767" s="18">
        <v>766</v>
      </c>
      <c r="B767" s="18" t="s">
        <v>2120</v>
      </c>
      <c r="C767" s="18">
        <f t="shared" si="121"/>
        <v>136</v>
      </c>
      <c r="D767" s="19">
        <f t="shared" si="122"/>
        <v>2</v>
      </c>
      <c r="E767" s="19">
        <f>VLOOKUP(MOD(A767,4),各职业基础配置!C$32:D$35,2,FALSE)</f>
        <v>6</v>
      </c>
      <c r="F767" s="19">
        <f>IF(A767&lt;900,INDEX(各职业基础配置!C$23:C$28,MOD(ROW(A767),4)+1),0)</f>
        <v>16</v>
      </c>
      <c r="G767" s="19">
        <f t="shared" si="123"/>
        <v>6</v>
      </c>
      <c r="H767" s="27">
        <f t="shared" si="124"/>
        <v>1</v>
      </c>
      <c r="I767" s="6" t="s">
        <v>164</v>
      </c>
      <c r="J767" s="23" t="str">
        <f>VLOOKUP(E767,各职业基础配置!$B$9:$C$12,2,FALSE)</f>
        <v>111|112|113|4201|115</v>
      </c>
      <c r="K767" s="18" t="str">
        <f>VLOOKUP(E767,各职业基础配置!$B$15:$C$18,2,FALSE)</f>
        <v>32|33|34</v>
      </c>
      <c r="L767" s="18" t="str">
        <f>VLOOKUP(E767,各职业基础配置!B:C,2,FALSE)</f>
        <v>[{32,1,1},{33,1,1},{34,1,1},{35,1,1},{7,1,1},{8,1,1},{9,1,1}]</v>
      </c>
      <c r="M767" s="18">
        <v>0</v>
      </c>
      <c r="N767" s="18">
        <f t="shared" si="125"/>
        <v>7</v>
      </c>
      <c r="O767" s="18">
        <f>SUMPRODUCT(P767:AI767,Sheet2!$B$3:$U$3)</f>
        <v>57674</v>
      </c>
      <c r="P767" s="18">
        <f>CEILING(INDEX([1]系统模型!$VD:$VD,MATCH(C767,[1]系统模型!$A:$A,0))*POWER(C767/220,3.8)-50+(1000-A767),1)</f>
        <v>828</v>
      </c>
      <c r="Q767" s="18">
        <f>CEILING(INDEX([1]系统模型!$VE:$VE,MATCH(C767,[1]系统模型!$A:$A,0))*POWER(C767/220,4),1)</f>
        <v>69</v>
      </c>
      <c r="R767" s="18">
        <f>INT(INDEX([1]系统模型!$VF:$VF,MATCH(C767,[1]系统模型!$A:$A,0))*MAX(POWER(C767/180,4),0.5))</f>
        <v>7874</v>
      </c>
      <c r="S767" s="5">
        <v>1000</v>
      </c>
      <c r="T767" s="25">
        <v>0</v>
      </c>
      <c r="U767" s="25">
        <v>0</v>
      </c>
      <c r="V767" s="25">
        <v>0</v>
      </c>
      <c r="W767" s="25">
        <v>0</v>
      </c>
      <c r="X767" s="25">
        <f t="shared" si="126"/>
        <v>393</v>
      </c>
      <c r="Y767" s="12">
        <v>0</v>
      </c>
      <c r="Z767" s="25">
        <v>100</v>
      </c>
      <c r="AA767" s="25">
        <v>150</v>
      </c>
      <c r="AB767" s="25">
        <v>0</v>
      </c>
      <c r="AC767" s="25">
        <v>0</v>
      </c>
      <c r="AD767" s="25">
        <v>0</v>
      </c>
      <c r="AE767" s="25">
        <f t="shared" si="127"/>
        <v>272</v>
      </c>
      <c r="AF767" s="25">
        <f t="shared" si="128"/>
        <v>272</v>
      </c>
      <c r="AG767" s="25">
        <v>0</v>
      </c>
      <c r="AH767" s="25">
        <f t="shared" si="129"/>
        <v>1450</v>
      </c>
      <c r="AI767" s="25">
        <f t="shared" si="130"/>
        <v>11</v>
      </c>
      <c r="AJ767" s="25">
        <v>1</v>
      </c>
      <c r="AK767" s="25">
        <v>1000</v>
      </c>
      <c r="AL767" s="25">
        <v>100</v>
      </c>
      <c r="AM767" s="26">
        <v>10</v>
      </c>
      <c r="AN767" s="26">
        <v>10</v>
      </c>
      <c r="AO767" s="22" t="s">
        <v>2211</v>
      </c>
      <c r="AP767" s="26">
        <v>0</v>
      </c>
      <c r="AQ767" s="26">
        <f t="shared" si="131"/>
        <v>220</v>
      </c>
      <c r="AR767" s="18" t="str">
        <f ca="1">CONCATENATE(OFFSET(Sheet1!$A$2,RANDBETWEEN(2,500),0,1,1),OFFSET(Sheet1!$A$2,RANDBETWEEN(2,500),RANDBETWEEN(1,5),1,1))</f>
        <v>康拉德</v>
      </c>
      <c r="AS767">
        <f>SUMPRODUCT(P767:AI767,Sheet2!$B$3:$U$3)</f>
        <v>57674</v>
      </c>
    </row>
    <row r="768" spans="1:45" x14ac:dyDescent="0.15">
      <c r="A768" s="18">
        <v>767</v>
      </c>
      <c r="B768" s="18" t="s">
        <v>2031</v>
      </c>
      <c r="C768" s="18">
        <f t="shared" si="121"/>
        <v>136</v>
      </c>
      <c r="D768" s="19">
        <f t="shared" si="122"/>
        <v>3</v>
      </c>
      <c r="E768" s="19">
        <f>VLOOKUP(MOD(A768,4),各职业基础配置!C$32:D$35,2,FALSE)</f>
        <v>9</v>
      </c>
      <c r="F768" s="19">
        <f>IF(A768&lt;900,INDEX(各职业基础配置!C$23:C$28,MOD(ROW(A768),4)+1),0)</f>
        <v>8</v>
      </c>
      <c r="G768" s="19">
        <f t="shared" si="123"/>
        <v>6</v>
      </c>
      <c r="H768" s="27">
        <f t="shared" si="124"/>
        <v>1</v>
      </c>
      <c r="I768" s="6" t="s">
        <v>164</v>
      </c>
      <c r="J768" s="23" t="str">
        <f>VLOOKUP(E768,各职业基础配置!$B$9:$C$12,2,FALSE)</f>
        <v>116|117|118|4201|120</v>
      </c>
      <c r="K768" s="18" t="str">
        <f>VLOOKUP(E768,各职业基础配置!$B$15:$C$18,2,FALSE)</f>
        <v>28|29|30|31</v>
      </c>
      <c r="L768" s="18" t="str">
        <f>VLOOKUP(E768,各职业基础配置!B:C,2,FALSE)</f>
        <v>[{28,1,1},{29,1,1},{30,1,1},{31,1,1},{10,1,1},{11,1,1},{12,1,1}]</v>
      </c>
      <c r="M768" s="18">
        <v>0</v>
      </c>
      <c r="N768" s="18">
        <f t="shared" si="125"/>
        <v>3</v>
      </c>
      <c r="O768" s="18">
        <f>SUMPRODUCT(P768:AI768,Sheet2!$B$3:$U$3)</f>
        <v>57649</v>
      </c>
      <c r="P768" s="18">
        <f>CEILING(INDEX([1]系统模型!$VD:$VD,MATCH(C768,[1]系统模型!$A:$A,0))*POWER(C768/220,3.8)-50+(1000-A768),1)</f>
        <v>827</v>
      </c>
      <c r="Q768" s="18">
        <f>CEILING(INDEX([1]系统模型!$VE:$VE,MATCH(C768,[1]系统模型!$A:$A,0))*POWER(C768/220,4),1)</f>
        <v>69</v>
      </c>
      <c r="R768" s="18">
        <f>INT(INDEX([1]系统模型!$VF:$VF,MATCH(C768,[1]系统模型!$A:$A,0))*MAX(POWER(C768/180,4),0.5))</f>
        <v>7874</v>
      </c>
      <c r="S768" s="5">
        <v>1000</v>
      </c>
      <c r="T768" s="25">
        <v>0</v>
      </c>
      <c r="U768" s="25">
        <v>0</v>
      </c>
      <c r="V768" s="25">
        <v>0</v>
      </c>
      <c r="W768" s="25">
        <v>0</v>
      </c>
      <c r="X768" s="25">
        <f t="shared" si="126"/>
        <v>393</v>
      </c>
      <c r="Y768" s="12">
        <v>0</v>
      </c>
      <c r="Z768" s="25">
        <v>100</v>
      </c>
      <c r="AA768" s="25">
        <v>150</v>
      </c>
      <c r="AB768" s="25">
        <v>0</v>
      </c>
      <c r="AC768" s="25">
        <v>0</v>
      </c>
      <c r="AD768" s="25">
        <v>0</v>
      </c>
      <c r="AE768" s="25">
        <f t="shared" si="127"/>
        <v>272</v>
      </c>
      <c r="AF768" s="25">
        <f t="shared" si="128"/>
        <v>272</v>
      </c>
      <c r="AG768" s="25">
        <v>0</v>
      </c>
      <c r="AH768" s="25">
        <f t="shared" si="129"/>
        <v>1450</v>
      </c>
      <c r="AI768" s="25">
        <f t="shared" si="130"/>
        <v>11</v>
      </c>
      <c r="AJ768" s="25">
        <v>1</v>
      </c>
      <c r="AK768" s="25">
        <v>1000</v>
      </c>
      <c r="AL768" s="25">
        <v>100</v>
      </c>
      <c r="AM768" s="26">
        <v>10</v>
      </c>
      <c r="AN768" s="26">
        <v>10</v>
      </c>
      <c r="AO768" s="22" t="s">
        <v>2211</v>
      </c>
      <c r="AP768" s="26">
        <v>0</v>
      </c>
      <c r="AQ768" s="26">
        <f t="shared" si="131"/>
        <v>220</v>
      </c>
      <c r="AR768" s="18" t="str">
        <f ca="1">CONCATENATE(OFFSET(Sheet1!$A$2,RANDBETWEEN(2,500),0,1,1),OFFSET(Sheet1!$A$2,RANDBETWEEN(2,500),RANDBETWEEN(1,5),1,1))</f>
        <v>凯雷</v>
      </c>
      <c r="AS768">
        <f>SUMPRODUCT(P768:AI768,Sheet2!$B$3:$U$3)</f>
        <v>57649</v>
      </c>
    </row>
    <row r="769" spans="1:45" x14ac:dyDescent="0.15">
      <c r="A769" s="23">
        <v>768</v>
      </c>
      <c r="B769" s="18" t="s">
        <v>1177</v>
      </c>
      <c r="C769" s="18">
        <f t="shared" si="121"/>
        <v>136</v>
      </c>
      <c r="D769" s="19">
        <f t="shared" si="122"/>
        <v>2</v>
      </c>
      <c r="E769" s="19">
        <f>VLOOKUP(MOD(A769,4),各职业基础配置!C$32:D$35,2,FALSE)</f>
        <v>1</v>
      </c>
      <c r="F769" s="19">
        <f>IF(A769&lt;900,INDEX(各职业基础配置!C$23:C$28,MOD(ROW(A769),4)+1),0)</f>
        <v>13</v>
      </c>
      <c r="G769" s="19">
        <f t="shared" si="123"/>
        <v>6</v>
      </c>
      <c r="H769" s="27">
        <f t="shared" si="124"/>
        <v>1</v>
      </c>
      <c r="I769" s="6" t="s">
        <v>164</v>
      </c>
      <c r="J769" s="23" t="str">
        <f>VLOOKUP(E769,各职业基础配置!$B$9:$C$12,2,FALSE)</f>
        <v>101|102|103|4201|105</v>
      </c>
      <c r="K769" s="18" t="str">
        <f>VLOOKUP(E769,各职业基础配置!$B$15:$C$18,2,FALSE)</f>
        <v>24|25|26|27</v>
      </c>
      <c r="L769" s="18" t="str">
        <f>VLOOKUP(E769,各职业基础配置!B:C,2,FALSE)</f>
        <v>[{24,1,1},{25,1,1},{26,1,1},{27,1,1},{1,1,1},{2,1,1},{3,1,1}]</v>
      </c>
      <c r="M769" s="18">
        <v>0</v>
      </c>
      <c r="N769" s="18">
        <f t="shared" si="125"/>
        <v>3</v>
      </c>
      <c r="O769" s="18">
        <f>SUMPRODUCT(P769:AI769,Sheet2!$B$3:$U$3)</f>
        <v>57624</v>
      </c>
      <c r="P769" s="18">
        <f>CEILING(INDEX([1]系统模型!$VD:$VD,MATCH(C769,[1]系统模型!$A:$A,0))*POWER(C769/220,3.8)-50+(1000-A769),1)</f>
        <v>826</v>
      </c>
      <c r="Q769" s="18">
        <f>CEILING(INDEX([1]系统模型!$VE:$VE,MATCH(C769,[1]系统模型!$A:$A,0))*POWER(C769/220,4),1)</f>
        <v>69</v>
      </c>
      <c r="R769" s="18">
        <f>INT(INDEX([1]系统模型!$VF:$VF,MATCH(C769,[1]系统模型!$A:$A,0))*MAX(POWER(C769/180,4),0.5))</f>
        <v>7874</v>
      </c>
      <c r="S769" s="5">
        <v>1000</v>
      </c>
      <c r="T769" s="25">
        <v>0</v>
      </c>
      <c r="U769" s="25">
        <v>0</v>
      </c>
      <c r="V769" s="25">
        <v>0</v>
      </c>
      <c r="W769" s="25">
        <v>0</v>
      </c>
      <c r="X769" s="25">
        <f t="shared" si="126"/>
        <v>393</v>
      </c>
      <c r="Y769" s="12">
        <v>0</v>
      </c>
      <c r="Z769" s="25">
        <v>100</v>
      </c>
      <c r="AA769" s="25">
        <v>150</v>
      </c>
      <c r="AB769" s="25">
        <v>0</v>
      </c>
      <c r="AC769" s="25">
        <v>0</v>
      </c>
      <c r="AD769" s="25">
        <v>0</v>
      </c>
      <c r="AE769" s="25">
        <f t="shared" si="127"/>
        <v>272</v>
      </c>
      <c r="AF769" s="25">
        <f t="shared" si="128"/>
        <v>272</v>
      </c>
      <c r="AG769" s="25">
        <v>0</v>
      </c>
      <c r="AH769" s="25">
        <f t="shared" si="129"/>
        <v>1450</v>
      </c>
      <c r="AI769" s="25">
        <f t="shared" si="130"/>
        <v>11</v>
      </c>
      <c r="AJ769" s="25">
        <v>1</v>
      </c>
      <c r="AK769" s="25">
        <v>1000</v>
      </c>
      <c r="AL769" s="25">
        <v>100</v>
      </c>
      <c r="AM769" s="26">
        <v>10</v>
      </c>
      <c r="AN769" s="26">
        <v>10</v>
      </c>
      <c r="AO769" s="22" t="s">
        <v>2211</v>
      </c>
      <c r="AP769" s="26">
        <v>0</v>
      </c>
      <c r="AQ769" s="26">
        <f t="shared" si="131"/>
        <v>220</v>
      </c>
      <c r="AR769" s="18" t="str">
        <f ca="1">CONCATENATE(OFFSET(Sheet1!$A$2,RANDBETWEEN(2,500),0,1,1),OFFSET(Sheet1!$A$2,RANDBETWEEN(2,500),RANDBETWEEN(1,5),1,1))</f>
        <v>尤菲米娅</v>
      </c>
      <c r="AS769">
        <f>SUMPRODUCT(P769:AI769,Sheet2!$B$3:$U$3)</f>
        <v>57624</v>
      </c>
    </row>
    <row r="770" spans="1:45" x14ac:dyDescent="0.15">
      <c r="A770" s="18">
        <v>769</v>
      </c>
      <c r="B770" s="18" t="s">
        <v>2121</v>
      </c>
      <c r="C770" s="18">
        <f t="shared" si="121"/>
        <v>136</v>
      </c>
      <c r="D770" s="19">
        <f t="shared" si="122"/>
        <v>3</v>
      </c>
      <c r="E770" s="19">
        <f>VLOOKUP(MOD(A770,4),各职业基础配置!C$32:D$35,2,FALSE)</f>
        <v>3</v>
      </c>
      <c r="F770" s="19">
        <f>IF(A770&lt;900,INDEX(各职业基础配置!C$23:C$28,MOD(ROW(A770),4)+1),0)</f>
        <v>14</v>
      </c>
      <c r="G770" s="19">
        <f t="shared" si="123"/>
        <v>6</v>
      </c>
      <c r="H770" s="27">
        <f t="shared" si="124"/>
        <v>1</v>
      </c>
      <c r="I770" s="6" t="s">
        <v>164</v>
      </c>
      <c r="J770" s="23" t="str">
        <f>VLOOKUP(E770,各职业基础配置!$B$9:$C$12,2,FALSE)</f>
        <v>106|107|108|4201|110</v>
      </c>
      <c r="K770" s="18" t="str">
        <f>VLOOKUP(E770,各职业基础配置!$B$15:$C$18,2,FALSE)</f>
        <v>20|21|22|23</v>
      </c>
      <c r="L770" s="18" t="str">
        <f>VLOOKUP(E770,各职业基础配置!B:C,2,FALSE)</f>
        <v>[{20,1,1},{21,1,1},{22,1,1},{23,1,1},{4,1,1},{5,1,1},{6,1,1}]</v>
      </c>
      <c r="M770" s="18">
        <v>0</v>
      </c>
      <c r="N770" s="18">
        <f t="shared" si="125"/>
        <v>7</v>
      </c>
      <c r="O770" s="18">
        <f>SUMPRODUCT(P770:AI770,Sheet2!$B$3:$U$3)</f>
        <v>57599</v>
      </c>
      <c r="P770" s="18">
        <f>CEILING(INDEX([1]系统模型!$VD:$VD,MATCH(C770,[1]系统模型!$A:$A,0))*POWER(C770/220,3.8)-50+(1000-A770),1)</f>
        <v>825</v>
      </c>
      <c r="Q770" s="18">
        <f>CEILING(INDEX([1]系统模型!$VE:$VE,MATCH(C770,[1]系统模型!$A:$A,0))*POWER(C770/220,4),1)</f>
        <v>69</v>
      </c>
      <c r="R770" s="18">
        <f>INT(INDEX([1]系统模型!$VF:$VF,MATCH(C770,[1]系统模型!$A:$A,0))*MAX(POWER(C770/180,4),0.5))</f>
        <v>7874</v>
      </c>
      <c r="S770" s="5">
        <v>1000</v>
      </c>
      <c r="T770" s="25">
        <v>0</v>
      </c>
      <c r="U770" s="25">
        <v>0</v>
      </c>
      <c r="V770" s="25">
        <v>0</v>
      </c>
      <c r="W770" s="25">
        <v>0</v>
      </c>
      <c r="X770" s="25">
        <f t="shared" si="126"/>
        <v>393</v>
      </c>
      <c r="Y770" s="12">
        <v>0</v>
      </c>
      <c r="Z770" s="25">
        <v>100</v>
      </c>
      <c r="AA770" s="25">
        <v>150</v>
      </c>
      <c r="AB770" s="25">
        <v>0</v>
      </c>
      <c r="AC770" s="25">
        <v>0</v>
      </c>
      <c r="AD770" s="25">
        <v>0</v>
      </c>
      <c r="AE770" s="25">
        <f t="shared" si="127"/>
        <v>272</v>
      </c>
      <c r="AF770" s="25">
        <f t="shared" si="128"/>
        <v>272</v>
      </c>
      <c r="AG770" s="25">
        <v>0</v>
      </c>
      <c r="AH770" s="25">
        <f t="shared" si="129"/>
        <v>1450</v>
      </c>
      <c r="AI770" s="25">
        <f t="shared" si="130"/>
        <v>11</v>
      </c>
      <c r="AJ770" s="25">
        <v>1</v>
      </c>
      <c r="AK770" s="25">
        <v>1000</v>
      </c>
      <c r="AL770" s="25">
        <v>100</v>
      </c>
      <c r="AM770" s="26">
        <v>10</v>
      </c>
      <c r="AN770" s="26">
        <v>10</v>
      </c>
      <c r="AO770" s="22" t="s">
        <v>2211</v>
      </c>
      <c r="AP770" s="26">
        <v>0</v>
      </c>
      <c r="AQ770" s="26">
        <f t="shared" si="131"/>
        <v>220</v>
      </c>
      <c r="AR770" s="18" t="str">
        <f ca="1">CONCATENATE(OFFSET(Sheet1!$A$2,RANDBETWEEN(2,500),0,1,1),OFFSET(Sheet1!$A$2,RANDBETWEEN(2,500),RANDBETWEEN(1,5),1,1))</f>
        <v>安东尼娅洛兰</v>
      </c>
      <c r="AS770">
        <f>SUMPRODUCT(P770:AI770,Sheet2!$B$3:$U$3)</f>
        <v>57599</v>
      </c>
    </row>
    <row r="771" spans="1:45" x14ac:dyDescent="0.15">
      <c r="A771" s="18">
        <v>770</v>
      </c>
      <c r="B771" s="18" t="s">
        <v>585</v>
      </c>
      <c r="C771" s="18">
        <f t="shared" ref="C771:C834" si="132">INT(250-(150-2)/1000*A771)</f>
        <v>136</v>
      </c>
      <c r="D771" s="19">
        <f t="shared" ref="D771:D834" si="133">MOD(A771,2)+2</f>
        <v>2</v>
      </c>
      <c r="E771" s="19">
        <f>VLOOKUP(MOD(A771,4),各职业基础配置!C$32:D$35,2,FALSE)</f>
        <v>6</v>
      </c>
      <c r="F771" s="19">
        <f>IF(A771&lt;900,INDEX(各职业基础配置!C$23:C$28,MOD(ROW(A771),4)+1),0)</f>
        <v>16</v>
      </c>
      <c r="G771" s="19">
        <f t="shared" ref="G771:G834" si="134">INT(C771*POWER(C771/250,5))</f>
        <v>6</v>
      </c>
      <c r="H771" s="27">
        <f t="shared" ref="H771:H834" si="135">CEILING(C771/75,1)-1</f>
        <v>1</v>
      </c>
      <c r="I771" s="6" t="s">
        <v>164</v>
      </c>
      <c r="J771" s="23" t="str">
        <f>VLOOKUP(E771,各职业基础配置!$B$9:$C$12,2,FALSE)</f>
        <v>111|112|113|4201|115</v>
      </c>
      <c r="K771" s="18" t="str">
        <f>VLOOKUP(E771,各职业基础配置!$B$15:$C$18,2,FALSE)</f>
        <v>32|33|34</v>
      </c>
      <c r="L771" s="18" t="str">
        <f>VLOOKUP(E771,各职业基础配置!B:C,2,FALSE)</f>
        <v>[{32,1,1},{33,1,1},{34,1,1},{35,1,1},{7,1,1},{8,1,1},{9,1,1}]</v>
      </c>
      <c r="M771" s="18">
        <v>0</v>
      </c>
      <c r="N771" s="18">
        <f t="shared" ref="N771:N834" si="136">IF(OR(E771=3,E771=6),7,3)</f>
        <v>7</v>
      </c>
      <c r="O771" s="18">
        <f>SUMPRODUCT(P771:AI771,Sheet2!$B$3:$U$3)</f>
        <v>57549</v>
      </c>
      <c r="P771" s="18">
        <f>CEILING(INDEX([1]系统模型!$VD:$VD,MATCH(C771,[1]系统模型!$A:$A,0))*POWER(C771/220,3.8)-50+(1000-A771),1)</f>
        <v>824</v>
      </c>
      <c r="Q771" s="18">
        <f>CEILING(INDEX([1]系统模型!$VE:$VE,MATCH(C771,[1]系统模型!$A:$A,0))*POWER(C771/220,4),1)</f>
        <v>69</v>
      </c>
      <c r="R771" s="18">
        <f>INT(INDEX([1]系统模型!$VF:$VF,MATCH(C771,[1]系统模型!$A:$A,0))*MAX(POWER(C771/180,4),0.5))</f>
        <v>7874</v>
      </c>
      <c r="S771" s="5">
        <v>1000</v>
      </c>
      <c r="T771" s="25">
        <v>0</v>
      </c>
      <c r="U771" s="25">
        <v>0</v>
      </c>
      <c r="V771" s="25">
        <v>0</v>
      </c>
      <c r="W771" s="25">
        <v>0</v>
      </c>
      <c r="X771" s="25">
        <f t="shared" ref="X771:X834" si="137">INT(R771/20)</f>
        <v>393</v>
      </c>
      <c r="Y771" s="12">
        <v>0</v>
      </c>
      <c r="Z771" s="25">
        <v>100</v>
      </c>
      <c r="AA771" s="25">
        <v>150</v>
      </c>
      <c r="AB771" s="25">
        <v>0</v>
      </c>
      <c r="AC771" s="25">
        <v>0</v>
      </c>
      <c r="AD771" s="25">
        <v>0</v>
      </c>
      <c r="AE771" s="25">
        <f t="shared" ref="AE771:AE834" si="138">C771*2</f>
        <v>272</v>
      </c>
      <c r="AF771" s="25">
        <f t="shared" ref="AF771:AF834" si="139">C771*2</f>
        <v>272</v>
      </c>
      <c r="AG771" s="25">
        <v>0</v>
      </c>
      <c r="AH771" s="25">
        <f t="shared" ref="AH771:AH834" si="140">MAX(10000-(250-C771)*75,0)</f>
        <v>1450</v>
      </c>
      <c r="AI771" s="25">
        <f t="shared" ref="AI771:AI834" si="141">INT(P771/75)</f>
        <v>10</v>
      </c>
      <c r="AJ771" s="25">
        <v>1</v>
      </c>
      <c r="AK771" s="25">
        <v>1000</v>
      </c>
      <c r="AL771" s="25">
        <v>100</v>
      </c>
      <c r="AM771" s="26">
        <v>10</v>
      </c>
      <c r="AN771" s="26">
        <v>10</v>
      </c>
      <c r="AO771" s="22" t="s">
        <v>2211</v>
      </c>
      <c r="AP771" s="26">
        <v>0</v>
      </c>
      <c r="AQ771" s="26">
        <f t="shared" ref="AQ771:AQ834" si="142">MAX(CEILING(1000-A771*1.02,10),0)</f>
        <v>220</v>
      </c>
      <c r="AR771" s="18" t="str">
        <f ca="1">CONCATENATE(OFFSET(Sheet1!$A$2,RANDBETWEEN(2,500),0,1,1),OFFSET(Sheet1!$A$2,RANDBETWEEN(2,500),RANDBETWEEN(1,5),1,1))</f>
        <v>艾伯特雷思丽</v>
      </c>
      <c r="AS771">
        <f>SUMPRODUCT(P771:AI771,Sheet2!$B$3:$U$3)</f>
        <v>57549</v>
      </c>
    </row>
    <row r="772" spans="1:45" x14ac:dyDescent="0.15">
      <c r="A772" s="23">
        <v>771</v>
      </c>
      <c r="B772" s="18" t="s">
        <v>269</v>
      </c>
      <c r="C772" s="18">
        <f t="shared" si="132"/>
        <v>135</v>
      </c>
      <c r="D772" s="19">
        <f t="shared" si="133"/>
        <v>3</v>
      </c>
      <c r="E772" s="19">
        <f>VLOOKUP(MOD(A772,4),各职业基础配置!C$32:D$35,2,FALSE)</f>
        <v>9</v>
      </c>
      <c r="F772" s="19">
        <f>IF(A772&lt;900,INDEX(各职业基础配置!C$23:C$28,MOD(ROW(A772),4)+1),0)</f>
        <v>8</v>
      </c>
      <c r="G772" s="19">
        <f t="shared" si="134"/>
        <v>6</v>
      </c>
      <c r="H772" s="27">
        <f t="shared" si="135"/>
        <v>1</v>
      </c>
      <c r="I772" s="6" t="s">
        <v>164</v>
      </c>
      <c r="J772" s="23" t="str">
        <f>VLOOKUP(E772,各职业基础配置!$B$9:$C$12,2,FALSE)</f>
        <v>116|117|118|4201|120</v>
      </c>
      <c r="K772" s="18" t="str">
        <f>VLOOKUP(E772,各职业基础配置!$B$15:$C$18,2,FALSE)</f>
        <v>28|29|30|31</v>
      </c>
      <c r="L772" s="18" t="str">
        <f>VLOOKUP(E772,各职业基础配置!B:C,2,FALSE)</f>
        <v>[{28,1,1},{29,1,1},{30,1,1},{31,1,1},{10,1,1},{11,1,1},{12,1,1}]</v>
      </c>
      <c r="M772" s="18">
        <v>0</v>
      </c>
      <c r="N772" s="18">
        <f t="shared" si="136"/>
        <v>3</v>
      </c>
      <c r="O772" s="18">
        <f>SUMPRODUCT(P772:AI772,Sheet2!$B$3:$U$3)</f>
        <v>56274</v>
      </c>
      <c r="P772" s="18">
        <f>CEILING(INDEX([1]系统模型!$VD:$VD,MATCH(C772,[1]系统模型!$A:$A,0))*POWER(C772/220,3.8)-50+(1000-A772),1)</f>
        <v>798</v>
      </c>
      <c r="Q772" s="18">
        <f>CEILING(INDEX([1]系统模型!$VE:$VE,MATCH(C772,[1]系统模型!$A:$A,0))*POWER(C772/220,4),1)</f>
        <v>66</v>
      </c>
      <c r="R772" s="18">
        <f>INT(INDEX([1]系统模型!$VF:$VF,MATCH(C772,[1]系统模型!$A:$A,0))*MAX(POWER(C772/180,4),0.5))</f>
        <v>7799</v>
      </c>
      <c r="S772" s="5">
        <v>1000</v>
      </c>
      <c r="T772" s="25">
        <v>0</v>
      </c>
      <c r="U772" s="25">
        <v>0</v>
      </c>
      <c r="V772" s="25">
        <v>0</v>
      </c>
      <c r="W772" s="25">
        <v>0</v>
      </c>
      <c r="X772" s="25">
        <f t="shared" si="137"/>
        <v>389</v>
      </c>
      <c r="Y772" s="12">
        <v>0</v>
      </c>
      <c r="Z772" s="25">
        <v>100</v>
      </c>
      <c r="AA772" s="25">
        <v>150</v>
      </c>
      <c r="AB772" s="25">
        <v>0</v>
      </c>
      <c r="AC772" s="25">
        <v>0</v>
      </c>
      <c r="AD772" s="25">
        <v>0</v>
      </c>
      <c r="AE772" s="25">
        <f t="shared" si="138"/>
        <v>270</v>
      </c>
      <c r="AF772" s="25">
        <f t="shared" si="139"/>
        <v>270</v>
      </c>
      <c r="AG772" s="25">
        <v>0</v>
      </c>
      <c r="AH772" s="25">
        <f t="shared" si="140"/>
        <v>1375</v>
      </c>
      <c r="AI772" s="25">
        <f t="shared" si="141"/>
        <v>10</v>
      </c>
      <c r="AJ772" s="25">
        <v>1</v>
      </c>
      <c r="AK772" s="25">
        <v>1000</v>
      </c>
      <c r="AL772" s="25">
        <v>100</v>
      </c>
      <c r="AM772" s="26">
        <v>10</v>
      </c>
      <c r="AN772" s="26">
        <v>10</v>
      </c>
      <c r="AO772" s="22" t="s">
        <v>2211</v>
      </c>
      <c r="AP772" s="26">
        <v>0</v>
      </c>
      <c r="AQ772" s="26">
        <f t="shared" si="142"/>
        <v>220</v>
      </c>
      <c r="AR772" s="18" t="str">
        <f ca="1">CONCATENATE(OFFSET(Sheet1!$A$2,RANDBETWEEN(2,500),0,1,1),OFFSET(Sheet1!$A$2,RANDBETWEEN(2,500),RANDBETWEEN(1,5),1,1))</f>
        <v>詹理斯</v>
      </c>
      <c r="AS772">
        <f>SUMPRODUCT(P772:AI772,Sheet2!$B$3:$U$3)</f>
        <v>56274</v>
      </c>
    </row>
    <row r="773" spans="1:45" x14ac:dyDescent="0.15">
      <c r="A773" s="18">
        <v>772</v>
      </c>
      <c r="B773" s="18" t="s">
        <v>969</v>
      </c>
      <c r="C773" s="18">
        <f t="shared" si="132"/>
        <v>135</v>
      </c>
      <c r="D773" s="19">
        <f t="shared" si="133"/>
        <v>2</v>
      </c>
      <c r="E773" s="19">
        <f>VLOOKUP(MOD(A773,4),各职业基础配置!C$32:D$35,2,FALSE)</f>
        <v>1</v>
      </c>
      <c r="F773" s="19">
        <f>IF(A773&lt;900,INDEX(各职业基础配置!C$23:C$28,MOD(ROW(A773),4)+1),0)</f>
        <v>13</v>
      </c>
      <c r="G773" s="19">
        <f t="shared" si="134"/>
        <v>6</v>
      </c>
      <c r="H773" s="27">
        <f t="shared" si="135"/>
        <v>1</v>
      </c>
      <c r="I773" s="6" t="s">
        <v>164</v>
      </c>
      <c r="J773" s="23" t="str">
        <f>VLOOKUP(E773,各职业基础配置!$B$9:$C$12,2,FALSE)</f>
        <v>101|102|103|4201|105</v>
      </c>
      <c r="K773" s="18" t="str">
        <f>VLOOKUP(E773,各职业基础配置!$B$15:$C$18,2,FALSE)</f>
        <v>24|25|26|27</v>
      </c>
      <c r="L773" s="18" t="str">
        <f>VLOOKUP(E773,各职业基础配置!B:C,2,FALSE)</f>
        <v>[{24,1,1},{25,1,1},{26,1,1},{27,1,1},{1,1,1},{2,1,1},{3,1,1}]</v>
      </c>
      <c r="M773" s="18">
        <v>0</v>
      </c>
      <c r="N773" s="18">
        <f t="shared" si="136"/>
        <v>3</v>
      </c>
      <c r="O773" s="18">
        <f>SUMPRODUCT(P773:AI773,Sheet2!$B$3:$U$3)</f>
        <v>56249</v>
      </c>
      <c r="P773" s="18">
        <f>CEILING(INDEX([1]系统模型!$VD:$VD,MATCH(C773,[1]系统模型!$A:$A,0))*POWER(C773/220,3.8)-50+(1000-A773),1)</f>
        <v>797</v>
      </c>
      <c r="Q773" s="18">
        <f>CEILING(INDEX([1]系统模型!$VE:$VE,MATCH(C773,[1]系统模型!$A:$A,0))*POWER(C773/220,4),1)</f>
        <v>66</v>
      </c>
      <c r="R773" s="18">
        <f>INT(INDEX([1]系统模型!$VF:$VF,MATCH(C773,[1]系统模型!$A:$A,0))*MAX(POWER(C773/180,4),0.5))</f>
        <v>7799</v>
      </c>
      <c r="S773" s="5">
        <v>1000</v>
      </c>
      <c r="T773" s="25">
        <v>0</v>
      </c>
      <c r="U773" s="25">
        <v>0</v>
      </c>
      <c r="V773" s="25">
        <v>0</v>
      </c>
      <c r="W773" s="25">
        <v>0</v>
      </c>
      <c r="X773" s="25">
        <f t="shared" si="137"/>
        <v>389</v>
      </c>
      <c r="Y773" s="12">
        <v>0</v>
      </c>
      <c r="Z773" s="25">
        <v>100</v>
      </c>
      <c r="AA773" s="25">
        <v>150</v>
      </c>
      <c r="AB773" s="25">
        <v>0</v>
      </c>
      <c r="AC773" s="25">
        <v>0</v>
      </c>
      <c r="AD773" s="25">
        <v>0</v>
      </c>
      <c r="AE773" s="25">
        <f t="shared" si="138"/>
        <v>270</v>
      </c>
      <c r="AF773" s="25">
        <f t="shared" si="139"/>
        <v>270</v>
      </c>
      <c r="AG773" s="25">
        <v>0</v>
      </c>
      <c r="AH773" s="25">
        <f t="shared" si="140"/>
        <v>1375</v>
      </c>
      <c r="AI773" s="25">
        <f t="shared" si="141"/>
        <v>10</v>
      </c>
      <c r="AJ773" s="25">
        <v>1</v>
      </c>
      <c r="AK773" s="25">
        <v>1000</v>
      </c>
      <c r="AL773" s="25">
        <v>100</v>
      </c>
      <c r="AM773" s="26">
        <v>10</v>
      </c>
      <c r="AN773" s="26">
        <v>10</v>
      </c>
      <c r="AO773" s="22" t="s">
        <v>2211</v>
      </c>
      <c r="AP773" s="26">
        <v>0</v>
      </c>
      <c r="AQ773" s="26">
        <f t="shared" si="142"/>
        <v>220</v>
      </c>
      <c r="AR773" s="18" t="str">
        <f ca="1">CONCATENATE(OFFSET(Sheet1!$A$2,RANDBETWEEN(2,500),0,1,1),OFFSET(Sheet1!$A$2,RANDBETWEEN(2,500),RANDBETWEEN(1,5),1,1))</f>
        <v>加布尔雷思</v>
      </c>
      <c r="AS773">
        <f>SUMPRODUCT(P773:AI773,Sheet2!$B$3:$U$3)</f>
        <v>56249</v>
      </c>
    </row>
    <row r="774" spans="1:45" x14ac:dyDescent="0.15">
      <c r="A774" s="18">
        <v>773</v>
      </c>
      <c r="B774" s="18" t="s">
        <v>2122</v>
      </c>
      <c r="C774" s="18">
        <f t="shared" si="132"/>
        <v>135</v>
      </c>
      <c r="D774" s="19">
        <f t="shared" si="133"/>
        <v>3</v>
      </c>
      <c r="E774" s="19">
        <f>VLOOKUP(MOD(A774,4),各职业基础配置!C$32:D$35,2,FALSE)</f>
        <v>3</v>
      </c>
      <c r="F774" s="19">
        <f>IF(A774&lt;900,INDEX(各职业基础配置!C$23:C$28,MOD(ROW(A774),4)+1),0)</f>
        <v>14</v>
      </c>
      <c r="G774" s="19">
        <f t="shared" si="134"/>
        <v>6</v>
      </c>
      <c r="H774" s="27">
        <f t="shared" si="135"/>
        <v>1</v>
      </c>
      <c r="I774" s="6" t="s">
        <v>164</v>
      </c>
      <c r="J774" s="23" t="str">
        <f>VLOOKUP(E774,各职业基础配置!$B$9:$C$12,2,FALSE)</f>
        <v>106|107|108|4201|110</v>
      </c>
      <c r="K774" s="18" t="str">
        <f>VLOOKUP(E774,各职业基础配置!$B$15:$C$18,2,FALSE)</f>
        <v>20|21|22|23</v>
      </c>
      <c r="L774" s="18" t="str">
        <f>VLOOKUP(E774,各职业基础配置!B:C,2,FALSE)</f>
        <v>[{20,1,1},{21,1,1},{22,1,1},{23,1,1},{4,1,1},{5,1,1},{6,1,1}]</v>
      </c>
      <c r="M774" s="18">
        <v>0</v>
      </c>
      <c r="N774" s="18">
        <f t="shared" si="136"/>
        <v>7</v>
      </c>
      <c r="O774" s="18">
        <f>SUMPRODUCT(P774:AI774,Sheet2!$B$3:$U$3)</f>
        <v>56224</v>
      </c>
      <c r="P774" s="18">
        <f>CEILING(INDEX([1]系统模型!$VD:$VD,MATCH(C774,[1]系统模型!$A:$A,0))*POWER(C774/220,3.8)-50+(1000-A774),1)</f>
        <v>796</v>
      </c>
      <c r="Q774" s="18">
        <f>CEILING(INDEX([1]系统模型!$VE:$VE,MATCH(C774,[1]系统模型!$A:$A,0))*POWER(C774/220,4),1)</f>
        <v>66</v>
      </c>
      <c r="R774" s="18">
        <f>INT(INDEX([1]系统模型!$VF:$VF,MATCH(C774,[1]系统模型!$A:$A,0))*MAX(POWER(C774/180,4),0.5))</f>
        <v>7799</v>
      </c>
      <c r="S774" s="5">
        <v>1000</v>
      </c>
      <c r="T774" s="25">
        <v>0</v>
      </c>
      <c r="U774" s="25">
        <v>0</v>
      </c>
      <c r="V774" s="25">
        <v>0</v>
      </c>
      <c r="W774" s="25">
        <v>0</v>
      </c>
      <c r="X774" s="25">
        <f t="shared" si="137"/>
        <v>389</v>
      </c>
      <c r="Y774" s="12">
        <v>0</v>
      </c>
      <c r="Z774" s="25">
        <v>100</v>
      </c>
      <c r="AA774" s="25">
        <v>150</v>
      </c>
      <c r="AB774" s="25">
        <v>0</v>
      </c>
      <c r="AC774" s="25">
        <v>0</v>
      </c>
      <c r="AD774" s="25">
        <v>0</v>
      </c>
      <c r="AE774" s="25">
        <f t="shared" si="138"/>
        <v>270</v>
      </c>
      <c r="AF774" s="25">
        <f t="shared" si="139"/>
        <v>270</v>
      </c>
      <c r="AG774" s="25">
        <v>0</v>
      </c>
      <c r="AH774" s="25">
        <f t="shared" si="140"/>
        <v>1375</v>
      </c>
      <c r="AI774" s="25">
        <f t="shared" si="141"/>
        <v>10</v>
      </c>
      <c r="AJ774" s="25">
        <v>1</v>
      </c>
      <c r="AK774" s="25">
        <v>1000</v>
      </c>
      <c r="AL774" s="25">
        <v>100</v>
      </c>
      <c r="AM774" s="26">
        <v>10</v>
      </c>
      <c r="AN774" s="26">
        <v>10</v>
      </c>
      <c r="AO774" s="22" t="s">
        <v>2211</v>
      </c>
      <c r="AP774" s="26">
        <v>0</v>
      </c>
      <c r="AQ774" s="26">
        <f t="shared" si="142"/>
        <v>220</v>
      </c>
      <c r="AR774" s="18" t="str">
        <f ca="1">CONCATENATE(OFFSET(Sheet1!$A$2,RANDBETWEEN(2,500),0,1,1),OFFSET(Sheet1!$A$2,RANDBETWEEN(2,500),RANDBETWEEN(1,5),1,1))</f>
        <v>霍雷肖</v>
      </c>
      <c r="AS774">
        <f>SUMPRODUCT(P774:AI774,Sheet2!$B$3:$U$3)</f>
        <v>56224</v>
      </c>
    </row>
    <row r="775" spans="1:45" x14ac:dyDescent="0.15">
      <c r="A775" s="23">
        <v>774</v>
      </c>
      <c r="B775" s="18" t="s">
        <v>1370</v>
      </c>
      <c r="C775" s="18">
        <f t="shared" si="132"/>
        <v>135</v>
      </c>
      <c r="D775" s="19">
        <f t="shared" si="133"/>
        <v>2</v>
      </c>
      <c r="E775" s="19">
        <f>VLOOKUP(MOD(A775,4),各职业基础配置!C$32:D$35,2,FALSE)</f>
        <v>6</v>
      </c>
      <c r="F775" s="19">
        <f>IF(A775&lt;900,INDEX(各职业基础配置!C$23:C$28,MOD(ROW(A775),4)+1),0)</f>
        <v>16</v>
      </c>
      <c r="G775" s="19">
        <f t="shared" si="134"/>
        <v>6</v>
      </c>
      <c r="H775" s="27">
        <f t="shared" si="135"/>
        <v>1</v>
      </c>
      <c r="I775" s="6" t="s">
        <v>164</v>
      </c>
      <c r="J775" s="23" t="str">
        <f>VLOOKUP(E775,各职业基础配置!$B$9:$C$12,2,FALSE)</f>
        <v>111|112|113|4201|115</v>
      </c>
      <c r="K775" s="18" t="str">
        <f>VLOOKUP(E775,各职业基础配置!$B$15:$C$18,2,FALSE)</f>
        <v>32|33|34</v>
      </c>
      <c r="L775" s="18" t="str">
        <f>VLOOKUP(E775,各职业基础配置!B:C,2,FALSE)</f>
        <v>[{32,1,1},{33,1,1},{34,1,1},{35,1,1},{7,1,1},{8,1,1},{9,1,1}]</v>
      </c>
      <c r="M775" s="18">
        <v>0</v>
      </c>
      <c r="N775" s="18">
        <f t="shared" si="136"/>
        <v>7</v>
      </c>
      <c r="O775" s="18">
        <f>SUMPRODUCT(P775:AI775,Sheet2!$B$3:$U$3)</f>
        <v>56199</v>
      </c>
      <c r="P775" s="18">
        <f>CEILING(INDEX([1]系统模型!$VD:$VD,MATCH(C775,[1]系统模型!$A:$A,0))*POWER(C775/220,3.8)-50+(1000-A775),1)</f>
        <v>795</v>
      </c>
      <c r="Q775" s="18">
        <f>CEILING(INDEX([1]系统模型!$VE:$VE,MATCH(C775,[1]系统模型!$A:$A,0))*POWER(C775/220,4),1)</f>
        <v>66</v>
      </c>
      <c r="R775" s="18">
        <f>INT(INDEX([1]系统模型!$VF:$VF,MATCH(C775,[1]系统模型!$A:$A,0))*MAX(POWER(C775/180,4),0.5))</f>
        <v>7799</v>
      </c>
      <c r="S775" s="5">
        <v>1000</v>
      </c>
      <c r="T775" s="25">
        <v>0</v>
      </c>
      <c r="U775" s="25">
        <v>0</v>
      </c>
      <c r="V775" s="25">
        <v>0</v>
      </c>
      <c r="W775" s="25">
        <v>0</v>
      </c>
      <c r="X775" s="25">
        <f t="shared" si="137"/>
        <v>389</v>
      </c>
      <c r="Y775" s="12">
        <v>0</v>
      </c>
      <c r="Z775" s="25">
        <v>100</v>
      </c>
      <c r="AA775" s="25">
        <v>150</v>
      </c>
      <c r="AB775" s="25">
        <v>0</v>
      </c>
      <c r="AC775" s="25">
        <v>0</v>
      </c>
      <c r="AD775" s="25">
        <v>0</v>
      </c>
      <c r="AE775" s="25">
        <f t="shared" si="138"/>
        <v>270</v>
      </c>
      <c r="AF775" s="25">
        <f t="shared" si="139"/>
        <v>270</v>
      </c>
      <c r="AG775" s="25">
        <v>0</v>
      </c>
      <c r="AH775" s="25">
        <f t="shared" si="140"/>
        <v>1375</v>
      </c>
      <c r="AI775" s="25">
        <f t="shared" si="141"/>
        <v>10</v>
      </c>
      <c r="AJ775" s="25">
        <v>1</v>
      </c>
      <c r="AK775" s="25">
        <v>1000</v>
      </c>
      <c r="AL775" s="25">
        <v>100</v>
      </c>
      <c r="AM775" s="26">
        <v>10</v>
      </c>
      <c r="AN775" s="26">
        <v>10</v>
      </c>
      <c r="AO775" s="22" t="s">
        <v>2211</v>
      </c>
      <c r="AP775" s="26">
        <v>0</v>
      </c>
      <c r="AQ775" s="26">
        <f t="shared" si="142"/>
        <v>220</v>
      </c>
      <c r="AR775" s="18" t="str">
        <f ca="1">CONCATENATE(OFFSET(Sheet1!$A$2,RANDBETWEEN(2,500),0,1,1),OFFSET(Sheet1!$A$2,RANDBETWEEN(2,500),RANDBETWEEN(1,5),1,1))</f>
        <v>弗朗西斯</v>
      </c>
      <c r="AS775">
        <f>SUMPRODUCT(P775:AI775,Sheet2!$B$3:$U$3)</f>
        <v>56199</v>
      </c>
    </row>
    <row r="776" spans="1:45" x14ac:dyDescent="0.15">
      <c r="A776" s="18">
        <v>775</v>
      </c>
      <c r="B776" s="18" t="s">
        <v>1348</v>
      </c>
      <c r="C776" s="18">
        <f t="shared" si="132"/>
        <v>135</v>
      </c>
      <c r="D776" s="19">
        <f t="shared" si="133"/>
        <v>3</v>
      </c>
      <c r="E776" s="19">
        <f>VLOOKUP(MOD(A776,4),各职业基础配置!C$32:D$35,2,FALSE)</f>
        <v>9</v>
      </c>
      <c r="F776" s="19">
        <f>IF(A776&lt;900,INDEX(各职业基础配置!C$23:C$28,MOD(ROW(A776),4)+1),0)</f>
        <v>8</v>
      </c>
      <c r="G776" s="19">
        <f t="shared" si="134"/>
        <v>6</v>
      </c>
      <c r="H776" s="27">
        <f t="shared" si="135"/>
        <v>1</v>
      </c>
      <c r="I776" s="6" t="s">
        <v>164</v>
      </c>
      <c r="J776" s="23" t="str">
        <f>VLOOKUP(E776,各职业基础配置!$B$9:$C$12,2,FALSE)</f>
        <v>116|117|118|4201|120</v>
      </c>
      <c r="K776" s="18" t="str">
        <f>VLOOKUP(E776,各职业基础配置!$B$15:$C$18,2,FALSE)</f>
        <v>28|29|30|31</v>
      </c>
      <c r="L776" s="18" t="str">
        <f>VLOOKUP(E776,各职业基础配置!B:C,2,FALSE)</f>
        <v>[{28,1,1},{29,1,1},{30,1,1},{31,1,1},{10,1,1},{11,1,1},{12,1,1}]</v>
      </c>
      <c r="M776" s="18">
        <v>0</v>
      </c>
      <c r="N776" s="18">
        <f t="shared" si="136"/>
        <v>3</v>
      </c>
      <c r="O776" s="18">
        <f>SUMPRODUCT(P776:AI776,Sheet2!$B$3:$U$3)</f>
        <v>56174</v>
      </c>
      <c r="P776" s="18">
        <f>CEILING(INDEX([1]系统模型!$VD:$VD,MATCH(C776,[1]系统模型!$A:$A,0))*POWER(C776/220,3.8)-50+(1000-A776),1)</f>
        <v>794</v>
      </c>
      <c r="Q776" s="18">
        <f>CEILING(INDEX([1]系统模型!$VE:$VE,MATCH(C776,[1]系统模型!$A:$A,0))*POWER(C776/220,4),1)</f>
        <v>66</v>
      </c>
      <c r="R776" s="18">
        <f>INT(INDEX([1]系统模型!$VF:$VF,MATCH(C776,[1]系统模型!$A:$A,0))*MAX(POWER(C776/180,4),0.5))</f>
        <v>7799</v>
      </c>
      <c r="S776" s="5">
        <v>1000</v>
      </c>
      <c r="T776" s="25">
        <v>0</v>
      </c>
      <c r="U776" s="25">
        <v>0</v>
      </c>
      <c r="V776" s="25">
        <v>0</v>
      </c>
      <c r="W776" s="25">
        <v>0</v>
      </c>
      <c r="X776" s="25">
        <f t="shared" si="137"/>
        <v>389</v>
      </c>
      <c r="Y776" s="12">
        <v>0</v>
      </c>
      <c r="Z776" s="25">
        <v>100</v>
      </c>
      <c r="AA776" s="25">
        <v>150</v>
      </c>
      <c r="AB776" s="25">
        <v>0</v>
      </c>
      <c r="AC776" s="25">
        <v>0</v>
      </c>
      <c r="AD776" s="25">
        <v>0</v>
      </c>
      <c r="AE776" s="25">
        <f t="shared" si="138"/>
        <v>270</v>
      </c>
      <c r="AF776" s="25">
        <f t="shared" si="139"/>
        <v>270</v>
      </c>
      <c r="AG776" s="25">
        <v>0</v>
      </c>
      <c r="AH776" s="25">
        <f t="shared" si="140"/>
        <v>1375</v>
      </c>
      <c r="AI776" s="25">
        <f t="shared" si="141"/>
        <v>10</v>
      </c>
      <c r="AJ776" s="25">
        <v>1</v>
      </c>
      <c r="AK776" s="25">
        <v>1000</v>
      </c>
      <c r="AL776" s="25">
        <v>100</v>
      </c>
      <c r="AM776" s="26">
        <v>10</v>
      </c>
      <c r="AN776" s="26">
        <v>10</v>
      </c>
      <c r="AO776" s="22" t="s">
        <v>2211</v>
      </c>
      <c r="AP776" s="26">
        <v>0</v>
      </c>
      <c r="AQ776" s="26">
        <f t="shared" si="142"/>
        <v>210</v>
      </c>
      <c r="AR776" s="18" t="str">
        <f ca="1">CONCATENATE(OFFSET(Sheet1!$A$2,RANDBETWEEN(2,500),0,1,1),OFFSET(Sheet1!$A$2,RANDBETWEEN(2,500),RANDBETWEEN(1,5),1,1))</f>
        <v>爱略特</v>
      </c>
      <c r="AS776">
        <f>SUMPRODUCT(P776:AI776,Sheet2!$B$3:$U$3)</f>
        <v>56174</v>
      </c>
    </row>
    <row r="777" spans="1:45" x14ac:dyDescent="0.15">
      <c r="A777" s="18">
        <v>776</v>
      </c>
      <c r="B777" s="18" t="s">
        <v>2123</v>
      </c>
      <c r="C777" s="18">
        <f t="shared" si="132"/>
        <v>135</v>
      </c>
      <c r="D777" s="19">
        <f t="shared" si="133"/>
        <v>2</v>
      </c>
      <c r="E777" s="19">
        <f>VLOOKUP(MOD(A777,4),各职业基础配置!C$32:D$35,2,FALSE)</f>
        <v>1</v>
      </c>
      <c r="F777" s="19">
        <f>IF(A777&lt;900,INDEX(各职业基础配置!C$23:C$28,MOD(ROW(A777),4)+1),0)</f>
        <v>13</v>
      </c>
      <c r="G777" s="19">
        <f t="shared" si="134"/>
        <v>6</v>
      </c>
      <c r="H777" s="27">
        <f t="shared" si="135"/>
        <v>1</v>
      </c>
      <c r="I777" s="6" t="s">
        <v>164</v>
      </c>
      <c r="J777" s="23" t="str">
        <f>VLOOKUP(E777,各职业基础配置!$B$9:$C$12,2,FALSE)</f>
        <v>101|102|103|4201|105</v>
      </c>
      <c r="K777" s="18" t="str">
        <f>VLOOKUP(E777,各职业基础配置!$B$15:$C$18,2,FALSE)</f>
        <v>24|25|26|27</v>
      </c>
      <c r="L777" s="18" t="str">
        <f>VLOOKUP(E777,各职业基础配置!B:C,2,FALSE)</f>
        <v>[{24,1,1},{25,1,1},{26,1,1},{27,1,1},{1,1,1},{2,1,1},{3,1,1}]</v>
      </c>
      <c r="M777" s="18">
        <v>0</v>
      </c>
      <c r="N777" s="18">
        <f t="shared" si="136"/>
        <v>3</v>
      </c>
      <c r="O777" s="18">
        <f>SUMPRODUCT(P777:AI777,Sheet2!$B$3:$U$3)</f>
        <v>56149</v>
      </c>
      <c r="P777" s="18">
        <f>CEILING(INDEX([1]系统模型!$VD:$VD,MATCH(C777,[1]系统模型!$A:$A,0))*POWER(C777/220,3.8)-50+(1000-A777),1)</f>
        <v>793</v>
      </c>
      <c r="Q777" s="18">
        <f>CEILING(INDEX([1]系统模型!$VE:$VE,MATCH(C777,[1]系统模型!$A:$A,0))*POWER(C777/220,4),1)</f>
        <v>66</v>
      </c>
      <c r="R777" s="18">
        <f>INT(INDEX([1]系统模型!$VF:$VF,MATCH(C777,[1]系统模型!$A:$A,0))*MAX(POWER(C777/180,4),0.5))</f>
        <v>7799</v>
      </c>
      <c r="S777" s="5">
        <v>1000</v>
      </c>
      <c r="T777" s="25">
        <v>0</v>
      </c>
      <c r="U777" s="25">
        <v>0</v>
      </c>
      <c r="V777" s="25">
        <v>0</v>
      </c>
      <c r="W777" s="25">
        <v>0</v>
      </c>
      <c r="X777" s="25">
        <f t="shared" si="137"/>
        <v>389</v>
      </c>
      <c r="Y777" s="12">
        <v>0</v>
      </c>
      <c r="Z777" s="25">
        <v>100</v>
      </c>
      <c r="AA777" s="25">
        <v>150</v>
      </c>
      <c r="AB777" s="25">
        <v>0</v>
      </c>
      <c r="AC777" s="25">
        <v>0</v>
      </c>
      <c r="AD777" s="25">
        <v>0</v>
      </c>
      <c r="AE777" s="25">
        <f t="shared" si="138"/>
        <v>270</v>
      </c>
      <c r="AF777" s="25">
        <f t="shared" si="139"/>
        <v>270</v>
      </c>
      <c r="AG777" s="25">
        <v>0</v>
      </c>
      <c r="AH777" s="25">
        <f t="shared" si="140"/>
        <v>1375</v>
      </c>
      <c r="AI777" s="25">
        <f t="shared" si="141"/>
        <v>10</v>
      </c>
      <c r="AJ777" s="25">
        <v>1</v>
      </c>
      <c r="AK777" s="25">
        <v>1000</v>
      </c>
      <c r="AL777" s="25">
        <v>100</v>
      </c>
      <c r="AM777" s="26">
        <v>10</v>
      </c>
      <c r="AN777" s="26">
        <v>10</v>
      </c>
      <c r="AO777" s="22" t="s">
        <v>2211</v>
      </c>
      <c r="AP777" s="26">
        <v>0</v>
      </c>
      <c r="AQ777" s="26">
        <f t="shared" si="142"/>
        <v>210</v>
      </c>
      <c r="AR777" s="18" t="str">
        <f ca="1">CONCATENATE(OFFSET(Sheet1!$A$2,RANDBETWEEN(2,500),0,1,1),OFFSET(Sheet1!$A$2,RANDBETWEEN(2,500),RANDBETWEEN(1,5),1,1))</f>
        <v>豪斯曼</v>
      </c>
      <c r="AS777">
        <f>SUMPRODUCT(P777:AI777,Sheet2!$B$3:$U$3)</f>
        <v>56149</v>
      </c>
    </row>
    <row r="778" spans="1:45" x14ac:dyDescent="0.15">
      <c r="A778" s="23">
        <v>777</v>
      </c>
      <c r="B778" s="18" t="s">
        <v>1357</v>
      </c>
      <c r="C778" s="18">
        <f t="shared" si="132"/>
        <v>135</v>
      </c>
      <c r="D778" s="19">
        <f t="shared" si="133"/>
        <v>3</v>
      </c>
      <c r="E778" s="19">
        <f>VLOOKUP(MOD(A778,4),各职业基础配置!C$32:D$35,2,FALSE)</f>
        <v>3</v>
      </c>
      <c r="F778" s="19">
        <f>IF(A778&lt;900,INDEX(各职业基础配置!C$23:C$28,MOD(ROW(A778),4)+1),0)</f>
        <v>14</v>
      </c>
      <c r="G778" s="19">
        <f t="shared" si="134"/>
        <v>6</v>
      </c>
      <c r="H778" s="27">
        <f t="shared" si="135"/>
        <v>1</v>
      </c>
      <c r="I778" s="6" t="s">
        <v>164</v>
      </c>
      <c r="J778" s="23" t="str">
        <f>VLOOKUP(E778,各职业基础配置!$B$9:$C$12,2,FALSE)</f>
        <v>106|107|108|4201|110</v>
      </c>
      <c r="K778" s="18" t="str">
        <f>VLOOKUP(E778,各职业基础配置!$B$15:$C$18,2,FALSE)</f>
        <v>20|21|22|23</v>
      </c>
      <c r="L778" s="18" t="str">
        <f>VLOOKUP(E778,各职业基础配置!B:C,2,FALSE)</f>
        <v>[{20,1,1},{21,1,1},{22,1,1},{23,1,1},{4,1,1},{5,1,1},{6,1,1}]</v>
      </c>
      <c r="M778" s="18">
        <v>0</v>
      </c>
      <c r="N778" s="18">
        <f t="shared" si="136"/>
        <v>7</v>
      </c>
      <c r="O778" s="18">
        <f>SUMPRODUCT(P778:AI778,Sheet2!$B$3:$U$3)</f>
        <v>56124</v>
      </c>
      <c r="P778" s="18">
        <f>CEILING(INDEX([1]系统模型!$VD:$VD,MATCH(C778,[1]系统模型!$A:$A,0))*POWER(C778/220,3.8)-50+(1000-A778),1)</f>
        <v>792</v>
      </c>
      <c r="Q778" s="18">
        <f>CEILING(INDEX([1]系统模型!$VE:$VE,MATCH(C778,[1]系统模型!$A:$A,0))*POWER(C778/220,4),1)</f>
        <v>66</v>
      </c>
      <c r="R778" s="18">
        <f>INT(INDEX([1]系统模型!$VF:$VF,MATCH(C778,[1]系统模型!$A:$A,0))*MAX(POWER(C778/180,4),0.5))</f>
        <v>7799</v>
      </c>
      <c r="S778" s="5">
        <v>1000</v>
      </c>
      <c r="T778" s="25">
        <v>0</v>
      </c>
      <c r="U778" s="25">
        <v>0</v>
      </c>
      <c r="V778" s="25">
        <v>0</v>
      </c>
      <c r="W778" s="25">
        <v>0</v>
      </c>
      <c r="X778" s="25">
        <f t="shared" si="137"/>
        <v>389</v>
      </c>
      <c r="Y778" s="12">
        <v>0</v>
      </c>
      <c r="Z778" s="25">
        <v>100</v>
      </c>
      <c r="AA778" s="25">
        <v>150</v>
      </c>
      <c r="AB778" s="25">
        <v>0</v>
      </c>
      <c r="AC778" s="25">
        <v>0</v>
      </c>
      <c r="AD778" s="25">
        <v>0</v>
      </c>
      <c r="AE778" s="25">
        <f t="shared" si="138"/>
        <v>270</v>
      </c>
      <c r="AF778" s="25">
        <f t="shared" si="139"/>
        <v>270</v>
      </c>
      <c r="AG778" s="25">
        <v>0</v>
      </c>
      <c r="AH778" s="25">
        <f t="shared" si="140"/>
        <v>1375</v>
      </c>
      <c r="AI778" s="25">
        <f t="shared" si="141"/>
        <v>10</v>
      </c>
      <c r="AJ778" s="25">
        <v>1</v>
      </c>
      <c r="AK778" s="25">
        <v>1000</v>
      </c>
      <c r="AL778" s="25">
        <v>100</v>
      </c>
      <c r="AM778" s="26">
        <v>10</v>
      </c>
      <c r="AN778" s="26">
        <v>10</v>
      </c>
      <c r="AO778" s="22" t="s">
        <v>2211</v>
      </c>
      <c r="AP778" s="26">
        <v>0</v>
      </c>
      <c r="AQ778" s="26">
        <f t="shared" si="142"/>
        <v>210</v>
      </c>
      <c r="AR778" s="18" t="str">
        <f ca="1">CONCATENATE(OFFSET(Sheet1!$A$2,RANDBETWEEN(2,500),0,1,1),OFFSET(Sheet1!$A$2,RANDBETWEEN(2,500),RANDBETWEEN(1,5),1,1))</f>
        <v>迪克</v>
      </c>
      <c r="AS778">
        <f>SUMPRODUCT(P778:AI778,Sheet2!$B$3:$U$3)</f>
        <v>56124</v>
      </c>
    </row>
    <row r="779" spans="1:45" x14ac:dyDescent="0.15">
      <c r="A779" s="18">
        <v>778</v>
      </c>
      <c r="B779" s="18" t="s">
        <v>447</v>
      </c>
      <c r="C779" s="18">
        <f t="shared" si="132"/>
        <v>134</v>
      </c>
      <c r="D779" s="19">
        <f t="shared" si="133"/>
        <v>2</v>
      </c>
      <c r="E779" s="19">
        <f>VLOOKUP(MOD(A779,4),各职业基础配置!C$32:D$35,2,FALSE)</f>
        <v>6</v>
      </c>
      <c r="F779" s="19">
        <f>IF(A779&lt;900,INDEX(各职业基础配置!C$23:C$28,MOD(ROW(A779),4)+1),0)</f>
        <v>16</v>
      </c>
      <c r="G779" s="19">
        <f t="shared" si="134"/>
        <v>5</v>
      </c>
      <c r="H779" s="27">
        <f t="shared" si="135"/>
        <v>1</v>
      </c>
      <c r="I779" s="6" t="s">
        <v>164</v>
      </c>
      <c r="J779" s="23" t="str">
        <f>VLOOKUP(E779,各职业基础配置!$B$9:$C$12,2,FALSE)</f>
        <v>111|112|113|4201|115</v>
      </c>
      <c r="K779" s="18" t="str">
        <f>VLOOKUP(E779,各职业基础配置!$B$15:$C$18,2,FALSE)</f>
        <v>32|33|34</v>
      </c>
      <c r="L779" s="18" t="str">
        <f>VLOOKUP(E779,各职业基础配置!B:C,2,FALSE)</f>
        <v>[{32,1,1},{33,1,1},{34,1,1},{35,1,1},{7,1,1},{8,1,1},{9,1,1}]</v>
      </c>
      <c r="M779" s="18">
        <v>0</v>
      </c>
      <c r="N779" s="18">
        <f t="shared" si="136"/>
        <v>7</v>
      </c>
      <c r="O779" s="18">
        <f>SUMPRODUCT(P779:AI779,Sheet2!$B$3:$U$3)</f>
        <v>54774</v>
      </c>
      <c r="P779" s="18">
        <f>CEILING(INDEX([1]系统模型!$VD:$VD,MATCH(C779,[1]系统模型!$A:$A,0))*POWER(C779/220,3.8)-50+(1000-A779),1)</f>
        <v>762</v>
      </c>
      <c r="Q779" s="18">
        <f>CEILING(INDEX([1]系统模型!$VE:$VE,MATCH(C779,[1]系统模型!$A:$A,0))*POWER(C779/220,4),1)</f>
        <v>64</v>
      </c>
      <c r="R779" s="18">
        <f>INT(INDEX([1]系统模型!$VF:$VF,MATCH(C779,[1]系统模型!$A:$A,0))*MAX(POWER(C779/180,4),0.5))</f>
        <v>7724</v>
      </c>
      <c r="S779" s="5">
        <v>1000</v>
      </c>
      <c r="T779" s="25">
        <v>0</v>
      </c>
      <c r="U779" s="25">
        <v>0</v>
      </c>
      <c r="V779" s="25">
        <v>0</v>
      </c>
      <c r="W779" s="25">
        <v>0</v>
      </c>
      <c r="X779" s="25">
        <f t="shared" si="137"/>
        <v>386</v>
      </c>
      <c r="Y779" s="12">
        <v>0</v>
      </c>
      <c r="Z779" s="25">
        <v>100</v>
      </c>
      <c r="AA779" s="25">
        <v>150</v>
      </c>
      <c r="AB779" s="25">
        <v>0</v>
      </c>
      <c r="AC779" s="25">
        <v>0</v>
      </c>
      <c r="AD779" s="25">
        <v>0</v>
      </c>
      <c r="AE779" s="25">
        <f t="shared" si="138"/>
        <v>268</v>
      </c>
      <c r="AF779" s="25">
        <f t="shared" si="139"/>
        <v>268</v>
      </c>
      <c r="AG779" s="25">
        <v>0</v>
      </c>
      <c r="AH779" s="25">
        <f t="shared" si="140"/>
        <v>1300</v>
      </c>
      <c r="AI779" s="25">
        <f t="shared" si="141"/>
        <v>10</v>
      </c>
      <c r="AJ779" s="25">
        <v>1</v>
      </c>
      <c r="AK779" s="25">
        <v>1000</v>
      </c>
      <c r="AL779" s="25">
        <v>100</v>
      </c>
      <c r="AM779" s="26">
        <v>10</v>
      </c>
      <c r="AN779" s="26">
        <v>10</v>
      </c>
      <c r="AO779" s="22" t="s">
        <v>2211</v>
      </c>
      <c r="AP779" s="26">
        <v>0</v>
      </c>
      <c r="AQ779" s="26">
        <f t="shared" si="142"/>
        <v>210</v>
      </c>
      <c r="AR779" s="18" t="str">
        <f ca="1">CONCATENATE(OFFSET(Sheet1!$A$2,RANDBETWEEN(2,500),0,1,1),OFFSET(Sheet1!$A$2,RANDBETWEEN(2,500),RANDBETWEEN(1,5),1,1))</f>
        <v>贝基</v>
      </c>
      <c r="AS779">
        <f>SUMPRODUCT(P779:AI779,Sheet2!$B$3:$U$3)</f>
        <v>54774</v>
      </c>
    </row>
    <row r="780" spans="1:45" x14ac:dyDescent="0.15">
      <c r="A780" s="18">
        <v>779</v>
      </c>
      <c r="B780" s="18" t="s">
        <v>2124</v>
      </c>
      <c r="C780" s="18">
        <f t="shared" si="132"/>
        <v>134</v>
      </c>
      <c r="D780" s="19">
        <f t="shared" si="133"/>
        <v>3</v>
      </c>
      <c r="E780" s="19">
        <f>VLOOKUP(MOD(A780,4),各职业基础配置!C$32:D$35,2,FALSE)</f>
        <v>9</v>
      </c>
      <c r="F780" s="19">
        <f>IF(A780&lt;900,INDEX(各职业基础配置!C$23:C$28,MOD(ROW(A780),4)+1),0)</f>
        <v>8</v>
      </c>
      <c r="G780" s="19">
        <f t="shared" si="134"/>
        <v>5</v>
      </c>
      <c r="H780" s="27">
        <f t="shared" si="135"/>
        <v>1</v>
      </c>
      <c r="I780" s="6" t="s">
        <v>164</v>
      </c>
      <c r="J780" s="23" t="str">
        <f>VLOOKUP(E780,各职业基础配置!$B$9:$C$12,2,FALSE)</f>
        <v>116|117|118|4201|120</v>
      </c>
      <c r="K780" s="18" t="str">
        <f>VLOOKUP(E780,各职业基础配置!$B$15:$C$18,2,FALSE)</f>
        <v>28|29|30|31</v>
      </c>
      <c r="L780" s="18" t="str">
        <f>VLOOKUP(E780,各职业基础配置!B:C,2,FALSE)</f>
        <v>[{28,1,1},{29,1,1},{30,1,1},{31,1,1},{10,1,1},{11,1,1},{12,1,1}]</v>
      </c>
      <c r="M780" s="18">
        <v>0</v>
      </c>
      <c r="N780" s="18">
        <f t="shared" si="136"/>
        <v>3</v>
      </c>
      <c r="O780" s="18">
        <f>SUMPRODUCT(P780:AI780,Sheet2!$B$3:$U$3)</f>
        <v>54749</v>
      </c>
      <c r="P780" s="18">
        <f>CEILING(INDEX([1]系统模型!$VD:$VD,MATCH(C780,[1]系统模型!$A:$A,0))*POWER(C780/220,3.8)-50+(1000-A780),1)</f>
        <v>761</v>
      </c>
      <c r="Q780" s="18">
        <f>CEILING(INDEX([1]系统模型!$VE:$VE,MATCH(C780,[1]系统模型!$A:$A,0))*POWER(C780/220,4),1)</f>
        <v>64</v>
      </c>
      <c r="R780" s="18">
        <f>INT(INDEX([1]系统模型!$VF:$VF,MATCH(C780,[1]系统模型!$A:$A,0))*MAX(POWER(C780/180,4),0.5))</f>
        <v>7724</v>
      </c>
      <c r="S780" s="5">
        <v>1000</v>
      </c>
      <c r="T780" s="25">
        <v>0</v>
      </c>
      <c r="U780" s="25">
        <v>0</v>
      </c>
      <c r="V780" s="25">
        <v>0</v>
      </c>
      <c r="W780" s="25">
        <v>0</v>
      </c>
      <c r="X780" s="25">
        <f t="shared" si="137"/>
        <v>386</v>
      </c>
      <c r="Y780" s="12">
        <v>0</v>
      </c>
      <c r="Z780" s="25">
        <v>100</v>
      </c>
      <c r="AA780" s="25">
        <v>150</v>
      </c>
      <c r="AB780" s="25">
        <v>0</v>
      </c>
      <c r="AC780" s="25">
        <v>0</v>
      </c>
      <c r="AD780" s="25">
        <v>0</v>
      </c>
      <c r="AE780" s="25">
        <f t="shared" si="138"/>
        <v>268</v>
      </c>
      <c r="AF780" s="25">
        <f t="shared" si="139"/>
        <v>268</v>
      </c>
      <c r="AG780" s="25">
        <v>0</v>
      </c>
      <c r="AH780" s="25">
        <f t="shared" si="140"/>
        <v>1300</v>
      </c>
      <c r="AI780" s="25">
        <f t="shared" si="141"/>
        <v>10</v>
      </c>
      <c r="AJ780" s="25">
        <v>1</v>
      </c>
      <c r="AK780" s="25">
        <v>1000</v>
      </c>
      <c r="AL780" s="25">
        <v>100</v>
      </c>
      <c r="AM780" s="26">
        <v>10</v>
      </c>
      <c r="AN780" s="26">
        <v>10</v>
      </c>
      <c r="AO780" s="22" t="s">
        <v>2211</v>
      </c>
      <c r="AP780" s="26">
        <v>0</v>
      </c>
      <c r="AQ780" s="26">
        <f t="shared" si="142"/>
        <v>210</v>
      </c>
      <c r="AR780" s="18" t="str">
        <f ca="1">CONCATENATE(OFFSET(Sheet1!$A$2,RANDBETWEEN(2,500),0,1,1),OFFSET(Sheet1!$A$2,RANDBETWEEN(2,500),RANDBETWEEN(1,5),1,1))</f>
        <v>艾米丽</v>
      </c>
      <c r="AS780">
        <f>SUMPRODUCT(P780:AI780,Sheet2!$B$3:$U$3)</f>
        <v>54749</v>
      </c>
    </row>
    <row r="781" spans="1:45" x14ac:dyDescent="0.15">
      <c r="A781" s="23">
        <v>780</v>
      </c>
      <c r="B781" s="18" t="s">
        <v>2125</v>
      </c>
      <c r="C781" s="18">
        <f t="shared" si="132"/>
        <v>134</v>
      </c>
      <c r="D781" s="19">
        <f t="shared" si="133"/>
        <v>2</v>
      </c>
      <c r="E781" s="19">
        <f>VLOOKUP(MOD(A781,4),各职业基础配置!C$32:D$35,2,FALSE)</f>
        <v>1</v>
      </c>
      <c r="F781" s="19">
        <f>IF(A781&lt;900,INDEX(各职业基础配置!C$23:C$28,MOD(ROW(A781),4)+1),0)</f>
        <v>13</v>
      </c>
      <c r="G781" s="19">
        <f t="shared" si="134"/>
        <v>5</v>
      </c>
      <c r="H781" s="27">
        <f t="shared" si="135"/>
        <v>1</v>
      </c>
      <c r="I781" s="6" t="s">
        <v>164</v>
      </c>
      <c r="J781" s="23" t="str">
        <f>VLOOKUP(E781,各职业基础配置!$B$9:$C$12,2,FALSE)</f>
        <v>101|102|103|4201|105</v>
      </c>
      <c r="K781" s="18" t="str">
        <f>VLOOKUP(E781,各职业基础配置!$B$15:$C$18,2,FALSE)</f>
        <v>24|25|26|27</v>
      </c>
      <c r="L781" s="18" t="str">
        <f>VLOOKUP(E781,各职业基础配置!B:C,2,FALSE)</f>
        <v>[{24,1,1},{25,1,1},{26,1,1},{27,1,1},{1,1,1},{2,1,1},{3,1,1}]</v>
      </c>
      <c r="M781" s="18">
        <v>0</v>
      </c>
      <c r="N781" s="18">
        <f t="shared" si="136"/>
        <v>3</v>
      </c>
      <c r="O781" s="18">
        <f>SUMPRODUCT(P781:AI781,Sheet2!$B$3:$U$3)</f>
        <v>54724</v>
      </c>
      <c r="P781" s="18">
        <f>CEILING(INDEX([1]系统模型!$VD:$VD,MATCH(C781,[1]系统模型!$A:$A,0))*POWER(C781/220,3.8)-50+(1000-A781),1)</f>
        <v>760</v>
      </c>
      <c r="Q781" s="18">
        <f>CEILING(INDEX([1]系统模型!$VE:$VE,MATCH(C781,[1]系统模型!$A:$A,0))*POWER(C781/220,4),1)</f>
        <v>64</v>
      </c>
      <c r="R781" s="18">
        <f>INT(INDEX([1]系统模型!$VF:$VF,MATCH(C781,[1]系统模型!$A:$A,0))*MAX(POWER(C781/180,4),0.5))</f>
        <v>7724</v>
      </c>
      <c r="S781" s="5">
        <v>1000</v>
      </c>
      <c r="T781" s="25">
        <v>0</v>
      </c>
      <c r="U781" s="25">
        <v>0</v>
      </c>
      <c r="V781" s="25">
        <v>0</v>
      </c>
      <c r="W781" s="25">
        <v>0</v>
      </c>
      <c r="X781" s="25">
        <f t="shared" si="137"/>
        <v>386</v>
      </c>
      <c r="Y781" s="12">
        <v>0</v>
      </c>
      <c r="Z781" s="25">
        <v>100</v>
      </c>
      <c r="AA781" s="25">
        <v>150</v>
      </c>
      <c r="AB781" s="25">
        <v>0</v>
      </c>
      <c r="AC781" s="25">
        <v>0</v>
      </c>
      <c r="AD781" s="25">
        <v>0</v>
      </c>
      <c r="AE781" s="25">
        <f t="shared" si="138"/>
        <v>268</v>
      </c>
      <c r="AF781" s="25">
        <f t="shared" si="139"/>
        <v>268</v>
      </c>
      <c r="AG781" s="25">
        <v>0</v>
      </c>
      <c r="AH781" s="25">
        <f t="shared" si="140"/>
        <v>1300</v>
      </c>
      <c r="AI781" s="25">
        <f t="shared" si="141"/>
        <v>10</v>
      </c>
      <c r="AJ781" s="25">
        <v>1</v>
      </c>
      <c r="AK781" s="25">
        <v>1000</v>
      </c>
      <c r="AL781" s="25">
        <v>100</v>
      </c>
      <c r="AM781" s="26">
        <v>10</v>
      </c>
      <c r="AN781" s="26">
        <v>10</v>
      </c>
      <c r="AO781" s="22" t="s">
        <v>2211</v>
      </c>
      <c r="AP781" s="26">
        <v>0</v>
      </c>
      <c r="AQ781" s="26">
        <f t="shared" si="142"/>
        <v>210</v>
      </c>
      <c r="AR781" s="18" t="str">
        <f ca="1">CONCATENATE(OFFSET(Sheet1!$A$2,RANDBETWEEN(2,500),0,1,1),OFFSET(Sheet1!$A$2,RANDBETWEEN(2,500),RANDBETWEEN(1,5),1,1))</f>
        <v>休斯敦莉娜</v>
      </c>
      <c r="AS781">
        <f>SUMPRODUCT(P781:AI781,Sheet2!$B$3:$U$3)</f>
        <v>54724</v>
      </c>
    </row>
    <row r="782" spans="1:45" x14ac:dyDescent="0.15">
      <c r="A782" s="18">
        <v>781</v>
      </c>
      <c r="B782" s="18" t="s">
        <v>2055</v>
      </c>
      <c r="C782" s="18">
        <f t="shared" si="132"/>
        <v>134</v>
      </c>
      <c r="D782" s="19">
        <f t="shared" si="133"/>
        <v>3</v>
      </c>
      <c r="E782" s="19">
        <f>VLOOKUP(MOD(A782,4),各职业基础配置!C$32:D$35,2,FALSE)</f>
        <v>3</v>
      </c>
      <c r="F782" s="19">
        <f>IF(A782&lt;900,INDEX(各职业基础配置!C$23:C$28,MOD(ROW(A782),4)+1),0)</f>
        <v>14</v>
      </c>
      <c r="G782" s="19">
        <f t="shared" si="134"/>
        <v>5</v>
      </c>
      <c r="H782" s="27">
        <f t="shared" si="135"/>
        <v>1</v>
      </c>
      <c r="I782" s="6" t="s">
        <v>164</v>
      </c>
      <c r="J782" s="23" t="str">
        <f>VLOOKUP(E782,各职业基础配置!$B$9:$C$12,2,FALSE)</f>
        <v>106|107|108|4201|110</v>
      </c>
      <c r="K782" s="18" t="str">
        <f>VLOOKUP(E782,各职业基础配置!$B$15:$C$18,2,FALSE)</f>
        <v>20|21|22|23</v>
      </c>
      <c r="L782" s="18" t="str">
        <f>VLOOKUP(E782,各职业基础配置!B:C,2,FALSE)</f>
        <v>[{20,1,1},{21,1,1},{22,1,1},{23,1,1},{4,1,1},{5,1,1},{6,1,1}]</v>
      </c>
      <c r="M782" s="18">
        <v>0</v>
      </c>
      <c r="N782" s="18">
        <f t="shared" si="136"/>
        <v>7</v>
      </c>
      <c r="O782" s="18">
        <f>SUMPRODUCT(P782:AI782,Sheet2!$B$3:$U$3)</f>
        <v>54699</v>
      </c>
      <c r="P782" s="18">
        <f>CEILING(INDEX([1]系统模型!$VD:$VD,MATCH(C782,[1]系统模型!$A:$A,0))*POWER(C782/220,3.8)-50+(1000-A782),1)</f>
        <v>759</v>
      </c>
      <c r="Q782" s="18">
        <f>CEILING(INDEX([1]系统模型!$VE:$VE,MATCH(C782,[1]系统模型!$A:$A,0))*POWER(C782/220,4),1)</f>
        <v>64</v>
      </c>
      <c r="R782" s="18">
        <f>INT(INDEX([1]系统模型!$VF:$VF,MATCH(C782,[1]系统模型!$A:$A,0))*MAX(POWER(C782/180,4),0.5))</f>
        <v>7724</v>
      </c>
      <c r="S782" s="5">
        <v>1000</v>
      </c>
      <c r="T782" s="25">
        <v>0</v>
      </c>
      <c r="U782" s="25">
        <v>0</v>
      </c>
      <c r="V782" s="25">
        <v>0</v>
      </c>
      <c r="W782" s="25">
        <v>0</v>
      </c>
      <c r="X782" s="25">
        <f t="shared" si="137"/>
        <v>386</v>
      </c>
      <c r="Y782" s="12">
        <v>0</v>
      </c>
      <c r="Z782" s="25">
        <v>100</v>
      </c>
      <c r="AA782" s="25">
        <v>150</v>
      </c>
      <c r="AB782" s="25">
        <v>0</v>
      </c>
      <c r="AC782" s="25">
        <v>0</v>
      </c>
      <c r="AD782" s="25">
        <v>0</v>
      </c>
      <c r="AE782" s="25">
        <f t="shared" si="138"/>
        <v>268</v>
      </c>
      <c r="AF782" s="25">
        <f t="shared" si="139"/>
        <v>268</v>
      </c>
      <c r="AG782" s="25">
        <v>0</v>
      </c>
      <c r="AH782" s="25">
        <f t="shared" si="140"/>
        <v>1300</v>
      </c>
      <c r="AI782" s="25">
        <f t="shared" si="141"/>
        <v>10</v>
      </c>
      <c r="AJ782" s="25">
        <v>1</v>
      </c>
      <c r="AK782" s="25">
        <v>1000</v>
      </c>
      <c r="AL782" s="25">
        <v>100</v>
      </c>
      <c r="AM782" s="26">
        <v>10</v>
      </c>
      <c r="AN782" s="26">
        <v>10</v>
      </c>
      <c r="AO782" s="22" t="s">
        <v>2211</v>
      </c>
      <c r="AP782" s="26">
        <v>0</v>
      </c>
      <c r="AQ782" s="26">
        <f t="shared" si="142"/>
        <v>210</v>
      </c>
      <c r="AR782" s="18" t="str">
        <f ca="1">CONCATENATE(OFFSET(Sheet1!$A$2,RANDBETWEEN(2,500),0,1,1),OFFSET(Sheet1!$A$2,RANDBETWEEN(2,500),RANDBETWEEN(1,5),1,1))</f>
        <v>艾塞亚</v>
      </c>
      <c r="AS782">
        <f>SUMPRODUCT(P782:AI782,Sheet2!$B$3:$U$3)</f>
        <v>54699</v>
      </c>
    </row>
    <row r="783" spans="1:45" x14ac:dyDescent="0.15">
      <c r="A783" s="18">
        <v>782</v>
      </c>
      <c r="B783" s="18" t="s">
        <v>1326</v>
      </c>
      <c r="C783" s="18">
        <f t="shared" si="132"/>
        <v>134</v>
      </c>
      <c r="D783" s="19">
        <f t="shared" si="133"/>
        <v>2</v>
      </c>
      <c r="E783" s="19">
        <f>VLOOKUP(MOD(A783,4),各职业基础配置!C$32:D$35,2,FALSE)</f>
        <v>6</v>
      </c>
      <c r="F783" s="19">
        <f>IF(A783&lt;900,INDEX(各职业基础配置!C$23:C$28,MOD(ROW(A783),4)+1),0)</f>
        <v>16</v>
      </c>
      <c r="G783" s="19">
        <f t="shared" si="134"/>
        <v>5</v>
      </c>
      <c r="H783" s="27">
        <f t="shared" si="135"/>
        <v>1</v>
      </c>
      <c r="I783" s="6" t="s">
        <v>164</v>
      </c>
      <c r="J783" s="23" t="str">
        <f>VLOOKUP(E783,各职业基础配置!$B$9:$C$12,2,FALSE)</f>
        <v>111|112|113|4201|115</v>
      </c>
      <c r="K783" s="18" t="str">
        <f>VLOOKUP(E783,各职业基础配置!$B$15:$C$18,2,FALSE)</f>
        <v>32|33|34</v>
      </c>
      <c r="L783" s="18" t="str">
        <f>VLOOKUP(E783,各职业基础配置!B:C,2,FALSE)</f>
        <v>[{32,1,1},{33,1,1},{34,1,1},{35,1,1},{7,1,1},{8,1,1},{9,1,1}]</v>
      </c>
      <c r="M783" s="18">
        <v>0</v>
      </c>
      <c r="N783" s="18">
        <f t="shared" si="136"/>
        <v>7</v>
      </c>
      <c r="O783" s="18">
        <f>SUMPRODUCT(P783:AI783,Sheet2!$B$3:$U$3)</f>
        <v>54674</v>
      </c>
      <c r="P783" s="18">
        <f>CEILING(INDEX([1]系统模型!$VD:$VD,MATCH(C783,[1]系统模型!$A:$A,0))*POWER(C783/220,3.8)-50+(1000-A783),1)</f>
        <v>758</v>
      </c>
      <c r="Q783" s="18">
        <f>CEILING(INDEX([1]系统模型!$VE:$VE,MATCH(C783,[1]系统模型!$A:$A,0))*POWER(C783/220,4),1)</f>
        <v>64</v>
      </c>
      <c r="R783" s="18">
        <f>INT(INDEX([1]系统模型!$VF:$VF,MATCH(C783,[1]系统模型!$A:$A,0))*MAX(POWER(C783/180,4),0.5))</f>
        <v>7724</v>
      </c>
      <c r="S783" s="5">
        <v>1000</v>
      </c>
      <c r="T783" s="25">
        <v>0</v>
      </c>
      <c r="U783" s="25">
        <v>0</v>
      </c>
      <c r="V783" s="25">
        <v>0</v>
      </c>
      <c r="W783" s="25">
        <v>0</v>
      </c>
      <c r="X783" s="25">
        <f t="shared" si="137"/>
        <v>386</v>
      </c>
      <c r="Y783" s="12">
        <v>0</v>
      </c>
      <c r="Z783" s="25">
        <v>100</v>
      </c>
      <c r="AA783" s="25">
        <v>150</v>
      </c>
      <c r="AB783" s="25">
        <v>0</v>
      </c>
      <c r="AC783" s="25">
        <v>0</v>
      </c>
      <c r="AD783" s="25">
        <v>0</v>
      </c>
      <c r="AE783" s="25">
        <f t="shared" si="138"/>
        <v>268</v>
      </c>
      <c r="AF783" s="25">
        <f t="shared" si="139"/>
        <v>268</v>
      </c>
      <c r="AG783" s="25">
        <v>0</v>
      </c>
      <c r="AH783" s="25">
        <f t="shared" si="140"/>
        <v>1300</v>
      </c>
      <c r="AI783" s="25">
        <f t="shared" si="141"/>
        <v>10</v>
      </c>
      <c r="AJ783" s="25">
        <v>1</v>
      </c>
      <c r="AK783" s="25">
        <v>1000</v>
      </c>
      <c r="AL783" s="25">
        <v>100</v>
      </c>
      <c r="AM783" s="26">
        <v>10</v>
      </c>
      <c r="AN783" s="26">
        <v>10</v>
      </c>
      <c r="AO783" s="22" t="s">
        <v>2211</v>
      </c>
      <c r="AP783" s="26">
        <v>0</v>
      </c>
      <c r="AQ783" s="26">
        <f t="shared" si="142"/>
        <v>210</v>
      </c>
      <c r="AR783" s="18" t="str">
        <f ca="1">CONCATENATE(OFFSET(Sheet1!$A$2,RANDBETWEEN(2,500),0,1,1),OFFSET(Sheet1!$A$2,RANDBETWEEN(2,500),RANDBETWEEN(1,5),1,1))</f>
        <v>哈维潘妮</v>
      </c>
      <c r="AS783">
        <f>SUMPRODUCT(P783:AI783,Sheet2!$B$3:$U$3)</f>
        <v>54674</v>
      </c>
    </row>
    <row r="784" spans="1:45" x14ac:dyDescent="0.15">
      <c r="A784" s="23">
        <v>783</v>
      </c>
      <c r="B784" s="18" t="s">
        <v>1346</v>
      </c>
      <c r="C784" s="18">
        <f t="shared" si="132"/>
        <v>134</v>
      </c>
      <c r="D784" s="19">
        <f t="shared" si="133"/>
        <v>3</v>
      </c>
      <c r="E784" s="19">
        <f>VLOOKUP(MOD(A784,4),各职业基础配置!C$32:D$35,2,FALSE)</f>
        <v>9</v>
      </c>
      <c r="F784" s="19">
        <f>IF(A784&lt;900,INDEX(各职业基础配置!C$23:C$28,MOD(ROW(A784),4)+1),0)</f>
        <v>8</v>
      </c>
      <c r="G784" s="19">
        <f t="shared" si="134"/>
        <v>5</v>
      </c>
      <c r="H784" s="27">
        <f t="shared" si="135"/>
        <v>1</v>
      </c>
      <c r="I784" s="6" t="s">
        <v>164</v>
      </c>
      <c r="J784" s="23" t="str">
        <f>VLOOKUP(E784,各职业基础配置!$B$9:$C$12,2,FALSE)</f>
        <v>116|117|118|4201|120</v>
      </c>
      <c r="K784" s="18" t="str">
        <f>VLOOKUP(E784,各职业基础配置!$B$15:$C$18,2,FALSE)</f>
        <v>28|29|30|31</v>
      </c>
      <c r="L784" s="18" t="str">
        <f>VLOOKUP(E784,各职业基础配置!B:C,2,FALSE)</f>
        <v>[{28,1,1},{29,1,1},{30,1,1},{31,1,1},{10,1,1},{11,1,1},{12,1,1}]</v>
      </c>
      <c r="M784" s="18">
        <v>0</v>
      </c>
      <c r="N784" s="18">
        <f t="shared" si="136"/>
        <v>3</v>
      </c>
      <c r="O784" s="18">
        <f>SUMPRODUCT(P784:AI784,Sheet2!$B$3:$U$3)</f>
        <v>54649</v>
      </c>
      <c r="P784" s="18">
        <f>CEILING(INDEX([1]系统模型!$VD:$VD,MATCH(C784,[1]系统模型!$A:$A,0))*POWER(C784/220,3.8)-50+(1000-A784),1)</f>
        <v>757</v>
      </c>
      <c r="Q784" s="18">
        <f>CEILING(INDEX([1]系统模型!$VE:$VE,MATCH(C784,[1]系统模型!$A:$A,0))*POWER(C784/220,4),1)</f>
        <v>64</v>
      </c>
      <c r="R784" s="18">
        <f>INT(INDEX([1]系统模型!$VF:$VF,MATCH(C784,[1]系统模型!$A:$A,0))*MAX(POWER(C784/180,4),0.5))</f>
        <v>7724</v>
      </c>
      <c r="S784" s="5">
        <v>1000</v>
      </c>
      <c r="T784" s="25">
        <v>0</v>
      </c>
      <c r="U784" s="25">
        <v>0</v>
      </c>
      <c r="V784" s="25">
        <v>0</v>
      </c>
      <c r="W784" s="25">
        <v>0</v>
      </c>
      <c r="X784" s="25">
        <f t="shared" si="137"/>
        <v>386</v>
      </c>
      <c r="Y784" s="12">
        <v>0</v>
      </c>
      <c r="Z784" s="25">
        <v>100</v>
      </c>
      <c r="AA784" s="25">
        <v>150</v>
      </c>
      <c r="AB784" s="25">
        <v>0</v>
      </c>
      <c r="AC784" s="25">
        <v>0</v>
      </c>
      <c r="AD784" s="25">
        <v>0</v>
      </c>
      <c r="AE784" s="25">
        <f t="shared" si="138"/>
        <v>268</v>
      </c>
      <c r="AF784" s="25">
        <f t="shared" si="139"/>
        <v>268</v>
      </c>
      <c r="AG784" s="25">
        <v>0</v>
      </c>
      <c r="AH784" s="25">
        <f t="shared" si="140"/>
        <v>1300</v>
      </c>
      <c r="AI784" s="25">
        <f t="shared" si="141"/>
        <v>10</v>
      </c>
      <c r="AJ784" s="25">
        <v>1</v>
      </c>
      <c r="AK784" s="25">
        <v>1000</v>
      </c>
      <c r="AL784" s="25">
        <v>100</v>
      </c>
      <c r="AM784" s="26">
        <v>10</v>
      </c>
      <c r="AN784" s="26">
        <v>10</v>
      </c>
      <c r="AO784" s="22" t="s">
        <v>2211</v>
      </c>
      <c r="AP784" s="26">
        <v>0</v>
      </c>
      <c r="AQ784" s="26">
        <f t="shared" si="142"/>
        <v>210</v>
      </c>
      <c r="AR784" s="18" t="str">
        <f ca="1">CONCATENATE(OFFSET(Sheet1!$A$2,RANDBETWEEN(2,500),0,1,1),OFFSET(Sheet1!$A$2,RANDBETWEEN(2,500),RANDBETWEEN(1,5),1,1))</f>
        <v>杰里米啊绫</v>
      </c>
      <c r="AS784">
        <f>SUMPRODUCT(P784:AI784,Sheet2!$B$3:$U$3)</f>
        <v>54649</v>
      </c>
    </row>
    <row r="785" spans="1:45" x14ac:dyDescent="0.15">
      <c r="A785" s="18">
        <v>784</v>
      </c>
      <c r="B785" s="18" t="s">
        <v>279</v>
      </c>
      <c r="C785" s="18">
        <f t="shared" si="132"/>
        <v>133</v>
      </c>
      <c r="D785" s="19">
        <f t="shared" si="133"/>
        <v>2</v>
      </c>
      <c r="E785" s="19">
        <f>VLOOKUP(MOD(A785,4),各职业基础配置!C$32:D$35,2,FALSE)</f>
        <v>1</v>
      </c>
      <c r="F785" s="19">
        <f>IF(A785&lt;900,INDEX(各职业基础配置!C$23:C$28,MOD(ROW(A785),4)+1),0)</f>
        <v>13</v>
      </c>
      <c r="G785" s="19">
        <f t="shared" si="134"/>
        <v>5</v>
      </c>
      <c r="H785" s="27">
        <f t="shared" si="135"/>
        <v>1</v>
      </c>
      <c r="I785" s="6" t="s">
        <v>164</v>
      </c>
      <c r="J785" s="23" t="str">
        <f>VLOOKUP(E785,各职业基础配置!$B$9:$C$12,2,FALSE)</f>
        <v>101|102|103|4201|105</v>
      </c>
      <c r="K785" s="18" t="str">
        <f>VLOOKUP(E785,各职业基础配置!$B$15:$C$18,2,FALSE)</f>
        <v>24|25|26|27</v>
      </c>
      <c r="L785" s="18" t="str">
        <f>VLOOKUP(E785,各职业基础配置!B:C,2,FALSE)</f>
        <v>[{24,1,1},{25,1,1},{26,1,1},{27,1,1},{1,1,1},{2,1,1},{3,1,1}]</v>
      </c>
      <c r="M785" s="18">
        <v>0</v>
      </c>
      <c r="N785" s="18">
        <f t="shared" si="136"/>
        <v>3</v>
      </c>
      <c r="O785" s="18">
        <f>SUMPRODUCT(P785:AI785,Sheet2!$B$3:$U$3)</f>
        <v>53223</v>
      </c>
      <c r="P785" s="18">
        <f>CEILING(INDEX([1]系统模型!$VD:$VD,MATCH(C785,[1]系统模型!$A:$A,0))*POWER(C785/220,3.8)-50+(1000-A785),1)</f>
        <v>726</v>
      </c>
      <c r="Q785" s="18">
        <f>CEILING(INDEX([1]系统模型!$VE:$VE,MATCH(C785,[1]系统模型!$A:$A,0))*POWER(C785/220,4),1)</f>
        <v>61</v>
      </c>
      <c r="R785" s="18">
        <f>INT(INDEX([1]系统模型!$VF:$VF,MATCH(C785,[1]系统模型!$A:$A,0))*MAX(POWER(C785/180,4),0.5))</f>
        <v>7648</v>
      </c>
      <c r="S785" s="5">
        <v>1000</v>
      </c>
      <c r="T785" s="25">
        <v>0</v>
      </c>
      <c r="U785" s="25">
        <v>0</v>
      </c>
      <c r="V785" s="25">
        <v>0</v>
      </c>
      <c r="W785" s="25">
        <v>0</v>
      </c>
      <c r="X785" s="25">
        <f t="shared" si="137"/>
        <v>382</v>
      </c>
      <c r="Y785" s="12">
        <v>0</v>
      </c>
      <c r="Z785" s="25">
        <v>100</v>
      </c>
      <c r="AA785" s="25">
        <v>150</v>
      </c>
      <c r="AB785" s="25">
        <v>0</v>
      </c>
      <c r="AC785" s="25">
        <v>0</v>
      </c>
      <c r="AD785" s="25">
        <v>0</v>
      </c>
      <c r="AE785" s="25">
        <f t="shared" si="138"/>
        <v>266</v>
      </c>
      <c r="AF785" s="25">
        <f t="shared" si="139"/>
        <v>266</v>
      </c>
      <c r="AG785" s="25">
        <v>0</v>
      </c>
      <c r="AH785" s="25">
        <f t="shared" si="140"/>
        <v>1225</v>
      </c>
      <c r="AI785" s="25">
        <f t="shared" si="141"/>
        <v>9</v>
      </c>
      <c r="AJ785" s="25">
        <v>1</v>
      </c>
      <c r="AK785" s="25">
        <v>1000</v>
      </c>
      <c r="AL785" s="25">
        <v>100</v>
      </c>
      <c r="AM785" s="26">
        <v>10</v>
      </c>
      <c r="AN785" s="26">
        <v>10</v>
      </c>
      <c r="AO785" s="22" t="s">
        <v>2211</v>
      </c>
      <c r="AP785" s="26">
        <v>0</v>
      </c>
      <c r="AQ785" s="26">
        <f t="shared" si="142"/>
        <v>210</v>
      </c>
      <c r="AR785" s="18" t="str">
        <f ca="1">CONCATENATE(OFFSET(Sheet1!$A$2,RANDBETWEEN(2,500),0,1,1),OFFSET(Sheet1!$A$2,RANDBETWEEN(2,500),RANDBETWEEN(1,5),1,1))</f>
        <v>巴塞洛缪卑弥呼</v>
      </c>
      <c r="AS785">
        <f>SUMPRODUCT(P785:AI785,Sheet2!$B$3:$U$3)</f>
        <v>53223</v>
      </c>
    </row>
    <row r="786" spans="1:45" x14ac:dyDescent="0.15">
      <c r="A786" s="18">
        <v>785</v>
      </c>
      <c r="B786" s="18" t="s">
        <v>195</v>
      </c>
      <c r="C786" s="18">
        <f t="shared" si="132"/>
        <v>133</v>
      </c>
      <c r="D786" s="19">
        <f t="shared" si="133"/>
        <v>3</v>
      </c>
      <c r="E786" s="19">
        <f>VLOOKUP(MOD(A786,4),各职业基础配置!C$32:D$35,2,FALSE)</f>
        <v>3</v>
      </c>
      <c r="F786" s="19">
        <f>IF(A786&lt;900,INDEX(各职业基础配置!C$23:C$28,MOD(ROW(A786),4)+1),0)</f>
        <v>14</v>
      </c>
      <c r="G786" s="19">
        <f t="shared" si="134"/>
        <v>5</v>
      </c>
      <c r="H786" s="27">
        <f t="shared" si="135"/>
        <v>1</v>
      </c>
      <c r="I786" s="6" t="s">
        <v>164</v>
      </c>
      <c r="J786" s="23" t="str">
        <f>VLOOKUP(E786,各职业基础配置!$B$9:$C$12,2,FALSE)</f>
        <v>106|107|108|4201|110</v>
      </c>
      <c r="K786" s="18" t="str">
        <f>VLOOKUP(E786,各职业基础配置!$B$15:$C$18,2,FALSE)</f>
        <v>20|21|22|23</v>
      </c>
      <c r="L786" s="18" t="str">
        <f>VLOOKUP(E786,各职业基础配置!B:C,2,FALSE)</f>
        <v>[{20,1,1},{21,1,1},{22,1,1},{23,1,1},{4,1,1},{5,1,1},{6,1,1}]</v>
      </c>
      <c r="M786" s="18">
        <v>0</v>
      </c>
      <c r="N786" s="18">
        <f t="shared" si="136"/>
        <v>7</v>
      </c>
      <c r="O786" s="18">
        <f>SUMPRODUCT(P786:AI786,Sheet2!$B$3:$U$3)</f>
        <v>53198</v>
      </c>
      <c r="P786" s="18">
        <f>CEILING(INDEX([1]系统模型!$VD:$VD,MATCH(C786,[1]系统模型!$A:$A,0))*POWER(C786/220,3.8)-50+(1000-A786),1)</f>
        <v>725</v>
      </c>
      <c r="Q786" s="18">
        <f>CEILING(INDEX([1]系统模型!$VE:$VE,MATCH(C786,[1]系统模型!$A:$A,0))*POWER(C786/220,4),1)</f>
        <v>61</v>
      </c>
      <c r="R786" s="18">
        <f>INT(INDEX([1]系统模型!$VF:$VF,MATCH(C786,[1]系统模型!$A:$A,0))*MAX(POWER(C786/180,4),0.5))</f>
        <v>7648</v>
      </c>
      <c r="S786" s="5">
        <v>1000</v>
      </c>
      <c r="T786" s="25">
        <v>0</v>
      </c>
      <c r="U786" s="25">
        <v>0</v>
      </c>
      <c r="V786" s="25">
        <v>0</v>
      </c>
      <c r="W786" s="25">
        <v>0</v>
      </c>
      <c r="X786" s="25">
        <f t="shared" si="137"/>
        <v>382</v>
      </c>
      <c r="Y786" s="12">
        <v>0</v>
      </c>
      <c r="Z786" s="25">
        <v>100</v>
      </c>
      <c r="AA786" s="25">
        <v>150</v>
      </c>
      <c r="AB786" s="25">
        <v>0</v>
      </c>
      <c r="AC786" s="25">
        <v>0</v>
      </c>
      <c r="AD786" s="25">
        <v>0</v>
      </c>
      <c r="AE786" s="25">
        <f t="shared" si="138"/>
        <v>266</v>
      </c>
      <c r="AF786" s="25">
        <f t="shared" si="139"/>
        <v>266</v>
      </c>
      <c r="AG786" s="25">
        <v>0</v>
      </c>
      <c r="AH786" s="25">
        <f t="shared" si="140"/>
        <v>1225</v>
      </c>
      <c r="AI786" s="25">
        <f t="shared" si="141"/>
        <v>9</v>
      </c>
      <c r="AJ786" s="25">
        <v>1</v>
      </c>
      <c r="AK786" s="25">
        <v>1000</v>
      </c>
      <c r="AL786" s="25">
        <v>100</v>
      </c>
      <c r="AM786" s="26">
        <v>10</v>
      </c>
      <c r="AN786" s="26">
        <v>10</v>
      </c>
      <c r="AO786" s="22" t="s">
        <v>2211</v>
      </c>
      <c r="AP786" s="26">
        <v>0</v>
      </c>
      <c r="AQ786" s="26">
        <f t="shared" si="142"/>
        <v>200</v>
      </c>
      <c r="AR786" s="18" t="str">
        <f ca="1">CONCATENATE(OFFSET(Sheet1!$A$2,RANDBETWEEN(2,500),0,1,1),OFFSET(Sheet1!$A$2,RANDBETWEEN(2,500),RANDBETWEEN(1,5),1,1))</f>
        <v>阿拉贝拉</v>
      </c>
      <c r="AS786">
        <f>SUMPRODUCT(P786:AI786,Sheet2!$B$3:$U$3)</f>
        <v>53198</v>
      </c>
    </row>
    <row r="787" spans="1:45" x14ac:dyDescent="0.15">
      <c r="A787" s="23">
        <v>786</v>
      </c>
      <c r="B787" s="18" t="s">
        <v>447</v>
      </c>
      <c r="C787" s="18">
        <f t="shared" si="132"/>
        <v>133</v>
      </c>
      <c r="D787" s="19">
        <f t="shared" si="133"/>
        <v>2</v>
      </c>
      <c r="E787" s="19">
        <f>VLOOKUP(MOD(A787,4),各职业基础配置!C$32:D$35,2,FALSE)</f>
        <v>6</v>
      </c>
      <c r="F787" s="19">
        <f>IF(A787&lt;900,INDEX(各职业基础配置!C$23:C$28,MOD(ROW(A787),4)+1),0)</f>
        <v>16</v>
      </c>
      <c r="G787" s="19">
        <f t="shared" si="134"/>
        <v>5</v>
      </c>
      <c r="H787" s="27">
        <f t="shared" si="135"/>
        <v>1</v>
      </c>
      <c r="I787" s="6" t="s">
        <v>164</v>
      </c>
      <c r="J787" s="23" t="str">
        <f>VLOOKUP(E787,各职业基础配置!$B$9:$C$12,2,FALSE)</f>
        <v>111|112|113|4201|115</v>
      </c>
      <c r="K787" s="18" t="str">
        <f>VLOOKUP(E787,各职业基础配置!$B$15:$C$18,2,FALSE)</f>
        <v>32|33|34</v>
      </c>
      <c r="L787" s="18" t="str">
        <f>VLOOKUP(E787,各职业基础配置!B:C,2,FALSE)</f>
        <v>[{32,1,1},{33,1,1},{34,1,1},{35,1,1},{7,1,1},{8,1,1},{9,1,1}]</v>
      </c>
      <c r="M787" s="18">
        <v>0</v>
      </c>
      <c r="N787" s="18">
        <f t="shared" si="136"/>
        <v>7</v>
      </c>
      <c r="O787" s="18">
        <f>SUMPRODUCT(P787:AI787,Sheet2!$B$3:$U$3)</f>
        <v>53173</v>
      </c>
      <c r="P787" s="18">
        <f>CEILING(INDEX([1]系统模型!$VD:$VD,MATCH(C787,[1]系统模型!$A:$A,0))*POWER(C787/220,3.8)-50+(1000-A787),1)</f>
        <v>724</v>
      </c>
      <c r="Q787" s="18">
        <f>CEILING(INDEX([1]系统模型!$VE:$VE,MATCH(C787,[1]系统模型!$A:$A,0))*POWER(C787/220,4),1)</f>
        <v>61</v>
      </c>
      <c r="R787" s="18">
        <f>INT(INDEX([1]系统模型!$VF:$VF,MATCH(C787,[1]系统模型!$A:$A,0))*MAX(POWER(C787/180,4),0.5))</f>
        <v>7648</v>
      </c>
      <c r="S787" s="5">
        <v>1000</v>
      </c>
      <c r="T787" s="25">
        <v>0</v>
      </c>
      <c r="U787" s="25">
        <v>0</v>
      </c>
      <c r="V787" s="25">
        <v>0</v>
      </c>
      <c r="W787" s="25">
        <v>0</v>
      </c>
      <c r="X787" s="25">
        <f t="shared" si="137"/>
        <v>382</v>
      </c>
      <c r="Y787" s="12">
        <v>0</v>
      </c>
      <c r="Z787" s="25">
        <v>100</v>
      </c>
      <c r="AA787" s="25">
        <v>150</v>
      </c>
      <c r="AB787" s="25">
        <v>0</v>
      </c>
      <c r="AC787" s="25">
        <v>0</v>
      </c>
      <c r="AD787" s="25">
        <v>0</v>
      </c>
      <c r="AE787" s="25">
        <f t="shared" si="138"/>
        <v>266</v>
      </c>
      <c r="AF787" s="25">
        <f t="shared" si="139"/>
        <v>266</v>
      </c>
      <c r="AG787" s="25">
        <v>0</v>
      </c>
      <c r="AH787" s="25">
        <f t="shared" si="140"/>
        <v>1225</v>
      </c>
      <c r="AI787" s="25">
        <f t="shared" si="141"/>
        <v>9</v>
      </c>
      <c r="AJ787" s="25">
        <v>1</v>
      </c>
      <c r="AK787" s="25">
        <v>1000</v>
      </c>
      <c r="AL787" s="25">
        <v>100</v>
      </c>
      <c r="AM787" s="26">
        <v>10</v>
      </c>
      <c r="AN787" s="26">
        <v>10</v>
      </c>
      <c r="AO787" s="22" t="s">
        <v>2211</v>
      </c>
      <c r="AP787" s="26">
        <v>0</v>
      </c>
      <c r="AQ787" s="26">
        <f t="shared" si="142"/>
        <v>200</v>
      </c>
      <c r="AR787" s="18" t="str">
        <f ca="1">CONCATENATE(OFFSET(Sheet1!$A$2,RANDBETWEEN(2,500),0,1,1),OFFSET(Sheet1!$A$2,RANDBETWEEN(2,500),RANDBETWEEN(1,5),1,1))</f>
        <v>本尼迪克特茉莉</v>
      </c>
      <c r="AS787">
        <f>SUMPRODUCT(P787:AI787,Sheet2!$B$3:$U$3)</f>
        <v>53173</v>
      </c>
    </row>
    <row r="788" spans="1:45" x14ac:dyDescent="0.15">
      <c r="A788" s="18">
        <v>787</v>
      </c>
      <c r="B788" s="18" t="s">
        <v>964</v>
      </c>
      <c r="C788" s="18">
        <f t="shared" si="132"/>
        <v>133</v>
      </c>
      <c r="D788" s="19">
        <f t="shared" si="133"/>
        <v>3</v>
      </c>
      <c r="E788" s="19">
        <f>VLOOKUP(MOD(A788,4),各职业基础配置!C$32:D$35,2,FALSE)</f>
        <v>9</v>
      </c>
      <c r="F788" s="19">
        <f>IF(A788&lt;900,INDEX(各职业基础配置!C$23:C$28,MOD(ROW(A788),4)+1),0)</f>
        <v>8</v>
      </c>
      <c r="G788" s="19">
        <f t="shared" si="134"/>
        <v>5</v>
      </c>
      <c r="H788" s="27">
        <f t="shared" si="135"/>
        <v>1</v>
      </c>
      <c r="I788" s="6" t="s">
        <v>164</v>
      </c>
      <c r="J788" s="23" t="str">
        <f>VLOOKUP(E788,各职业基础配置!$B$9:$C$12,2,FALSE)</f>
        <v>116|117|118|4201|120</v>
      </c>
      <c r="K788" s="18" t="str">
        <f>VLOOKUP(E788,各职业基础配置!$B$15:$C$18,2,FALSE)</f>
        <v>28|29|30|31</v>
      </c>
      <c r="L788" s="18" t="str">
        <f>VLOOKUP(E788,各职业基础配置!B:C,2,FALSE)</f>
        <v>[{28,1,1},{29,1,1},{30,1,1},{31,1,1},{10,1,1},{11,1,1},{12,1,1}]</v>
      </c>
      <c r="M788" s="18">
        <v>0</v>
      </c>
      <c r="N788" s="18">
        <f t="shared" si="136"/>
        <v>3</v>
      </c>
      <c r="O788" s="18">
        <f>SUMPRODUCT(P788:AI788,Sheet2!$B$3:$U$3)</f>
        <v>53148</v>
      </c>
      <c r="P788" s="18">
        <f>CEILING(INDEX([1]系统模型!$VD:$VD,MATCH(C788,[1]系统模型!$A:$A,0))*POWER(C788/220,3.8)-50+(1000-A788),1)</f>
        <v>723</v>
      </c>
      <c r="Q788" s="18">
        <f>CEILING(INDEX([1]系统模型!$VE:$VE,MATCH(C788,[1]系统模型!$A:$A,0))*POWER(C788/220,4),1)</f>
        <v>61</v>
      </c>
      <c r="R788" s="18">
        <f>INT(INDEX([1]系统模型!$VF:$VF,MATCH(C788,[1]系统模型!$A:$A,0))*MAX(POWER(C788/180,4),0.5))</f>
        <v>7648</v>
      </c>
      <c r="S788" s="5">
        <v>1000</v>
      </c>
      <c r="T788" s="25">
        <v>0</v>
      </c>
      <c r="U788" s="25">
        <v>0</v>
      </c>
      <c r="V788" s="25">
        <v>0</v>
      </c>
      <c r="W788" s="25">
        <v>0</v>
      </c>
      <c r="X788" s="25">
        <f t="shared" si="137"/>
        <v>382</v>
      </c>
      <c r="Y788" s="12">
        <v>0</v>
      </c>
      <c r="Z788" s="25">
        <v>100</v>
      </c>
      <c r="AA788" s="25">
        <v>150</v>
      </c>
      <c r="AB788" s="25">
        <v>0</v>
      </c>
      <c r="AC788" s="25">
        <v>0</v>
      </c>
      <c r="AD788" s="25">
        <v>0</v>
      </c>
      <c r="AE788" s="25">
        <f t="shared" si="138"/>
        <v>266</v>
      </c>
      <c r="AF788" s="25">
        <f t="shared" si="139"/>
        <v>266</v>
      </c>
      <c r="AG788" s="25">
        <v>0</v>
      </c>
      <c r="AH788" s="25">
        <f t="shared" si="140"/>
        <v>1225</v>
      </c>
      <c r="AI788" s="25">
        <f t="shared" si="141"/>
        <v>9</v>
      </c>
      <c r="AJ788" s="25">
        <v>1</v>
      </c>
      <c r="AK788" s="25">
        <v>1000</v>
      </c>
      <c r="AL788" s="25">
        <v>100</v>
      </c>
      <c r="AM788" s="26">
        <v>10</v>
      </c>
      <c r="AN788" s="26">
        <v>10</v>
      </c>
      <c r="AO788" s="22" t="s">
        <v>2211</v>
      </c>
      <c r="AP788" s="26">
        <v>0</v>
      </c>
      <c r="AQ788" s="26">
        <f t="shared" si="142"/>
        <v>200</v>
      </c>
      <c r="AR788" s="18" t="str">
        <f ca="1">CONCATENATE(OFFSET(Sheet1!$A$2,RANDBETWEEN(2,500),0,1,1),OFFSET(Sheet1!$A$2,RANDBETWEEN(2,500),RANDBETWEEN(1,5),1,1))</f>
        <v>格兰瑟姆潼恩</v>
      </c>
      <c r="AS788">
        <f>SUMPRODUCT(P788:AI788,Sheet2!$B$3:$U$3)</f>
        <v>53148</v>
      </c>
    </row>
    <row r="789" spans="1:45" x14ac:dyDescent="0.15">
      <c r="A789" s="18">
        <v>788</v>
      </c>
      <c r="B789" s="18" t="s">
        <v>2126</v>
      </c>
      <c r="C789" s="18">
        <f t="shared" si="132"/>
        <v>133</v>
      </c>
      <c r="D789" s="19">
        <f t="shared" si="133"/>
        <v>2</v>
      </c>
      <c r="E789" s="19">
        <f>VLOOKUP(MOD(A789,4),各职业基础配置!C$32:D$35,2,FALSE)</f>
        <v>1</v>
      </c>
      <c r="F789" s="19">
        <f>IF(A789&lt;900,INDEX(各职业基础配置!C$23:C$28,MOD(ROW(A789),4)+1),0)</f>
        <v>13</v>
      </c>
      <c r="G789" s="19">
        <f t="shared" si="134"/>
        <v>5</v>
      </c>
      <c r="H789" s="27">
        <f t="shared" si="135"/>
        <v>1</v>
      </c>
      <c r="I789" s="6" t="s">
        <v>164</v>
      </c>
      <c r="J789" s="23" t="str">
        <f>VLOOKUP(E789,各职业基础配置!$B$9:$C$12,2,FALSE)</f>
        <v>101|102|103|4201|105</v>
      </c>
      <c r="K789" s="18" t="str">
        <f>VLOOKUP(E789,各职业基础配置!$B$15:$C$18,2,FALSE)</f>
        <v>24|25|26|27</v>
      </c>
      <c r="L789" s="18" t="str">
        <f>VLOOKUP(E789,各职业基础配置!B:C,2,FALSE)</f>
        <v>[{24,1,1},{25,1,1},{26,1,1},{27,1,1},{1,1,1},{2,1,1},{3,1,1}]</v>
      </c>
      <c r="M789" s="18">
        <v>0</v>
      </c>
      <c r="N789" s="18">
        <f t="shared" si="136"/>
        <v>3</v>
      </c>
      <c r="O789" s="18">
        <f>SUMPRODUCT(P789:AI789,Sheet2!$B$3:$U$3)</f>
        <v>53123</v>
      </c>
      <c r="P789" s="18">
        <f>CEILING(INDEX([1]系统模型!$VD:$VD,MATCH(C789,[1]系统模型!$A:$A,0))*POWER(C789/220,3.8)-50+(1000-A789),1)</f>
        <v>722</v>
      </c>
      <c r="Q789" s="18">
        <f>CEILING(INDEX([1]系统模型!$VE:$VE,MATCH(C789,[1]系统模型!$A:$A,0))*POWER(C789/220,4),1)</f>
        <v>61</v>
      </c>
      <c r="R789" s="18">
        <f>INT(INDEX([1]系统模型!$VF:$VF,MATCH(C789,[1]系统模型!$A:$A,0))*MAX(POWER(C789/180,4),0.5))</f>
        <v>7648</v>
      </c>
      <c r="S789" s="5">
        <v>1000</v>
      </c>
      <c r="T789" s="25">
        <v>0</v>
      </c>
      <c r="U789" s="25">
        <v>0</v>
      </c>
      <c r="V789" s="25">
        <v>0</v>
      </c>
      <c r="W789" s="25">
        <v>0</v>
      </c>
      <c r="X789" s="25">
        <f t="shared" si="137"/>
        <v>382</v>
      </c>
      <c r="Y789" s="12">
        <v>0</v>
      </c>
      <c r="Z789" s="25">
        <v>100</v>
      </c>
      <c r="AA789" s="25">
        <v>150</v>
      </c>
      <c r="AB789" s="25">
        <v>0</v>
      </c>
      <c r="AC789" s="25">
        <v>0</v>
      </c>
      <c r="AD789" s="25">
        <v>0</v>
      </c>
      <c r="AE789" s="25">
        <f t="shared" si="138"/>
        <v>266</v>
      </c>
      <c r="AF789" s="25">
        <f t="shared" si="139"/>
        <v>266</v>
      </c>
      <c r="AG789" s="25">
        <v>0</v>
      </c>
      <c r="AH789" s="25">
        <f t="shared" si="140"/>
        <v>1225</v>
      </c>
      <c r="AI789" s="25">
        <f t="shared" si="141"/>
        <v>9</v>
      </c>
      <c r="AJ789" s="25">
        <v>1</v>
      </c>
      <c r="AK789" s="25">
        <v>1000</v>
      </c>
      <c r="AL789" s="25">
        <v>100</v>
      </c>
      <c r="AM789" s="26">
        <v>10</v>
      </c>
      <c r="AN789" s="26">
        <v>10</v>
      </c>
      <c r="AO789" s="22" t="s">
        <v>2211</v>
      </c>
      <c r="AP789" s="26">
        <v>0</v>
      </c>
      <c r="AQ789" s="26">
        <f t="shared" si="142"/>
        <v>200</v>
      </c>
      <c r="AR789" s="18" t="str">
        <f ca="1">CONCATENATE(OFFSET(Sheet1!$A$2,RANDBETWEEN(2,500),0,1,1),OFFSET(Sheet1!$A$2,RANDBETWEEN(2,500),RANDBETWEEN(1,5),1,1))</f>
        <v>克拉拉</v>
      </c>
      <c r="AS789">
        <f>SUMPRODUCT(P789:AI789,Sheet2!$B$3:$U$3)</f>
        <v>53123</v>
      </c>
    </row>
    <row r="790" spans="1:45" x14ac:dyDescent="0.15">
      <c r="A790" s="23">
        <v>789</v>
      </c>
      <c r="B790" s="18" t="s">
        <v>1155</v>
      </c>
      <c r="C790" s="18">
        <f t="shared" si="132"/>
        <v>133</v>
      </c>
      <c r="D790" s="19">
        <f t="shared" si="133"/>
        <v>3</v>
      </c>
      <c r="E790" s="19">
        <f>VLOOKUP(MOD(A790,4),各职业基础配置!C$32:D$35,2,FALSE)</f>
        <v>3</v>
      </c>
      <c r="F790" s="19">
        <f>IF(A790&lt;900,INDEX(各职业基础配置!C$23:C$28,MOD(ROW(A790),4)+1),0)</f>
        <v>14</v>
      </c>
      <c r="G790" s="19">
        <f t="shared" si="134"/>
        <v>5</v>
      </c>
      <c r="H790" s="27">
        <f t="shared" si="135"/>
        <v>1</v>
      </c>
      <c r="I790" s="6" t="s">
        <v>164</v>
      </c>
      <c r="J790" s="23" t="str">
        <f>VLOOKUP(E790,各职业基础配置!$B$9:$C$12,2,FALSE)</f>
        <v>106|107|108|4201|110</v>
      </c>
      <c r="K790" s="18" t="str">
        <f>VLOOKUP(E790,各职业基础配置!$B$15:$C$18,2,FALSE)</f>
        <v>20|21|22|23</v>
      </c>
      <c r="L790" s="18" t="str">
        <f>VLOOKUP(E790,各职业基础配置!B:C,2,FALSE)</f>
        <v>[{20,1,1},{21,1,1},{22,1,1},{23,1,1},{4,1,1},{5,1,1},{6,1,1}]</v>
      </c>
      <c r="M790" s="18">
        <v>0</v>
      </c>
      <c r="N790" s="18">
        <f t="shared" si="136"/>
        <v>7</v>
      </c>
      <c r="O790" s="18">
        <f>SUMPRODUCT(P790:AI790,Sheet2!$B$3:$U$3)</f>
        <v>53098</v>
      </c>
      <c r="P790" s="18">
        <f>CEILING(INDEX([1]系统模型!$VD:$VD,MATCH(C790,[1]系统模型!$A:$A,0))*POWER(C790/220,3.8)-50+(1000-A790),1)</f>
        <v>721</v>
      </c>
      <c r="Q790" s="18">
        <f>CEILING(INDEX([1]系统模型!$VE:$VE,MATCH(C790,[1]系统模型!$A:$A,0))*POWER(C790/220,4),1)</f>
        <v>61</v>
      </c>
      <c r="R790" s="18">
        <f>INT(INDEX([1]系统模型!$VF:$VF,MATCH(C790,[1]系统模型!$A:$A,0))*MAX(POWER(C790/180,4),0.5))</f>
        <v>7648</v>
      </c>
      <c r="S790" s="5">
        <v>1000</v>
      </c>
      <c r="T790" s="25">
        <v>0</v>
      </c>
      <c r="U790" s="25">
        <v>0</v>
      </c>
      <c r="V790" s="25">
        <v>0</v>
      </c>
      <c r="W790" s="25">
        <v>0</v>
      </c>
      <c r="X790" s="25">
        <f t="shared" si="137"/>
        <v>382</v>
      </c>
      <c r="Y790" s="12">
        <v>0</v>
      </c>
      <c r="Z790" s="25">
        <v>100</v>
      </c>
      <c r="AA790" s="25">
        <v>150</v>
      </c>
      <c r="AB790" s="25">
        <v>0</v>
      </c>
      <c r="AC790" s="25">
        <v>0</v>
      </c>
      <c r="AD790" s="25">
        <v>0</v>
      </c>
      <c r="AE790" s="25">
        <f t="shared" si="138"/>
        <v>266</v>
      </c>
      <c r="AF790" s="25">
        <f t="shared" si="139"/>
        <v>266</v>
      </c>
      <c r="AG790" s="25">
        <v>0</v>
      </c>
      <c r="AH790" s="25">
        <f t="shared" si="140"/>
        <v>1225</v>
      </c>
      <c r="AI790" s="25">
        <f t="shared" si="141"/>
        <v>9</v>
      </c>
      <c r="AJ790" s="25">
        <v>1</v>
      </c>
      <c r="AK790" s="25">
        <v>1000</v>
      </c>
      <c r="AL790" s="25">
        <v>100</v>
      </c>
      <c r="AM790" s="26">
        <v>10</v>
      </c>
      <c r="AN790" s="26">
        <v>10</v>
      </c>
      <c r="AO790" s="22" t="s">
        <v>2211</v>
      </c>
      <c r="AP790" s="26">
        <v>0</v>
      </c>
      <c r="AQ790" s="26">
        <f t="shared" si="142"/>
        <v>200</v>
      </c>
      <c r="AR790" s="18" t="str">
        <f ca="1">CONCATENATE(OFFSET(Sheet1!$A$2,RANDBETWEEN(2,500),0,1,1),OFFSET(Sheet1!$A$2,RANDBETWEEN(2,500),RANDBETWEEN(1,5),1,1))</f>
        <v>布鲁斯特</v>
      </c>
      <c r="AS790">
        <f>SUMPRODUCT(P790:AI790,Sheet2!$B$3:$U$3)</f>
        <v>53098</v>
      </c>
    </row>
    <row r="791" spans="1:45" x14ac:dyDescent="0.15">
      <c r="A791" s="18">
        <v>790</v>
      </c>
      <c r="B791" s="18" t="s">
        <v>959</v>
      </c>
      <c r="C791" s="18">
        <f t="shared" si="132"/>
        <v>133</v>
      </c>
      <c r="D791" s="19">
        <f t="shared" si="133"/>
        <v>2</v>
      </c>
      <c r="E791" s="19">
        <f>VLOOKUP(MOD(A791,4),各职业基础配置!C$32:D$35,2,FALSE)</f>
        <v>6</v>
      </c>
      <c r="F791" s="19">
        <f>IF(A791&lt;900,INDEX(各职业基础配置!C$23:C$28,MOD(ROW(A791),4)+1),0)</f>
        <v>16</v>
      </c>
      <c r="G791" s="19">
        <f t="shared" si="134"/>
        <v>5</v>
      </c>
      <c r="H791" s="27">
        <f t="shared" si="135"/>
        <v>1</v>
      </c>
      <c r="I791" s="6" t="s">
        <v>164</v>
      </c>
      <c r="J791" s="23" t="str">
        <f>VLOOKUP(E791,各职业基础配置!$B$9:$C$12,2,FALSE)</f>
        <v>111|112|113|4201|115</v>
      </c>
      <c r="K791" s="18" t="str">
        <f>VLOOKUP(E791,各职业基础配置!$B$15:$C$18,2,FALSE)</f>
        <v>32|33|34</v>
      </c>
      <c r="L791" s="18" t="str">
        <f>VLOOKUP(E791,各职业基础配置!B:C,2,FALSE)</f>
        <v>[{32,1,1},{33,1,1},{34,1,1},{35,1,1},{7,1,1},{8,1,1},{9,1,1}]</v>
      </c>
      <c r="M791" s="18">
        <v>0</v>
      </c>
      <c r="N791" s="18">
        <f t="shared" si="136"/>
        <v>7</v>
      </c>
      <c r="O791" s="18">
        <f>SUMPRODUCT(P791:AI791,Sheet2!$B$3:$U$3)</f>
        <v>53073</v>
      </c>
      <c r="P791" s="18">
        <f>CEILING(INDEX([1]系统模型!$VD:$VD,MATCH(C791,[1]系统模型!$A:$A,0))*POWER(C791/220,3.8)-50+(1000-A791),1)</f>
        <v>720</v>
      </c>
      <c r="Q791" s="18">
        <f>CEILING(INDEX([1]系统模型!$VE:$VE,MATCH(C791,[1]系统模型!$A:$A,0))*POWER(C791/220,4),1)</f>
        <v>61</v>
      </c>
      <c r="R791" s="18">
        <f>INT(INDEX([1]系统模型!$VF:$VF,MATCH(C791,[1]系统模型!$A:$A,0))*MAX(POWER(C791/180,4),0.5))</f>
        <v>7648</v>
      </c>
      <c r="S791" s="5">
        <v>1000</v>
      </c>
      <c r="T791" s="25">
        <v>0</v>
      </c>
      <c r="U791" s="25">
        <v>0</v>
      </c>
      <c r="V791" s="25">
        <v>0</v>
      </c>
      <c r="W791" s="25">
        <v>0</v>
      </c>
      <c r="X791" s="25">
        <f t="shared" si="137"/>
        <v>382</v>
      </c>
      <c r="Y791" s="12">
        <v>0</v>
      </c>
      <c r="Z791" s="25">
        <v>100</v>
      </c>
      <c r="AA791" s="25">
        <v>150</v>
      </c>
      <c r="AB791" s="25">
        <v>0</v>
      </c>
      <c r="AC791" s="25">
        <v>0</v>
      </c>
      <c r="AD791" s="25">
        <v>0</v>
      </c>
      <c r="AE791" s="25">
        <f t="shared" si="138"/>
        <v>266</v>
      </c>
      <c r="AF791" s="25">
        <f t="shared" si="139"/>
        <v>266</v>
      </c>
      <c r="AG791" s="25">
        <v>0</v>
      </c>
      <c r="AH791" s="25">
        <f t="shared" si="140"/>
        <v>1225</v>
      </c>
      <c r="AI791" s="25">
        <f t="shared" si="141"/>
        <v>9</v>
      </c>
      <c r="AJ791" s="25">
        <v>1</v>
      </c>
      <c r="AK791" s="25">
        <v>1000</v>
      </c>
      <c r="AL791" s="25">
        <v>100</v>
      </c>
      <c r="AM791" s="26">
        <v>10</v>
      </c>
      <c r="AN791" s="26">
        <v>10</v>
      </c>
      <c r="AO791" s="22" t="s">
        <v>2211</v>
      </c>
      <c r="AP791" s="26">
        <v>0</v>
      </c>
      <c r="AQ791" s="26">
        <f t="shared" si="142"/>
        <v>200</v>
      </c>
      <c r="AR791" s="18" t="str">
        <f ca="1">CONCATENATE(OFFSET(Sheet1!$A$2,RANDBETWEEN(2,500),0,1,1),OFFSET(Sheet1!$A$2,RANDBETWEEN(2,500),RANDBETWEEN(1,5),1,1))</f>
        <v>比顿菲莉帕</v>
      </c>
      <c r="AS791">
        <f>SUMPRODUCT(P791:AI791,Sheet2!$B$3:$U$3)</f>
        <v>53073</v>
      </c>
    </row>
    <row r="792" spans="1:45" x14ac:dyDescent="0.15">
      <c r="A792" s="18">
        <v>791</v>
      </c>
      <c r="B792" s="18" t="s">
        <v>961</v>
      </c>
      <c r="C792" s="18">
        <f t="shared" si="132"/>
        <v>132</v>
      </c>
      <c r="D792" s="19">
        <f t="shared" si="133"/>
        <v>3</v>
      </c>
      <c r="E792" s="19">
        <f>VLOOKUP(MOD(A792,4),各职业基础配置!C$32:D$35,2,FALSE)</f>
        <v>9</v>
      </c>
      <c r="F792" s="19">
        <f>IF(A792&lt;900,INDEX(各职业基础配置!C$23:C$28,MOD(ROW(A792),4)+1),0)</f>
        <v>8</v>
      </c>
      <c r="G792" s="19">
        <f t="shared" si="134"/>
        <v>5</v>
      </c>
      <c r="H792" s="27">
        <f t="shared" si="135"/>
        <v>1</v>
      </c>
      <c r="I792" s="6" t="s">
        <v>164</v>
      </c>
      <c r="J792" s="23" t="str">
        <f>VLOOKUP(E792,各职业基础配置!$B$9:$C$12,2,FALSE)</f>
        <v>116|117|118|4201|120</v>
      </c>
      <c r="K792" s="18" t="str">
        <f>VLOOKUP(E792,各职业基础配置!$B$15:$C$18,2,FALSE)</f>
        <v>28|29|30|31</v>
      </c>
      <c r="L792" s="18" t="str">
        <f>VLOOKUP(E792,各职业基础配置!B:C,2,FALSE)</f>
        <v>[{28,1,1},{29,1,1},{30,1,1},{31,1,1},{10,1,1},{11,1,1},{12,1,1}]</v>
      </c>
      <c r="M792" s="18">
        <v>0</v>
      </c>
      <c r="N792" s="18">
        <f t="shared" si="136"/>
        <v>3</v>
      </c>
      <c r="O792" s="18">
        <f>SUMPRODUCT(P792:AI792,Sheet2!$B$3:$U$3)</f>
        <v>51521</v>
      </c>
      <c r="P792" s="18">
        <f>CEILING(INDEX([1]系统模型!$VD:$VD,MATCH(C792,[1]系统模型!$A:$A,0))*POWER(C792/220,3.8)-50+(1000-A792),1)</f>
        <v>683</v>
      </c>
      <c r="Q792" s="18">
        <f>CEILING(INDEX([1]系统模型!$VE:$VE,MATCH(C792,[1]系统模型!$A:$A,0))*POWER(C792/220,4),1)</f>
        <v>58</v>
      </c>
      <c r="R792" s="18">
        <f>INT(INDEX([1]系统模型!$VF:$VF,MATCH(C792,[1]系统模型!$A:$A,0))*MAX(POWER(C792/180,4),0.5))</f>
        <v>7571</v>
      </c>
      <c r="S792" s="5">
        <v>1000</v>
      </c>
      <c r="T792" s="25">
        <v>0</v>
      </c>
      <c r="U792" s="25">
        <v>0</v>
      </c>
      <c r="V792" s="25">
        <v>0</v>
      </c>
      <c r="W792" s="25">
        <v>0</v>
      </c>
      <c r="X792" s="25">
        <f t="shared" si="137"/>
        <v>378</v>
      </c>
      <c r="Y792" s="12">
        <v>0</v>
      </c>
      <c r="Z792" s="25">
        <v>100</v>
      </c>
      <c r="AA792" s="25">
        <v>150</v>
      </c>
      <c r="AB792" s="25">
        <v>0</v>
      </c>
      <c r="AC792" s="25">
        <v>0</v>
      </c>
      <c r="AD792" s="25">
        <v>0</v>
      </c>
      <c r="AE792" s="25">
        <f t="shared" si="138"/>
        <v>264</v>
      </c>
      <c r="AF792" s="25">
        <f t="shared" si="139"/>
        <v>264</v>
      </c>
      <c r="AG792" s="25">
        <v>0</v>
      </c>
      <c r="AH792" s="25">
        <f t="shared" si="140"/>
        <v>1150</v>
      </c>
      <c r="AI792" s="25">
        <f t="shared" si="141"/>
        <v>9</v>
      </c>
      <c r="AJ792" s="25">
        <v>1</v>
      </c>
      <c r="AK792" s="25">
        <v>1000</v>
      </c>
      <c r="AL792" s="25">
        <v>100</v>
      </c>
      <c r="AM792" s="26">
        <v>10</v>
      </c>
      <c r="AN792" s="26">
        <v>10</v>
      </c>
      <c r="AO792" s="22" t="s">
        <v>2211</v>
      </c>
      <c r="AP792" s="26">
        <v>0</v>
      </c>
      <c r="AQ792" s="26">
        <f t="shared" si="142"/>
        <v>200</v>
      </c>
      <c r="AR792" s="18" t="str">
        <f ca="1">CONCATENATE(OFFSET(Sheet1!$A$2,RANDBETWEEN(2,500),0,1,1),OFFSET(Sheet1!$A$2,RANDBETWEEN(2,500),RANDBETWEEN(1,5),1,1))</f>
        <v>法兰西斯</v>
      </c>
      <c r="AS792">
        <f>SUMPRODUCT(P792:AI792,Sheet2!$B$3:$U$3)</f>
        <v>51521</v>
      </c>
    </row>
    <row r="793" spans="1:45" x14ac:dyDescent="0.15">
      <c r="A793" s="23">
        <v>792</v>
      </c>
      <c r="B793" s="18" t="s">
        <v>2127</v>
      </c>
      <c r="C793" s="18">
        <f t="shared" si="132"/>
        <v>132</v>
      </c>
      <c r="D793" s="19">
        <f t="shared" si="133"/>
        <v>2</v>
      </c>
      <c r="E793" s="19">
        <f>VLOOKUP(MOD(A793,4),各职业基础配置!C$32:D$35,2,FALSE)</f>
        <v>1</v>
      </c>
      <c r="F793" s="19">
        <f>IF(A793&lt;900,INDEX(各职业基础配置!C$23:C$28,MOD(ROW(A793),4)+1),0)</f>
        <v>13</v>
      </c>
      <c r="G793" s="19">
        <f t="shared" si="134"/>
        <v>5</v>
      </c>
      <c r="H793" s="27">
        <f t="shared" si="135"/>
        <v>1</v>
      </c>
      <c r="I793" s="6" t="s">
        <v>164</v>
      </c>
      <c r="J793" s="23" t="str">
        <f>VLOOKUP(E793,各职业基础配置!$B$9:$C$12,2,FALSE)</f>
        <v>101|102|103|4201|105</v>
      </c>
      <c r="K793" s="18" t="str">
        <f>VLOOKUP(E793,各职业基础配置!$B$15:$C$18,2,FALSE)</f>
        <v>24|25|26|27</v>
      </c>
      <c r="L793" s="18" t="str">
        <f>VLOOKUP(E793,各职业基础配置!B:C,2,FALSE)</f>
        <v>[{24,1,1},{25,1,1},{26,1,1},{27,1,1},{1,1,1},{2,1,1},{3,1,1}]</v>
      </c>
      <c r="M793" s="18">
        <v>0</v>
      </c>
      <c r="N793" s="18">
        <f t="shared" si="136"/>
        <v>3</v>
      </c>
      <c r="O793" s="18">
        <f>SUMPRODUCT(P793:AI793,Sheet2!$B$3:$U$3)</f>
        <v>51496</v>
      </c>
      <c r="P793" s="18">
        <f>CEILING(INDEX([1]系统模型!$VD:$VD,MATCH(C793,[1]系统模型!$A:$A,0))*POWER(C793/220,3.8)-50+(1000-A793),1)</f>
        <v>682</v>
      </c>
      <c r="Q793" s="18">
        <f>CEILING(INDEX([1]系统模型!$VE:$VE,MATCH(C793,[1]系统模型!$A:$A,0))*POWER(C793/220,4),1)</f>
        <v>58</v>
      </c>
      <c r="R793" s="18">
        <f>INT(INDEX([1]系统模型!$VF:$VF,MATCH(C793,[1]系统模型!$A:$A,0))*MAX(POWER(C793/180,4),0.5))</f>
        <v>7571</v>
      </c>
      <c r="S793" s="5">
        <v>1000</v>
      </c>
      <c r="T793" s="25">
        <v>0</v>
      </c>
      <c r="U793" s="25">
        <v>0</v>
      </c>
      <c r="V793" s="25">
        <v>0</v>
      </c>
      <c r="W793" s="25">
        <v>0</v>
      </c>
      <c r="X793" s="25">
        <f t="shared" si="137"/>
        <v>378</v>
      </c>
      <c r="Y793" s="12">
        <v>0</v>
      </c>
      <c r="Z793" s="25">
        <v>100</v>
      </c>
      <c r="AA793" s="25">
        <v>150</v>
      </c>
      <c r="AB793" s="25">
        <v>0</v>
      </c>
      <c r="AC793" s="25">
        <v>0</v>
      </c>
      <c r="AD793" s="25">
        <v>0</v>
      </c>
      <c r="AE793" s="25">
        <f t="shared" si="138"/>
        <v>264</v>
      </c>
      <c r="AF793" s="25">
        <f t="shared" si="139"/>
        <v>264</v>
      </c>
      <c r="AG793" s="25">
        <v>0</v>
      </c>
      <c r="AH793" s="25">
        <f t="shared" si="140"/>
        <v>1150</v>
      </c>
      <c r="AI793" s="25">
        <f t="shared" si="141"/>
        <v>9</v>
      </c>
      <c r="AJ793" s="25">
        <v>1</v>
      </c>
      <c r="AK793" s="25">
        <v>1000</v>
      </c>
      <c r="AL793" s="25">
        <v>100</v>
      </c>
      <c r="AM793" s="26">
        <v>10</v>
      </c>
      <c r="AN793" s="26">
        <v>10</v>
      </c>
      <c r="AO793" s="22" t="s">
        <v>2211</v>
      </c>
      <c r="AP793" s="26">
        <v>0</v>
      </c>
      <c r="AQ793" s="26">
        <f t="shared" si="142"/>
        <v>200</v>
      </c>
      <c r="AR793" s="18" t="str">
        <f ca="1">CONCATENATE(OFFSET(Sheet1!$A$2,RANDBETWEEN(2,500),0,1,1),OFFSET(Sheet1!$A$2,RANDBETWEEN(2,500),RANDBETWEEN(1,5),1,1))</f>
        <v>鲍恩德博拉</v>
      </c>
      <c r="AS793">
        <f>SUMPRODUCT(P793:AI793,Sheet2!$B$3:$U$3)</f>
        <v>51496</v>
      </c>
    </row>
    <row r="794" spans="1:45" x14ac:dyDescent="0.15">
      <c r="A794" s="18">
        <v>793</v>
      </c>
      <c r="B794" s="18" t="s">
        <v>1245</v>
      </c>
      <c r="C794" s="18">
        <f t="shared" si="132"/>
        <v>132</v>
      </c>
      <c r="D794" s="19">
        <f t="shared" si="133"/>
        <v>3</v>
      </c>
      <c r="E794" s="19">
        <f>VLOOKUP(MOD(A794,4),各职业基础配置!C$32:D$35,2,FALSE)</f>
        <v>3</v>
      </c>
      <c r="F794" s="19">
        <f>IF(A794&lt;900,INDEX(各职业基础配置!C$23:C$28,MOD(ROW(A794),4)+1),0)</f>
        <v>14</v>
      </c>
      <c r="G794" s="19">
        <f t="shared" si="134"/>
        <v>5</v>
      </c>
      <c r="H794" s="27">
        <f t="shared" si="135"/>
        <v>1</v>
      </c>
      <c r="I794" s="6" t="s">
        <v>164</v>
      </c>
      <c r="J794" s="23" t="str">
        <f>VLOOKUP(E794,各职业基础配置!$B$9:$C$12,2,FALSE)</f>
        <v>106|107|108|4201|110</v>
      </c>
      <c r="K794" s="18" t="str">
        <f>VLOOKUP(E794,各职业基础配置!$B$15:$C$18,2,FALSE)</f>
        <v>20|21|22|23</v>
      </c>
      <c r="L794" s="18" t="str">
        <f>VLOOKUP(E794,各职业基础配置!B:C,2,FALSE)</f>
        <v>[{20,1,1},{21,1,1},{22,1,1},{23,1,1},{4,1,1},{5,1,1},{6,1,1}]</v>
      </c>
      <c r="M794" s="18">
        <v>0</v>
      </c>
      <c r="N794" s="18">
        <f t="shared" si="136"/>
        <v>7</v>
      </c>
      <c r="O794" s="18">
        <f>SUMPRODUCT(P794:AI794,Sheet2!$B$3:$U$3)</f>
        <v>51471</v>
      </c>
      <c r="P794" s="18">
        <f>CEILING(INDEX([1]系统模型!$VD:$VD,MATCH(C794,[1]系统模型!$A:$A,0))*POWER(C794/220,3.8)-50+(1000-A794),1)</f>
        <v>681</v>
      </c>
      <c r="Q794" s="18">
        <f>CEILING(INDEX([1]系统模型!$VE:$VE,MATCH(C794,[1]系统模型!$A:$A,0))*POWER(C794/220,4),1)</f>
        <v>58</v>
      </c>
      <c r="R794" s="18">
        <f>INT(INDEX([1]系统模型!$VF:$VF,MATCH(C794,[1]系统模型!$A:$A,0))*MAX(POWER(C794/180,4),0.5))</f>
        <v>7571</v>
      </c>
      <c r="S794" s="5">
        <v>1000</v>
      </c>
      <c r="T794" s="25">
        <v>0</v>
      </c>
      <c r="U794" s="25">
        <v>0</v>
      </c>
      <c r="V794" s="25">
        <v>0</v>
      </c>
      <c r="W794" s="25">
        <v>0</v>
      </c>
      <c r="X794" s="25">
        <f t="shared" si="137"/>
        <v>378</v>
      </c>
      <c r="Y794" s="12">
        <v>0</v>
      </c>
      <c r="Z794" s="25">
        <v>100</v>
      </c>
      <c r="AA794" s="25">
        <v>150</v>
      </c>
      <c r="AB794" s="25">
        <v>0</v>
      </c>
      <c r="AC794" s="25">
        <v>0</v>
      </c>
      <c r="AD794" s="25">
        <v>0</v>
      </c>
      <c r="AE794" s="25">
        <f t="shared" si="138"/>
        <v>264</v>
      </c>
      <c r="AF794" s="25">
        <f t="shared" si="139"/>
        <v>264</v>
      </c>
      <c r="AG794" s="25">
        <v>0</v>
      </c>
      <c r="AH794" s="25">
        <f t="shared" si="140"/>
        <v>1150</v>
      </c>
      <c r="AI794" s="25">
        <f t="shared" si="141"/>
        <v>9</v>
      </c>
      <c r="AJ794" s="25">
        <v>1</v>
      </c>
      <c r="AK794" s="25">
        <v>1000</v>
      </c>
      <c r="AL794" s="25">
        <v>100</v>
      </c>
      <c r="AM794" s="26">
        <v>10</v>
      </c>
      <c r="AN794" s="26">
        <v>10</v>
      </c>
      <c r="AO794" s="22" t="s">
        <v>2211</v>
      </c>
      <c r="AP794" s="26">
        <v>0</v>
      </c>
      <c r="AQ794" s="26">
        <f t="shared" si="142"/>
        <v>200</v>
      </c>
      <c r="AR794" s="18" t="str">
        <f ca="1">CONCATENATE(OFFSET(Sheet1!$A$2,RANDBETWEEN(2,500),0,1,1),OFFSET(Sheet1!$A$2,RANDBETWEEN(2,500),RANDBETWEEN(1,5),1,1))</f>
        <v>赫士列特无情</v>
      </c>
      <c r="AS794">
        <f>SUMPRODUCT(P794:AI794,Sheet2!$B$3:$U$3)</f>
        <v>51471</v>
      </c>
    </row>
    <row r="795" spans="1:45" x14ac:dyDescent="0.15">
      <c r="A795" s="18">
        <v>794</v>
      </c>
      <c r="B795" s="18" t="s">
        <v>1338</v>
      </c>
      <c r="C795" s="18">
        <f t="shared" si="132"/>
        <v>132</v>
      </c>
      <c r="D795" s="19">
        <f t="shared" si="133"/>
        <v>2</v>
      </c>
      <c r="E795" s="19">
        <f>VLOOKUP(MOD(A795,4),各职业基础配置!C$32:D$35,2,FALSE)</f>
        <v>6</v>
      </c>
      <c r="F795" s="19">
        <f>IF(A795&lt;900,INDEX(各职业基础配置!C$23:C$28,MOD(ROW(A795),4)+1),0)</f>
        <v>16</v>
      </c>
      <c r="G795" s="19">
        <f t="shared" si="134"/>
        <v>5</v>
      </c>
      <c r="H795" s="27">
        <f t="shared" si="135"/>
        <v>1</v>
      </c>
      <c r="I795" s="6" t="s">
        <v>164</v>
      </c>
      <c r="J795" s="23" t="str">
        <f>VLOOKUP(E795,各职业基础配置!$B$9:$C$12,2,FALSE)</f>
        <v>111|112|113|4201|115</v>
      </c>
      <c r="K795" s="18" t="str">
        <f>VLOOKUP(E795,各职业基础配置!$B$15:$C$18,2,FALSE)</f>
        <v>32|33|34</v>
      </c>
      <c r="L795" s="18" t="str">
        <f>VLOOKUP(E795,各职业基础配置!B:C,2,FALSE)</f>
        <v>[{32,1,1},{33,1,1},{34,1,1},{35,1,1},{7,1,1},{8,1,1},{9,1,1}]</v>
      </c>
      <c r="M795" s="18">
        <v>0</v>
      </c>
      <c r="N795" s="18">
        <f t="shared" si="136"/>
        <v>7</v>
      </c>
      <c r="O795" s="18">
        <f>SUMPRODUCT(P795:AI795,Sheet2!$B$3:$U$3)</f>
        <v>51446</v>
      </c>
      <c r="P795" s="18">
        <f>CEILING(INDEX([1]系统模型!$VD:$VD,MATCH(C795,[1]系统模型!$A:$A,0))*POWER(C795/220,3.8)-50+(1000-A795),1)</f>
        <v>680</v>
      </c>
      <c r="Q795" s="18">
        <f>CEILING(INDEX([1]系统模型!$VE:$VE,MATCH(C795,[1]系统模型!$A:$A,0))*POWER(C795/220,4),1)</f>
        <v>58</v>
      </c>
      <c r="R795" s="18">
        <f>INT(INDEX([1]系统模型!$VF:$VF,MATCH(C795,[1]系统模型!$A:$A,0))*MAX(POWER(C795/180,4),0.5))</f>
        <v>7571</v>
      </c>
      <c r="S795" s="5">
        <v>1000</v>
      </c>
      <c r="T795" s="25">
        <v>0</v>
      </c>
      <c r="U795" s="25">
        <v>0</v>
      </c>
      <c r="V795" s="25">
        <v>0</v>
      </c>
      <c r="W795" s="25">
        <v>0</v>
      </c>
      <c r="X795" s="25">
        <f t="shared" si="137"/>
        <v>378</v>
      </c>
      <c r="Y795" s="12">
        <v>0</v>
      </c>
      <c r="Z795" s="25">
        <v>100</v>
      </c>
      <c r="AA795" s="25">
        <v>150</v>
      </c>
      <c r="AB795" s="25">
        <v>0</v>
      </c>
      <c r="AC795" s="25">
        <v>0</v>
      </c>
      <c r="AD795" s="25">
        <v>0</v>
      </c>
      <c r="AE795" s="25">
        <f t="shared" si="138"/>
        <v>264</v>
      </c>
      <c r="AF795" s="25">
        <f t="shared" si="139"/>
        <v>264</v>
      </c>
      <c r="AG795" s="25">
        <v>0</v>
      </c>
      <c r="AH795" s="25">
        <f t="shared" si="140"/>
        <v>1150</v>
      </c>
      <c r="AI795" s="25">
        <f t="shared" si="141"/>
        <v>9</v>
      </c>
      <c r="AJ795" s="25">
        <v>1</v>
      </c>
      <c r="AK795" s="25">
        <v>1000</v>
      </c>
      <c r="AL795" s="25">
        <v>100</v>
      </c>
      <c r="AM795" s="26">
        <v>10</v>
      </c>
      <c r="AN795" s="26">
        <v>10</v>
      </c>
      <c r="AO795" s="22" t="s">
        <v>2211</v>
      </c>
      <c r="AP795" s="26">
        <v>0</v>
      </c>
      <c r="AQ795" s="26">
        <f t="shared" si="142"/>
        <v>200</v>
      </c>
      <c r="AR795" s="18" t="str">
        <f ca="1">CONCATENATE(OFFSET(Sheet1!$A$2,RANDBETWEEN(2,500),0,1,1),OFFSET(Sheet1!$A$2,RANDBETWEEN(2,500),RANDBETWEEN(1,5),1,1))</f>
        <v>法斯特</v>
      </c>
      <c r="AS795">
        <f>SUMPRODUCT(P795:AI795,Sheet2!$B$3:$U$3)</f>
        <v>51446</v>
      </c>
    </row>
    <row r="796" spans="1:45" x14ac:dyDescent="0.15">
      <c r="A796" s="23">
        <v>795</v>
      </c>
      <c r="B796" s="18" t="s">
        <v>1282</v>
      </c>
      <c r="C796" s="18">
        <f t="shared" si="132"/>
        <v>132</v>
      </c>
      <c r="D796" s="19">
        <f t="shared" si="133"/>
        <v>3</v>
      </c>
      <c r="E796" s="19">
        <f>VLOOKUP(MOD(A796,4),各职业基础配置!C$32:D$35,2,FALSE)</f>
        <v>9</v>
      </c>
      <c r="F796" s="19">
        <f>IF(A796&lt;900,INDEX(各职业基础配置!C$23:C$28,MOD(ROW(A796),4)+1),0)</f>
        <v>8</v>
      </c>
      <c r="G796" s="19">
        <f t="shared" si="134"/>
        <v>5</v>
      </c>
      <c r="H796" s="27">
        <f t="shared" si="135"/>
        <v>1</v>
      </c>
      <c r="I796" s="6" t="s">
        <v>164</v>
      </c>
      <c r="J796" s="23" t="str">
        <f>VLOOKUP(E796,各职业基础配置!$B$9:$C$12,2,FALSE)</f>
        <v>116|117|118|4201|120</v>
      </c>
      <c r="K796" s="18" t="str">
        <f>VLOOKUP(E796,各职业基础配置!$B$15:$C$18,2,FALSE)</f>
        <v>28|29|30|31</v>
      </c>
      <c r="L796" s="18" t="str">
        <f>VLOOKUP(E796,各职业基础配置!B:C,2,FALSE)</f>
        <v>[{28,1,1},{29,1,1},{30,1,1},{31,1,1},{10,1,1},{11,1,1},{12,1,1}]</v>
      </c>
      <c r="M796" s="18">
        <v>0</v>
      </c>
      <c r="N796" s="18">
        <f t="shared" si="136"/>
        <v>3</v>
      </c>
      <c r="O796" s="18">
        <f>SUMPRODUCT(P796:AI796,Sheet2!$B$3:$U$3)</f>
        <v>51421</v>
      </c>
      <c r="P796" s="18">
        <f>CEILING(INDEX([1]系统模型!$VD:$VD,MATCH(C796,[1]系统模型!$A:$A,0))*POWER(C796/220,3.8)-50+(1000-A796),1)</f>
        <v>679</v>
      </c>
      <c r="Q796" s="18">
        <f>CEILING(INDEX([1]系统模型!$VE:$VE,MATCH(C796,[1]系统模型!$A:$A,0))*POWER(C796/220,4),1)</f>
        <v>58</v>
      </c>
      <c r="R796" s="18">
        <f>INT(INDEX([1]系统模型!$VF:$VF,MATCH(C796,[1]系统模型!$A:$A,0))*MAX(POWER(C796/180,4),0.5))</f>
        <v>7571</v>
      </c>
      <c r="S796" s="5">
        <v>1000</v>
      </c>
      <c r="T796" s="25">
        <v>0</v>
      </c>
      <c r="U796" s="25">
        <v>0</v>
      </c>
      <c r="V796" s="25">
        <v>0</v>
      </c>
      <c r="W796" s="25">
        <v>0</v>
      </c>
      <c r="X796" s="25">
        <f t="shared" si="137"/>
        <v>378</v>
      </c>
      <c r="Y796" s="12">
        <v>0</v>
      </c>
      <c r="Z796" s="25">
        <v>100</v>
      </c>
      <c r="AA796" s="25">
        <v>150</v>
      </c>
      <c r="AB796" s="25">
        <v>0</v>
      </c>
      <c r="AC796" s="25">
        <v>0</v>
      </c>
      <c r="AD796" s="25">
        <v>0</v>
      </c>
      <c r="AE796" s="25">
        <f t="shared" si="138"/>
        <v>264</v>
      </c>
      <c r="AF796" s="25">
        <f t="shared" si="139"/>
        <v>264</v>
      </c>
      <c r="AG796" s="25">
        <v>0</v>
      </c>
      <c r="AH796" s="25">
        <f t="shared" si="140"/>
        <v>1150</v>
      </c>
      <c r="AI796" s="25">
        <f t="shared" si="141"/>
        <v>9</v>
      </c>
      <c r="AJ796" s="25">
        <v>1</v>
      </c>
      <c r="AK796" s="25">
        <v>1000</v>
      </c>
      <c r="AL796" s="25">
        <v>100</v>
      </c>
      <c r="AM796" s="26">
        <v>10</v>
      </c>
      <c r="AN796" s="26">
        <v>10</v>
      </c>
      <c r="AO796" s="22" t="s">
        <v>2211</v>
      </c>
      <c r="AP796" s="26">
        <v>0</v>
      </c>
      <c r="AQ796" s="26">
        <f t="shared" si="142"/>
        <v>190</v>
      </c>
      <c r="AR796" s="18" t="str">
        <f ca="1">CONCATENATE(OFFSET(Sheet1!$A$2,RANDBETWEEN(2,500),0,1,1),OFFSET(Sheet1!$A$2,RANDBETWEEN(2,500),RANDBETWEEN(1,5),1,1))</f>
        <v>豪斯</v>
      </c>
      <c r="AS796">
        <f>SUMPRODUCT(P796:AI796,Sheet2!$B$3:$U$3)</f>
        <v>51421</v>
      </c>
    </row>
    <row r="797" spans="1:45" x14ac:dyDescent="0.15">
      <c r="A797" s="18">
        <v>796</v>
      </c>
      <c r="B797" s="18" t="s">
        <v>2128</v>
      </c>
      <c r="C797" s="18">
        <f t="shared" si="132"/>
        <v>132</v>
      </c>
      <c r="D797" s="19">
        <f t="shared" si="133"/>
        <v>2</v>
      </c>
      <c r="E797" s="19">
        <f>VLOOKUP(MOD(A797,4),各职业基础配置!C$32:D$35,2,FALSE)</f>
        <v>1</v>
      </c>
      <c r="F797" s="19">
        <f>IF(A797&lt;900,INDEX(各职业基础配置!C$23:C$28,MOD(ROW(A797),4)+1),0)</f>
        <v>13</v>
      </c>
      <c r="G797" s="19">
        <f t="shared" si="134"/>
        <v>5</v>
      </c>
      <c r="H797" s="27">
        <f t="shared" si="135"/>
        <v>1</v>
      </c>
      <c r="I797" s="6" t="s">
        <v>164</v>
      </c>
      <c r="J797" s="23" t="str">
        <f>VLOOKUP(E797,各职业基础配置!$B$9:$C$12,2,FALSE)</f>
        <v>101|102|103|4201|105</v>
      </c>
      <c r="K797" s="18" t="str">
        <f>VLOOKUP(E797,各职业基础配置!$B$15:$C$18,2,FALSE)</f>
        <v>24|25|26|27</v>
      </c>
      <c r="L797" s="18" t="str">
        <f>VLOOKUP(E797,各职业基础配置!B:C,2,FALSE)</f>
        <v>[{24,1,1},{25,1,1},{26,1,1},{27,1,1},{1,1,1},{2,1,1},{3,1,1}]</v>
      </c>
      <c r="M797" s="18">
        <v>0</v>
      </c>
      <c r="N797" s="18">
        <f t="shared" si="136"/>
        <v>3</v>
      </c>
      <c r="O797" s="18">
        <f>SUMPRODUCT(P797:AI797,Sheet2!$B$3:$U$3)</f>
        <v>51396</v>
      </c>
      <c r="P797" s="18">
        <f>CEILING(INDEX([1]系统模型!$VD:$VD,MATCH(C797,[1]系统模型!$A:$A,0))*POWER(C797/220,3.8)-50+(1000-A797),1)</f>
        <v>678</v>
      </c>
      <c r="Q797" s="18">
        <f>CEILING(INDEX([1]系统模型!$VE:$VE,MATCH(C797,[1]系统模型!$A:$A,0))*POWER(C797/220,4),1)</f>
        <v>58</v>
      </c>
      <c r="R797" s="18">
        <f>INT(INDEX([1]系统模型!$VF:$VF,MATCH(C797,[1]系统模型!$A:$A,0))*MAX(POWER(C797/180,4),0.5))</f>
        <v>7571</v>
      </c>
      <c r="S797" s="5">
        <v>1000</v>
      </c>
      <c r="T797" s="25">
        <v>0</v>
      </c>
      <c r="U797" s="25">
        <v>0</v>
      </c>
      <c r="V797" s="25">
        <v>0</v>
      </c>
      <c r="W797" s="25">
        <v>0</v>
      </c>
      <c r="X797" s="25">
        <f t="shared" si="137"/>
        <v>378</v>
      </c>
      <c r="Y797" s="12">
        <v>0</v>
      </c>
      <c r="Z797" s="25">
        <v>100</v>
      </c>
      <c r="AA797" s="25">
        <v>150</v>
      </c>
      <c r="AB797" s="25">
        <v>0</v>
      </c>
      <c r="AC797" s="25">
        <v>0</v>
      </c>
      <c r="AD797" s="25">
        <v>0</v>
      </c>
      <c r="AE797" s="25">
        <f t="shared" si="138"/>
        <v>264</v>
      </c>
      <c r="AF797" s="25">
        <f t="shared" si="139"/>
        <v>264</v>
      </c>
      <c r="AG797" s="25">
        <v>0</v>
      </c>
      <c r="AH797" s="25">
        <f t="shared" si="140"/>
        <v>1150</v>
      </c>
      <c r="AI797" s="25">
        <f t="shared" si="141"/>
        <v>9</v>
      </c>
      <c r="AJ797" s="25">
        <v>1</v>
      </c>
      <c r="AK797" s="25">
        <v>1000</v>
      </c>
      <c r="AL797" s="25">
        <v>100</v>
      </c>
      <c r="AM797" s="26">
        <v>10</v>
      </c>
      <c r="AN797" s="26">
        <v>10</v>
      </c>
      <c r="AO797" s="22" t="s">
        <v>2211</v>
      </c>
      <c r="AP797" s="26">
        <v>0</v>
      </c>
      <c r="AQ797" s="26">
        <f t="shared" si="142"/>
        <v>190</v>
      </c>
      <c r="AR797" s="18" t="str">
        <f ca="1">CONCATENATE(OFFSET(Sheet1!$A$2,RANDBETWEEN(2,500),0,1,1),OFFSET(Sheet1!$A$2,RANDBETWEEN(2,500),RANDBETWEEN(1,5),1,1))</f>
        <v>杰西莎洛姆</v>
      </c>
      <c r="AS797">
        <f>SUMPRODUCT(P797:AI797,Sheet2!$B$3:$U$3)</f>
        <v>51396</v>
      </c>
    </row>
    <row r="798" spans="1:45" x14ac:dyDescent="0.15">
      <c r="A798" s="18">
        <v>797</v>
      </c>
      <c r="B798" s="18" t="s">
        <v>222</v>
      </c>
      <c r="C798" s="18">
        <f t="shared" si="132"/>
        <v>132</v>
      </c>
      <c r="D798" s="19">
        <f t="shared" si="133"/>
        <v>3</v>
      </c>
      <c r="E798" s="19">
        <f>VLOOKUP(MOD(A798,4),各职业基础配置!C$32:D$35,2,FALSE)</f>
        <v>3</v>
      </c>
      <c r="F798" s="19">
        <f>IF(A798&lt;900,INDEX(各职业基础配置!C$23:C$28,MOD(ROW(A798),4)+1),0)</f>
        <v>14</v>
      </c>
      <c r="G798" s="19">
        <f t="shared" si="134"/>
        <v>5</v>
      </c>
      <c r="H798" s="27">
        <f t="shared" si="135"/>
        <v>1</v>
      </c>
      <c r="I798" s="6" t="s">
        <v>164</v>
      </c>
      <c r="J798" s="23" t="str">
        <f>VLOOKUP(E798,各职业基础配置!$B$9:$C$12,2,FALSE)</f>
        <v>106|107|108|4201|110</v>
      </c>
      <c r="K798" s="18" t="str">
        <f>VLOOKUP(E798,各职业基础配置!$B$15:$C$18,2,FALSE)</f>
        <v>20|21|22|23</v>
      </c>
      <c r="L798" s="18" t="str">
        <f>VLOOKUP(E798,各职业基础配置!B:C,2,FALSE)</f>
        <v>[{20,1,1},{21,1,1},{22,1,1},{23,1,1},{4,1,1},{5,1,1},{6,1,1}]</v>
      </c>
      <c r="M798" s="18">
        <v>0</v>
      </c>
      <c r="N798" s="18">
        <f t="shared" si="136"/>
        <v>7</v>
      </c>
      <c r="O798" s="18">
        <f>SUMPRODUCT(P798:AI798,Sheet2!$B$3:$U$3)</f>
        <v>51371</v>
      </c>
      <c r="P798" s="18">
        <f>CEILING(INDEX([1]系统模型!$VD:$VD,MATCH(C798,[1]系统模型!$A:$A,0))*POWER(C798/220,3.8)-50+(1000-A798),1)</f>
        <v>677</v>
      </c>
      <c r="Q798" s="18">
        <f>CEILING(INDEX([1]系统模型!$VE:$VE,MATCH(C798,[1]系统模型!$A:$A,0))*POWER(C798/220,4),1)</f>
        <v>58</v>
      </c>
      <c r="R798" s="18">
        <f>INT(INDEX([1]系统模型!$VF:$VF,MATCH(C798,[1]系统模型!$A:$A,0))*MAX(POWER(C798/180,4),0.5))</f>
        <v>7571</v>
      </c>
      <c r="S798" s="5">
        <v>1000</v>
      </c>
      <c r="T798" s="25">
        <v>0</v>
      </c>
      <c r="U798" s="25">
        <v>0</v>
      </c>
      <c r="V798" s="25">
        <v>0</v>
      </c>
      <c r="W798" s="25">
        <v>0</v>
      </c>
      <c r="X798" s="25">
        <f t="shared" si="137"/>
        <v>378</v>
      </c>
      <c r="Y798" s="12">
        <v>0</v>
      </c>
      <c r="Z798" s="25">
        <v>100</v>
      </c>
      <c r="AA798" s="25">
        <v>150</v>
      </c>
      <c r="AB798" s="25">
        <v>0</v>
      </c>
      <c r="AC798" s="25">
        <v>0</v>
      </c>
      <c r="AD798" s="25">
        <v>0</v>
      </c>
      <c r="AE798" s="25">
        <f t="shared" si="138"/>
        <v>264</v>
      </c>
      <c r="AF798" s="25">
        <f t="shared" si="139"/>
        <v>264</v>
      </c>
      <c r="AG798" s="25">
        <v>0</v>
      </c>
      <c r="AH798" s="25">
        <f t="shared" si="140"/>
        <v>1150</v>
      </c>
      <c r="AI798" s="25">
        <f t="shared" si="141"/>
        <v>9</v>
      </c>
      <c r="AJ798" s="25">
        <v>1</v>
      </c>
      <c r="AK798" s="25">
        <v>1000</v>
      </c>
      <c r="AL798" s="25">
        <v>100</v>
      </c>
      <c r="AM798" s="26">
        <v>10</v>
      </c>
      <c r="AN798" s="26">
        <v>10</v>
      </c>
      <c r="AO798" s="22" t="s">
        <v>2211</v>
      </c>
      <c r="AP798" s="26">
        <v>0</v>
      </c>
      <c r="AQ798" s="26">
        <f t="shared" si="142"/>
        <v>190</v>
      </c>
      <c r="AR798" s="18" t="str">
        <f ca="1">CONCATENATE(OFFSET(Sheet1!$A$2,RANDBETWEEN(2,500),0,1,1),OFFSET(Sheet1!$A$2,RANDBETWEEN(2,500),RANDBETWEEN(1,5),1,1))</f>
        <v>布朗非主流</v>
      </c>
      <c r="AS798">
        <f>SUMPRODUCT(P798:AI798,Sheet2!$B$3:$U$3)</f>
        <v>51371</v>
      </c>
    </row>
    <row r="799" spans="1:45" x14ac:dyDescent="0.15">
      <c r="A799" s="23">
        <v>798</v>
      </c>
      <c r="B799" s="18" t="s">
        <v>207</v>
      </c>
      <c r="C799" s="18">
        <f t="shared" si="132"/>
        <v>131</v>
      </c>
      <c r="D799" s="19">
        <f t="shared" si="133"/>
        <v>2</v>
      </c>
      <c r="E799" s="19">
        <f>VLOOKUP(MOD(A799,4),各职业基础配置!C$32:D$35,2,FALSE)</f>
        <v>6</v>
      </c>
      <c r="F799" s="19">
        <f>IF(A799&lt;900,INDEX(各职业基础配置!C$23:C$28,MOD(ROW(A799),4)+1),0)</f>
        <v>16</v>
      </c>
      <c r="G799" s="19">
        <f t="shared" si="134"/>
        <v>5</v>
      </c>
      <c r="H799" s="27">
        <f t="shared" si="135"/>
        <v>1</v>
      </c>
      <c r="I799" s="6" t="s">
        <v>164</v>
      </c>
      <c r="J799" s="23" t="str">
        <f>VLOOKUP(E799,各职业基础配置!$B$9:$C$12,2,FALSE)</f>
        <v>111|112|113|4201|115</v>
      </c>
      <c r="K799" s="18" t="str">
        <f>VLOOKUP(E799,各职业基础配置!$B$15:$C$18,2,FALSE)</f>
        <v>32|33|34</v>
      </c>
      <c r="L799" s="18" t="str">
        <f>VLOOKUP(E799,各职业基础配置!B:C,2,FALSE)</f>
        <v>[{32,1,1},{33,1,1},{34,1,1},{35,1,1},{7,1,1},{8,1,1},{9,1,1}]</v>
      </c>
      <c r="M799" s="18">
        <v>0</v>
      </c>
      <c r="N799" s="18">
        <f t="shared" si="136"/>
        <v>7</v>
      </c>
      <c r="O799" s="18">
        <f>SUMPRODUCT(P799:AI799,Sheet2!$B$3:$U$3)</f>
        <v>50246</v>
      </c>
      <c r="P799" s="18">
        <f>CEILING(INDEX([1]系统模型!$VD:$VD,MATCH(C799,[1]系统模型!$A:$A,0))*POWER(C799/220,3.8)-50+(1000-A799),1)</f>
        <v>657</v>
      </c>
      <c r="Q799" s="18">
        <f>CEILING(INDEX([1]系统模型!$VE:$VE,MATCH(C799,[1]系统模型!$A:$A,0))*POWER(C799/220,4),1)</f>
        <v>56</v>
      </c>
      <c r="R799" s="18">
        <f>INT(INDEX([1]系统模型!$VF:$VF,MATCH(C799,[1]系统模型!$A:$A,0))*MAX(POWER(C799/180,4),0.5))</f>
        <v>7496</v>
      </c>
      <c r="S799" s="5">
        <v>1000</v>
      </c>
      <c r="T799" s="25">
        <v>0</v>
      </c>
      <c r="U799" s="25">
        <v>0</v>
      </c>
      <c r="V799" s="25">
        <v>0</v>
      </c>
      <c r="W799" s="25">
        <v>0</v>
      </c>
      <c r="X799" s="25">
        <f t="shared" si="137"/>
        <v>374</v>
      </c>
      <c r="Y799" s="12">
        <v>0</v>
      </c>
      <c r="Z799" s="25">
        <v>100</v>
      </c>
      <c r="AA799" s="25">
        <v>150</v>
      </c>
      <c r="AB799" s="25">
        <v>0</v>
      </c>
      <c r="AC799" s="25">
        <v>0</v>
      </c>
      <c r="AD799" s="25">
        <v>0</v>
      </c>
      <c r="AE799" s="25">
        <f t="shared" si="138"/>
        <v>262</v>
      </c>
      <c r="AF799" s="25">
        <f t="shared" si="139"/>
        <v>262</v>
      </c>
      <c r="AG799" s="25">
        <v>0</v>
      </c>
      <c r="AH799" s="25">
        <f t="shared" si="140"/>
        <v>1075</v>
      </c>
      <c r="AI799" s="25">
        <f t="shared" si="141"/>
        <v>8</v>
      </c>
      <c r="AJ799" s="25">
        <v>1</v>
      </c>
      <c r="AK799" s="25">
        <v>1000</v>
      </c>
      <c r="AL799" s="25">
        <v>100</v>
      </c>
      <c r="AM799" s="26">
        <v>10</v>
      </c>
      <c r="AN799" s="26">
        <v>10</v>
      </c>
      <c r="AO799" s="22" t="s">
        <v>2211</v>
      </c>
      <c r="AP799" s="26">
        <v>0</v>
      </c>
      <c r="AQ799" s="26">
        <f t="shared" si="142"/>
        <v>190</v>
      </c>
      <c r="AR799" s="18" t="str">
        <f ca="1">CONCATENATE(OFFSET(Sheet1!$A$2,RANDBETWEEN(2,500),0,1,1),OFFSET(Sheet1!$A$2,RANDBETWEEN(2,500),RANDBETWEEN(1,5),1,1))</f>
        <v>詹金蜜尔娜</v>
      </c>
      <c r="AS799">
        <f>SUMPRODUCT(P799:AI799,Sheet2!$B$3:$U$3)</f>
        <v>50246</v>
      </c>
    </row>
    <row r="800" spans="1:45" x14ac:dyDescent="0.15">
      <c r="A800" s="18">
        <v>799</v>
      </c>
      <c r="B800" s="18" t="s">
        <v>2129</v>
      </c>
      <c r="C800" s="18">
        <f t="shared" si="132"/>
        <v>131</v>
      </c>
      <c r="D800" s="19">
        <f t="shared" si="133"/>
        <v>3</v>
      </c>
      <c r="E800" s="19">
        <f>VLOOKUP(MOD(A800,4),各职业基础配置!C$32:D$35,2,FALSE)</f>
        <v>9</v>
      </c>
      <c r="F800" s="19">
        <f>IF(A800&lt;900,INDEX(各职业基础配置!C$23:C$28,MOD(ROW(A800),4)+1),0)</f>
        <v>8</v>
      </c>
      <c r="G800" s="19">
        <f t="shared" si="134"/>
        <v>5</v>
      </c>
      <c r="H800" s="27">
        <f t="shared" si="135"/>
        <v>1</v>
      </c>
      <c r="I800" s="6" t="s">
        <v>164</v>
      </c>
      <c r="J800" s="23" t="str">
        <f>VLOOKUP(E800,各职业基础配置!$B$9:$C$12,2,FALSE)</f>
        <v>116|117|118|4201|120</v>
      </c>
      <c r="K800" s="18" t="str">
        <f>VLOOKUP(E800,各职业基础配置!$B$15:$C$18,2,FALSE)</f>
        <v>28|29|30|31</v>
      </c>
      <c r="L800" s="18" t="str">
        <f>VLOOKUP(E800,各职业基础配置!B:C,2,FALSE)</f>
        <v>[{28,1,1},{29,1,1},{30,1,1},{31,1,1},{10,1,1},{11,1,1},{12,1,1}]</v>
      </c>
      <c r="M800" s="18">
        <v>0</v>
      </c>
      <c r="N800" s="18">
        <f t="shared" si="136"/>
        <v>3</v>
      </c>
      <c r="O800" s="18">
        <f>SUMPRODUCT(P800:AI800,Sheet2!$B$3:$U$3)</f>
        <v>50221</v>
      </c>
      <c r="P800" s="18">
        <f>CEILING(INDEX([1]系统模型!$VD:$VD,MATCH(C800,[1]系统模型!$A:$A,0))*POWER(C800/220,3.8)-50+(1000-A800),1)</f>
        <v>656</v>
      </c>
      <c r="Q800" s="18">
        <f>CEILING(INDEX([1]系统模型!$VE:$VE,MATCH(C800,[1]系统模型!$A:$A,0))*POWER(C800/220,4),1)</f>
        <v>56</v>
      </c>
      <c r="R800" s="18">
        <f>INT(INDEX([1]系统模型!$VF:$VF,MATCH(C800,[1]系统模型!$A:$A,0))*MAX(POWER(C800/180,4),0.5))</f>
        <v>7496</v>
      </c>
      <c r="S800" s="5">
        <v>1000</v>
      </c>
      <c r="T800" s="25">
        <v>0</v>
      </c>
      <c r="U800" s="25">
        <v>0</v>
      </c>
      <c r="V800" s="25">
        <v>0</v>
      </c>
      <c r="W800" s="25">
        <v>0</v>
      </c>
      <c r="X800" s="25">
        <f t="shared" si="137"/>
        <v>374</v>
      </c>
      <c r="Y800" s="12">
        <v>0</v>
      </c>
      <c r="Z800" s="25">
        <v>100</v>
      </c>
      <c r="AA800" s="25">
        <v>150</v>
      </c>
      <c r="AB800" s="25">
        <v>0</v>
      </c>
      <c r="AC800" s="25">
        <v>0</v>
      </c>
      <c r="AD800" s="25">
        <v>0</v>
      </c>
      <c r="AE800" s="25">
        <f t="shared" si="138"/>
        <v>262</v>
      </c>
      <c r="AF800" s="25">
        <f t="shared" si="139"/>
        <v>262</v>
      </c>
      <c r="AG800" s="25">
        <v>0</v>
      </c>
      <c r="AH800" s="25">
        <f t="shared" si="140"/>
        <v>1075</v>
      </c>
      <c r="AI800" s="25">
        <f t="shared" si="141"/>
        <v>8</v>
      </c>
      <c r="AJ800" s="25">
        <v>1</v>
      </c>
      <c r="AK800" s="25">
        <v>1000</v>
      </c>
      <c r="AL800" s="25">
        <v>100</v>
      </c>
      <c r="AM800" s="26">
        <v>10</v>
      </c>
      <c r="AN800" s="26">
        <v>10</v>
      </c>
      <c r="AO800" s="22" t="s">
        <v>2211</v>
      </c>
      <c r="AP800" s="26">
        <v>0</v>
      </c>
      <c r="AQ800" s="26">
        <f t="shared" si="142"/>
        <v>190</v>
      </c>
      <c r="AR800" s="18" t="str">
        <f ca="1">CONCATENATE(OFFSET(Sheet1!$A$2,RANDBETWEEN(2,500),0,1,1),OFFSET(Sheet1!$A$2,RANDBETWEEN(2,500),RANDBETWEEN(1,5),1,1))</f>
        <v>阿德莱德梅</v>
      </c>
      <c r="AS800">
        <f>SUMPRODUCT(P800:AI800,Sheet2!$B$3:$U$3)</f>
        <v>50221</v>
      </c>
    </row>
    <row r="801" spans="1:45" x14ac:dyDescent="0.15">
      <c r="A801" s="18">
        <v>800</v>
      </c>
      <c r="B801" s="18" t="s">
        <v>2130</v>
      </c>
      <c r="C801" s="18">
        <f t="shared" si="132"/>
        <v>131</v>
      </c>
      <c r="D801" s="19">
        <f t="shared" si="133"/>
        <v>2</v>
      </c>
      <c r="E801" s="19">
        <f>VLOOKUP(MOD(A801,4),各职业基础配置!C$32:D$35,2,FALSE)</f>
        <v>1</v>
      </c>
      <c r="F801" s="19">
        <f>IF(A801&lt;900,INDEX(各职业基础配置!C$23:C$28,MOD(ROW(A801),4)+1),0)</f>
        <v>13</v>
      </c>
      <c r="G801" s="19">
        <f t="shared" si="134"/>
        <v>5</v>
      </c>
      <c r="H801" s="27">
        <f t="shared" si="135"/>
        <v>1</v>
      </c>
      <c r="I801" s="6" t="s">
        <v>164</v>
      </c>
      <c r="J801" s="23" t="str">
        <f>VLOOKUP(E801,各职业基础配置!$B$9:$C$12,2,FALSE)</f>
        <v>101|102|103|4201|105</v>
      </c>
      <c r="K801" s="18" t="str">
        <f>VLOOKUP(E801,各职业基础配置!$B$15:$C$18,2,FALSE)</f>
        <v>24|25|26|27</v>
      </c>
      <c r="L801" s="18" t="str">
        <f>VLOOKUP(E801,各职业基础配置!B:C,2,FALSE)</f>
        <v>[{24,1,1},{25,1,1},{26,1,1},{27,1,1},{1,1,1},{2,1,1},{3,1,1}]</v>
      </c>
      <c r="M801" s="18">
        <v>0</v>
      </c>
      <c r="N801" s="18">
        <f t="shared" si="136"/>
        <v>3</v>
      </c>
      <c r="O801" s="18">
        <f>SUMPRODUCT(P801:AI801,Sheet2!$B$3:$U$3)</f>
        <v>50196</v>
      </c>
      <c r="P801" s="18">
        <f>CEILING(INDEX([1]系统模型!$VD:$VD,MATCH(C801,[1]系统模型!$A:$A,0))*POWER(C801/220,3.8)-50+(1000-A801),1)</f>
        <v>655</v>
      </c>
      <c r="Q801" s="18">
        <f>CEILING(INDEX([1]系统模型!$VE:$VE,MATCH(C801,[1]系统模型!$A:$A,0))*POWER(C801/220,4),1)</f>
        <v>56</v>
      </c>
      <c r="R801" s="18">
        <f>INT(INDEX([1]系统模型!$VF:$VF,MATCH(C801,[1]系统模型!$A:$A,0))*MAX(POWER(C801/180,4),0.5))</f>
        <v>7496</v>
      </c>
      <c r="S801" s="5">
        <v>1000</v>
      </c>
      <c r="T801" s="25">
        <v>0</v>
      </c>
      <c r="U801" s="25">
        <v>0</v>
      </c>
      <c r="V801" s="25">
        <v>0</v>
      </c>
      <c r="W801" s="25">
        <v>0</v>
      </c>
      <c r="X801" s="25">
        <f t="shared" si="137"/>
        <v>374</v>
      </c>
      <c r="Y801" s="12">
        <v>0</v>
      </c>
      <c r="Z801" s="25">
        <v>100</v>
      </c>
      <c r="AA801" s="25">
        <v>150</v>
      </c>
      <c r="AB801" s="25">
        <v>0</v>
      </c>
      <c r="AC801" s="25">
        <v>0</v>
      </c>
      <c r="AD801" s="25">
        <v>0</v>
      </c>
      <c r="AE801" s="25">
        <f t="shared" si="138"/>
        <v>262</v>
      </c>
      <c r="AF801" s="25">
        <f t="shared" si="139"/>
        <v>262</v>
      </c>
      <c r="AG801" s="25">
        <v>0</v>
      </c>
      <c r="AH801" s="25">
        <f t="shared" si="140"/>
        <v>1075</v>
      </c>
      <c r="AI801" s="25">
        <f t="shared" si="141"/>
        <v>8</v>
      </c>
      <c r="AJ801" s="25">
        <v>1</v>
      </c>
      <c r="AK801" s="25">
        <v>1000</v>
      </c>
      <c r="AL801" s="25">
        <v>100</v>
      </c>
      <c r="AM801" s="26">
        <v>10</v>
      </c>
      <c r="AN801" s="26">
        <v>10</v>
      </c>
      <c r="AO801" s="22" t="s">
        <v>2211</v>
      </c>
      <c r="AP801" s="26">
        <v>0</v>
      </c>
      <c r="AQ801" s="26">
        <f t="shared" si="142"/>
        <v>190</v>
      </c>
      <c r="AR801" s="18" t="str">
        <f ca="1">CONCATENATE(OFFSET(Sheet1!$A$2,RANDBETWEEN(2,500),0,1,1),OFFSET(Sheet1!$A$2,RANDBETWEEN(2,500),RANDBETWEEN(1,5),1,1))</f>
        <v>芬恩</v>
      </c>
      <c r="AS801">
        <f>SUMPRODUCT(P801:AI801,Sheet2!$B$3:$U$3)</f>
        <v>50196</v>
      </c>
    </row>
    <row r="802" spans="1:45" x14ac:dyDescent="0.15">
      <c r="A802" s="23">
        <v>801</v>
      </c>
      <c r="B802" s="18" t="s">
        <v>2131</v>
      </c>
      <c r="C802" s="18">
        <f t="shared" si="132"/>
        <v>131</v>
      </c>
      <c r="D802" s="19">
        <f t="shared" si="133"/>
        <v>3</v>
      </c>
      <c r="E802" s="19">
        <f>VLOOKUP(MOD(A802,4),各职业基础配置!C$32:D$35,2,FALSE)</f>
        <v>3</v>
      </c>
      <c r="F802" s="19">
        <f>IF(A802&lt;900,INDEX(各职业基础配置!C$23:C$28,MOD(ROW(A802),4)+1),0)</f>
        <v>14</v>
      </c>
      <c r="G802" s="19">
        <f t="shared" si="134"/>
        <v>5</v>
      </c>
      <c r="H802" s="27">
        <f t="shared" si="135"/>
        <v>1</v>
      </c>
      <c r="I802" s="6" t="s">
        <v>164</v>
      </c>
      <c r="J802" s="23" t="str">
        <f>VLOOKUP(E802,各职业基础配置!$B$9:$C$12,2,FALSE)</f>
        <v>106|107|108|4201|110</v>
      </c>
      <c r="K802" s="18" t="str">
        <f>VLOOKUP(E802,各职业基础配置!$B$15:$C$18,2,FALSE)</f>
        <v>20|21|22|23</v>
      </c>
      <c r="L802" s="18" t="str">
        <f>VLOOKUP(E802,各职业基础配置!B:C,2,FALSE)</f>
        <v>[{20,1,1},{21,1,1},{22,1,1},{23,1,1},{4,1,1},{5,1,1},{6,1,1}]</v>
      </c>
      <c r="M802" s="18">
        <v>0</v>
      </c>
      <c r="N802" s="18">
        <f t="shared" si="136"/>
        <v>7</v>
      </c>
      <c r="O802" s="18">
        <f>SUMPRODUCT(P802:AI802,Sheet2!$B$3:$U$3)</f>
        <v>50171</v>
      </c>
      <c r="P802" s="18">
        <f>CEILING(INDEX([1]系统模型!$VD:$VD,MATCH(C802,[1]系统模型!$A:$A,0))*POWER(C802/220,3.8)-50+(1000-A802),1)</f>
        <v>654</v>
      </c>
      <c r="Q802" s="18">
        <f>CEILING(INDEX([1]系统模型!$VE:$VE,MATCH(C802,[1]系统模型!$A:$A,0))*POWER(C802/220,4),1)</f>
        <v>56</v>
      </c>
      <c r="R802" s="18">
        <f>INT(INDEX([1]系统模型!$VF:$VF,MATCH(C802,[1]系统模型!$A:$A,0))*MAX(POWER(C802/180,4),0.5))</f>
        <v>7496</v>
      </c>
      <c r="S802" s="5">
        <v>1000</v>
      </c>
      <c r="T802" s="25">
        <v>0</v>
      </c>
      <c r="U802" s="25">
        <v>0</v>
      </c>
      <c r="V802" s="25">
        <v>0</v>
      </c>
      <c r="W802" s="25">
        <v>0</v>
      </c>
      <c r="X802" s="25">
        <f t="shared" si="137"/>
        <v>374</v>
      </c>
      <c r="Y802" s="12">
        <v>0</v>
      </c>
      <c r="Z802" s="25">
        <v>100</v>
      </c>
      <c r="AA802" s="25">
        <v>150</v>
      </c>
      <c r="AB802" s="25">
        <v>0</v>
      </c>
      <c r="AC802" s="25">
        <v>0</v>
      </c>
      <c r="AD802" s="25">
        <v>0</v>
      </c>
      <c r="AE802" s="25">
        <f t="shared" si="138"/>
        <v>262</v>
      </c>
      <c r="AF802" s="25">
        <f t="shared" si="139"/>
        <v>262</v>
      </c>
      <c r="AG802" s="25">
        <v>0</v>
      </c>
      <c r="AH802" s="25">
        <f t="shared" si="140"/>
        <v>1075</v>
      </c>
      <c r="AI802" s="25">
        <f t="shared" si="141"/>
        <v>8</v>
      </c>
      <c r="AJ802" s="25">
        <v>1</v>
      </c>
      <c r="AK802" s="25">
        <v>1000</v>
      </c>
      <c r="AL802" s="25">
        <v>100</v>
      </c>
      <c r="AM802" s="26">
        <v>10</v>
      </c>
      <c r="AN802" s="26">
        <v>10</v>
      </c>
      <c r="AO802" s="22" t="s">
        <v>2211</v>
      </c>
      <c r="AP802" s="26">
        <v>0</v>
      </c>
      <c r="AQ802" s="26">
        <f t="shared" si="142"/>
        <v>190</v>
      </c>
      <c r="AR802" s="18" t="str">
        <f ca="1">CONCATENATE(OFFSET(Sheet1!$A$2,RANDBETWEEN(2,500),0,1,1),OFFSET(Sheet1!$A$2,RANDBETWEEN(2,500),RANDBETWEEN(1,5),1,1))</f>
        <v>布卢默迪得莉</v>
      </c>
      <c r="AS802">
        <f>SUMPRODUCT(P802:AI802,Sheet2!$B$3:$U$3)</f>
        <v>50171</v>
      </c>
    </row>
    <row r="803" spans="1:45" x14ac:dyDescent="0.15">
      <c r="A803" s="18">
        <v>802</v>
      </c>
      <c r="B803" s="18" t="s">
        <v>2132</v>
      </c>
      <c r="C803" s="18">
        <f t="shared" si="132"/>
        <v>131</v>
      </c>
      <c r="D803" s="19">
        <f t="shared" si="133"/>
        <v>2</v>
      </c>
      <c r="E803" s="19">
        <f>VLOOKUP(MOD(A803,4),各职业基础配置!C$32:D$35,2,FALSE)</f>
        <v>6</v>
      </c>
      <c r="F803" s="19">
        <f>IF(A803&lt;900,INDEX(各职业基础配置!C$23:C$28,MOD(ROW(A803),4)+1),0)</f>
        <v>16</v>
      </c>
      <c r="G803" s="19">
        <f t="shared" si="134"/>
        <v>5</v>
      </c>
      <c r="H803" s="27">
        <f t="shared" si="135"/>
        <v>1</v>
      </c>
      <c r="I803" s="6" t="s">
        <v>164</v>
      </c>
      <c r="J803" s="23" t="str">
        <f>VLOOKUP(E803,各职业基础配置!$B$9:$C$12,2,FALSE)</f>
        <v>111|112|113|4201|115</v>
      </c>
      <c r="K803" s="18" t="str">
        <f>VLOOKUP(E803,各职业基础配置!$B$15:$C$18,2,FALSE)</f>
        <v>32|33|34</v>
      </c>
      <c r="L803" s="18" t="str">
        <f>VLOOKUP(E803,各职业基础配置!B:C,2,FALSE)</f>
        <v>[{32,1,1},{33,1,1},{34,1,1},{35,1,1},{7,1,1},{8,1,1},{9,1,1}]</v>
      </c>
      <c r="M803" s="18">
        <v>0</v>
      </c>
      <c r="N803" s="18">
        <f t="shared" si="136"/>
        <v>7</v>
      </c>
      <c r="O803" s="18">
        <f>SUMPRODUCT(P803:AI803,Sheet2!$B$3:$U$3)</f>
        <v>50146</v>
      </c>
      <c r="P803" s="18">
        <f>CEILING(INDEX([1]系统模型!$VD:$VD,MATCH(C803,[1]系统模型!$A:$A,0))*POWER(C803/220,3.8)-50+(1000-A803),1)</f>
        <v>653</v>
      </c>
      <c r="Q803" s="18">
        <f>CEILING(INDEX([1]系统模型!$VE:$VE,MATCH(C803,[1]系统模型!$A:$A,0))*POWER(C803/220,4),1)</f>
        <v>56</v>
      </c>
      <c r="R803" s="18">
        <f>INT(INDEX([1]系统模型!$VF:$VF,MATCH(C803,[1]系统模型!$A:$A,0))*MAX(POWER(C803/180,4),0.5))</f>
        <v>7496</v>
      </c>
      <c r="S803" s="5">
        <v>1000</v>
      </c>
      <c r="T803" s="25">
        <v>0</v>
      </c>
      <c r="U803" s="25">
        <v>0</v>
      </c>
      <c r="V803" s="25">
        <v>0</v>
      </c>
      <c r="W803" s="25">
        <v>0</v>
      </c>
      <c r="X803" s="25">
        <f t="shared" si="137"/>
        <v>374</v>
      </c>
      <c r="Y803" s="12">
        <v>0</v>
      </c>
      <c r="Z803" s="25">
        <v>100</v>
      </c>
      <c r="AA803" s="25">
        <v>150</v>
      </c>
      <c r="AB803" s="25">
        <v>0</v>
      </c>
      <c r="AC803" s="25">
        <v>0</v>
      </c>
      <c r="AD803" s="25">
        <v>0</v>
      </c>
      <c r="AE803" s="25">
        <f t="shared" si="138"/>
        <v>262</v>
      </c>
      <c r="AF803" s="25">
        <f t="shared" si="139"/>
        <v>262</v>
      </c>
      <c r="AG803" s="25">
        <v>0</v>
      </c>
      <c r="AH803" s="25">
        <f t="shared" si="140"/>
        <v>1075</v>
      </c>
      <c r="AI803" s="25">
        <f t="shared" si="141"/>
        <v>8</v>
      </c>
      <c r="AJ803" s="25">
        <v>1</v>
      </c>
      <c r="AK803" s="25">
        <v>1000</v>
      </c>
      <c r="AL803" s="25">
        <v>100</v>
      </c>
      <c r="AM803" s="26">
        <v>10</v>
      </c>
      <c r="AN803" s="26">
        <v>10</v>
      </c>
      <c r="AO803" s="22" t="s">
        <v>2211</v>
      </c>
      <c r="AP803" s="26">
        <v>0</v>
      </c>
      <c r="AQ803" s="26">
        <f t="shared" si="142"/>
        <v>190</v>
      </c>
      <c r="AR803" s="18" t="str">
        <f ca="1">CONCATENATE(OFFSET(Sheet1!$A$2,RANDBETWEEN(2,500),0,1,1),OFFSET(Sheet1!$A$2,RANDBETWEEN(2,500),RANDBETWEEN(1,5),1,1))</f>
        <v>詹宁斯</v>
      </c>
      <c r="AS803">
        <f>SUMPRODUCT(P803:AI803,Sheet2!$B$3:$U$3)</f>
        <v>50146</v>
      </c>
    </row>
    <row r="804" spans="1:45" x14ac:dyDescent="0.15">
      <c r="A804" s="18">
        <v>803</v>
      </c>
      <c r="B804" s="18" t="s">
        <v>1026</v>
      </c>
      <c r="C804" s="18">
        <f t="shared" si="132"/>
        <v>131</v>
      </c>
      <c r="D804" s="19">
        <f t="shared" si="133"/>
        <v>3</v>
      </c>
      <c r="E804" s="19">
        <f>VLOOKUP(MOD(A804,4),各职业基础配置!C$32:D$35,2,FALSE)</f>
        <v>9</v>
      </c>
      <c r="F804" s="19">
        <f>IF(A804&lt;900,INDEX(各职业基础配置!C$23:C$28,MOD(ROW(A804),4)+1),0)</f>
        <v>8</v>
      </c>
      <c r="G804" s="19">
        <f t="shared" si="134"/>
        <v>5</v>
      </c>
      <c r="H804" s="27">
        <f t="shared" si="135"/>
        <v>1</v>
      </c>
      <c r="I804" s="6" t="s">
        <v>164</v>
      </c>
      <c r="J804" s="23" t="str">
        <f>VLOOKUP(E804,各职业基础配置!$B$9:$C$12,2,FALSE)</f>
        <v>116|117|118|4201|120</v>
      </c>
      <c r="K804" s="18" t="str">
        <f>VLOOKUP(E804,各职业基础配置!$B$15:$C$18,2,FALSE)</f>
        <v>28|29|30|31</v>
      </c>
      <c r="L804" s="18" t="str">
        <f>VLOOKUP(E804,各职业基础配置!B:C,2,FALSE)</f>
        <v>[{28,1,1},{29,1,1},{30,1,1},{31,1,1},{10,1,1},{11,1,1},{12,1,1}]</v>
      </c>
      <c r="M804" s="18">
        <v>0</v>
      </c>
      <c r="N804" s="18">
        <f t="shared" si="136"/>
        <v>3</v>
      </c>
      <c r="O804" s="18">
        <f>SUMPRODUCT(P804:AI804,Sheet2!$B$3:$U$3)</f>
        <v>50121</v>
      </c>
      <c r="P804" s="18">
        <f>CEILING(INDEX([1]系统模型!$VD:$VD,MATCH(C804,[1]系统模型!$A:$A,0))*POWER(C804/220,3.8)-50+(1000-A804),1)</f>
        <v>652</v>
      </c>
      <c r="Q804" s="18">
        <f>CEILING(INDEX([1]系统模型!$VE:$VE,MATCH(C804,[1]系统模型!$A:$A,0))*POWER(C804/220,4),1)</f>
        <v>56</v>
      </c>
      <c r="R804" s="18">
        <f>INT(INDEX([1]系统模型!$VF:$VF,MATCH(C804,[1]系统模型!$A:$A,0))*MAX(POWER(C804/180,4),0.5))</f>
        <v>7496</v>
      </c>
      <c r="S804" s="5">
        <v>1000</v>
      </c>
      <c r="T804" s="25">
        <v>0</v>
      </c>
      <c r="U804" s="25">
        <v>0</v>
      </c>
      <c r="V804" s="25">
        <v>0</v>
      </c>
      <c r="W804" s="25">
        <v>0</v>
      </c>
      <c r="X804" s="25">
        <f t="shared" si="137"/>
        <v>374</v>
      </c>
      <c r="Y804" s="12">
        <v>0</v>
      </c>
      <c r="Z804" s="25">
        <v>100</v>
      </c>
      <c r="AA804" s="25">
        <v>150</v>
      </c>
      <c r="AB804" s="25">
        <v>0</v>
      </c>
      <c r="AC804" s="25">
        <v>0</v>
      </c>
      <c r="AD804" s="25">
        <v>0</v>
      </c>
      <c r="AE804" s="25">
        <f t="shared" si="138"/>
        <v>262</v>
      </c>
      <c r="AF804" s="25">
        <f t="shared" si="139"/>
        <v>262</v>
      </c>
      <c r="AG804" s="25">
        <v>0</v>
      </c>
      <c r="AH804" s="25">
        <f t="shared" si="140"/>
        <v>1075</v>
      </c>
      <c r="AI804" s="25">
        <f t="shared" si="141"/>
        <v>8</v>
      </c>
      <c r="AJ804" s="25">
        <v>1</v>
      </c>
      <c r="AK804" s="25">
        <v>1000</v>
      </c>
      <c r="AL804" s="25">
        <v>100</v>
      </c>
      <c r="AM804" s="26">
        <v>10</v>
      </c>
      <c r="AN804" s="26">
        <v>10</v>
      </c>
      <c r="AO804" s="22" t="s">
        <v>2211</v>
      </c>
      <c r="AP804" s="26">
        <v>0</v>
      </c>
      <c r="AQ804" s="26">
        <f t="shared" si="142"/>
        <v>190</v>
      </c>
      <c r="AR804" s="18" t="str">
        <f ca="1">CONCATENATE(OFFSET(Sheet1!$A$2,RANDBETWEEN(2,500),0,1,1),OFFSET(Sheet1!$A$2,RANDBETWEEN(2,500),RANDBETWEEN(1,5),1,1))</f>
        <v>豪厄尔</v>
      </c>
      <c r="AS804">
        <f>SUMPRODUCT(P804:AI804,Sheet2!$B$3:$U$3)</f>
        <v>50121</v>
      </c>
    </row>
    <row r="805" spans="1:45" x14ac:dyDescent="0.15">
      <c r="A805" s="23">
        <v>804</v>
      </c>
      <c r="B805" s="18" t="s">
        <v>281</v>
      </c>
      <c r="C805" s="18">
        <f t="shared" si="132"/>
        <v>131</v>
      </c>
      <c r="D805" s="19">
        <f t="shared" si="133"/>
        <v>2</v>
      </c>
      <c r="E805" s="19">
        <f>VLOOKUP(MOD(A805,4),各职业基础配置!C$32:D$35,2,FALSE)</f>
        <v>1</v>
      </c>
      <c r="F805" s="19">
        <f>IF(A805&lt;900,INDEX(各职业基础配置!C$23:C$28,MOD(ROW(A805),4)+1),0)</f>
        <v>13</v>
      </c>
      <c r="G805" s="19">
        <f t="shared" si="134"/>
        <v>5</v>
      </c>
      <c r="H805" s="27">
        <f t="shared" si="135"/>
        <v>1</v>
      </c>
      <c r="I805" s="6" t="s">
        <v>164</v>
      </c>
      <c r="J805" s="23" t="str">
        <f>VLOOKUP(E805,各职业基础配置!$B$9:$C$12,2,FALSE)</f>
        <v>101|102|103|4201|105</v>
      </c>
      <c r="K805" s="18" t="str">
        <f>VLOOKUP(E805,各职业基础配置!$B$15:$C$18,2,FALSE)</f>
        <v>24|25|26|27</v>
      </c>
      <c r="L805" s="18" t="str">
        <f>VLOOKUP(E805,各职业基础配置!B:C,2,FALSE)</f>
        <v>[{24,1,1},{25,1,1},{26,1,1},{27,1,1},{1,1,1},{2,1,1},{3,1,1}]</v>
      </c>
      <c r="M805" s="18">
        <v>0</v>
      </c>
      <c r="N805" s="18">
        <f t="shared" si="136"/>
        <v>3</v>
      </c>
      <c r="O805" s="18">
        <f>SUMPRODUCT(P805:AI805,Sheet2!$B$3:$U$3)</f>
        <v>50096</v>
      </c>
      <c r="P805" s="18">
        <f>CEILING(INDEX([1]系统模型!$VD:$VD,MATCH(C805,[1]系统模型!$A:$A,0))*POWER(C805/220,3.8)-50+(1000-A805),1)</f>
        <v>651</v>
      </c>
      <c r="Q805" s="18">
        <f>CEILING(INDEX([1]系统模型!$VE:$VE,MATCH(C805,[1]系统模型!$A:$A,0))*POWER(C805/220,4),1)</f>
        <v>56</v>
      </c>
      <c r="R805" s="18">
        <f>INT(INDEX([1]系统模型!$VF:$VF,MATCH(C805,[1]系统模型!$A:$A,0))*MAX(POWER(C805/180,4),0.5))</f>
        <v>7496</v>
      </c>
      <c r="S805" s="5">
        <v>1000</v>
      </c>
      <c r="T805" s="25">
        <v>0</v>
      </c>
      <c r="U805" s="25">
        <v>0</v>
      </c>
      <c r="V805" s="25">
        <v>0</v>
      </c>
      <c r="W805" s="25">
        <v>0</v>
      </c>
      <c r="X805" s="25">
        <f t="shared" si="137"/>
        <v>374</v>
      </c>
      <c r="Y805" s="12">
        <v>0</v>
      </c>
      <c r="Z805" s="25">
        <v>100</v>
      </c>
      <c r="AA805" s="25">
        <v>150</v>
      </c>
      <c r="AB805" s="25">
        <v>0</v>
      </c>
      <c r="AC805" s="25">
        <v>0</v>
      </c>
      <c r="AD805" s="25">
        <v>0</v>
      </c>
      <c r="AE805" s="25">
        <f t="shared" si="138"/>
        <v>262</v>
      </c>
      <c r="AF805" s="25">
        <f t="shared" si="139"/>
        <v>262</v>
      </c>
      <c r="AG805" s="25">
        <v>0</v>
      </c>
      <c r="AH805" s="25">
        <f t="shared" si="140"/>
        <v>1075</v>
      </c>
      <c r="AI805" s="25">
        <f t="shared" si="141"/>
        <v>8</v>
      </c>
      <c r="AJ805" s="25">
        <v>1</v>
      </c>
      <c r="AK805" s="25">
        <v>1000</v>
      </c>
      <c r="AL805" s="25">
        <v>100</v>
      </c>
      <c r="AM805" s="26">
        <v>10</v>
      </c>
      <c r="AN805" s="26">
        <v>10</v>
      </c>
      <c r="AO805" s="22" t="s">
        <v>2211</v>
      </c>
      <c r="AP805" s="26">
        <v>0</v>
      </c>
      <c r="AQ805" s="26">
        <f t="shared" si="142"/>
        <v>180</v>
      </c>
      <c r="AR805" s="18" t="str">
        <f ca="1">CONCATENATE(OFFSET(Sheet1!$A$2,RANDBETWEEN(2,500),0,1,1),OFFSET(Sheet1!$A$2,RANDBETWEEN(2,500),RANDBETWEEN(1,5),1,1))</f>
        <v>埃兰娜凯丝</v>
      </c>
      <c r="AS805">
        <f>SUMPRODUCT(P805:AI805,Sheet2!$B$3:$U$3)</f>
        <v>50096</v>
      </c>
    </row>
    <row r="806" spans="1:45" x14ac:dyDescent="0.15">
      <c r="A806" s="18">
        <v>805</v>
      </c>
      <c r="B806" s="18" t="s">
        <v>2133</v>
      </c>
      <c r="C806" s="18">
        <f t="shared" si="132"/>
        <v>130</v>
      </c>
      <c r="D806" s="19">
        <f t="shared" si="133"/>
        <v>3</v>
      </c>
      <c r="E806" s="19">
        <f>VLOOKUP(MOD(A806,4),各职业基础配置!C$32:D$35,2,FALSE)</f>
        <v>3</v>
      </c>
      <c r="F806" s="19">
        <f>IF(A806&lt;900,INDEX(各职业基础配置!C$23:C$28,MOD(ROW(A806),4)+1),0)</f>
        <v>14</v>
      </c>
      <c r="G806" s="19">
        <f t="shared" si="134"/>
        <v>4</v>
      </c>
      <c r="H806" s="27">
        <f t="shared" si="135"/>
        <v>1</v>
      </c>
      <c r="I806" s="6" t="s">
        <v>164</v>
      </c>
      <c r="J806" s="23" t="str">
        <f>VLOOKUP(E806,各职业基础配置!$B$9:$C$12,2,FALSE)</f>
        <v>106|107|108|4201|110</v>
      </c>
      <c r="K806" s="18" t="str">
        <f>VLOOKUP(E806,各职业基础配置!$B$15:$C$18,2,FALSE)</f>
        <v>20|21|22|23</v>
      </c>
      <c r="L806" s="18" t="str">
        <f>VLOOKUP(E806,各职业基础配置!B:C,2,FALSE)</f>
        <v>[{20,1,1},{21,1,1},{22,1,1},{23,1,1},{4,1,1},{5,1,1},{6,1,1}]</v>
      </c>
      <c r="M806" s="18">
        <v>0</v>
      </c>
      <c r="N806" s="18">
        <f t="shared" si="136"/>
        <v>7</v>
      </c>
      <c r="O806" s="18">
        <f>SUMPRODUCT(P806:AI806,Sheet2!$B$3:$U$3)</f>
        <v>48866</v>
      </c>
      <c r="P806" s="18">
        <f>CEILING(INDEX([1]系统模型!$VD:$VD,MATCH(C806,[1]系统模型!$A:$A,0))*POWER(C806/220,3.8)-50+(1000-A806),1)</f>
        <v>629</v>
      </c>
      <c r="Q806" s="18">
        <f>CEILING(INDEX([1]系统模型!$VE:$VE,MATCH(C806,[1]系统模型!$A:$A,0))*POWER(C806/220,4),1)</f>
        <v>53</v>
      </c>
      <c r="R806" s="18">
        <f>INT(INDEX([1]系统模型!$VF:$VF,MATCH(C806,[1]系统模型!$A:$A,0))*MAX(POWER(C806/180,4),0.5))</f>
        <v>7366</v>
      </c>
      <c r="S806" s="5">
        <v>1000</v>
      </c>
      <c r="T806" s="25">
        <v>0</v>
      </c>
      <c r="U806" s="25">
        <v>0</v>
      </c>
      <c r="V806" s="25">
        <v>0</v>
      </c>
      <c r="W806" s="25">
        <v>0</v>
      </c>
      <c r="X806" s="25">
        <f t="shared" si="137"/>
        <v>368</v>
      </c>
      <c r="Y806" s="12">
        <v>0</v>
      </c>
      <c r="Z806" s="25">
        <v>100</v>
      </c>
      <c r="AA806" s="25">
        <v>150</v>
      </c>
      <c r="AB806" s="25">
        <v>0</v>
      </c>
      <c r="AC806" s="25">
        <v>0</v>
      </c>
      <c r="AD806" s="25">
        <v>0</v>
      </c>
      <c r="AE806" s="25">
        <f t="shared" si="138"/>
        <v>260</v>
      </c>
      <c r="AF806" s="25">
        <f t="shared" si="139"/>
        <v>260</v>
      </c>
      <c r="AG806" s="25">
        <v>0</v>
      </c>
      <c r="AH806" s="25">
        <f t="shared" si="140"/>
        <v>1000</v>
      </c>
      <c r="AI806" s="25">
        <f t="shared" si="141"/>
        <v>8</v>
      </c>
      <c r="AJ806" s="25">
        <v>1</v>
      </c>
      <c r="AK806" s="25">
        <v>1000</v>
      </c>
      <c r="AL806" s="25">
        <v>100</v>
      </c>
      <c r="AM806" s="26">
        <v>10</v>
      </c>
      <c r="AN806" s="26">
        <v>10</v>
      </c>
      <c r="AO806" s="22" t="s">
        <v>2211</v>
      </c>
      <c r="AP806" s="26">
        <v>0</v>
      </c>
      <c r="AQ806" s="26">
        <f t="shared" si="142"/>
        <v>180</v>
      </c>
      <c r="AR806" s="18" t="str">
        <f ca="1">CONCATENATE(OFFSET(Sheet1!$A$2,RANDBETWEEN(2,500),0,1,1),OFFSET(Sheet1!$A$2,RANDBETWEEN(2,500),RANDBETWEEN(1,5),1,1))</f>
        <v>格兰特</v>
      </c>
      <c r="AS806">
        <f>SUMPRODUCT(P806:AI806,Sheet2!$B$3:$U$3)</f>
        <v>48866</v>
      </c>
    </row>
    <row r="807" spans="1:45" x14ac:dyDescent="0.15">
      <c r="A807" s="18">
        <v>806</v>
      </c>
      <c r="B807" s="18" t="s">
        <v>2134</v>
      </c>
      <c r="C807" s="18">
        <f t="shared" si="132"/>
        <v>130</v>
      </c>
      <c r="D807" s="19">
        <f t="shared" si="133"/>
        <v>2</v>
      </c>
      <c r="E807" s="19">
        <f>VLOOKUP(MOD(A807,4),各职业基础配置!C$32:D$35,2,FALSE)</f>
        <v>6</v>
      </c>
      <c r="F807" s="19">
        <f>IF(A807&lt;900,INDEX(各职业基础配置!C$23:C$28,MOD(ROW(A807),4)+1),0)</f>
        <v>16</v>
      </c>
      <c r="G807" s="19">
        <f t="shared" si="134"/>
        <v>4</v>
      </c>
      <c r="H807" s="27">
        <f t="shared" si="135"/>
        <v>1</v>
      </c>
      <c r="I807" s="6" t="s">
        <v>164</v>
      </c>
      <c r="J807" s="23" t="str">
        <f>VLOOKUP(E807,各职业基础配置!$B$9:$C$12,2,FALSE)</f>
        <v>111|112|113|4201|115</v>
      </c>
      <c r="K807" s="18" t="str">
        <f>VLOOKUP(E807,各职业基础配置!$B$15:$C$18,2,FALSE)</f>
        <v>32|33|34</v>
      </c>
      <c r="L807" s="18" t="str">
        <f>VLOOKUP(E807,各职业基础配置!B:C,2,FALSE)</f>
        <v>[{32,1,1},{33,1,1},{34,1,1},{35,1,1},{7,1,1},{8,1,1},{9,1,1}]</v>
      </c>
      <c r="M807" s="18">
        <v>0</v>
      </c>
      <c r="N807" s="18">
        <f t="shared" si="136"/>
        <v>7</v>
      </c>
      <c r="O807" s="18">
        <f>SUMPRODUCT(P807:AI807,Sheet2!$B$3:$U$3)</f>
        <v>48841</v>
      </c>
      <c r="P807" s="18">
        <f>CEILING(INDEX([1]系统模型!$VD:$VD,MATCH(C807,[1]系统模型!$A:$A,0))*POWER(C807/220,3.8)-50+(1000-A807),1)</f>
        <v>628</v>
      </c>
      <c r="Q807" s="18">
        <f>CEILING(INDEX([1]系统模型!$VE:$VE,MATCH(C807,[1]系统模型!$A:$A,0))*POWER(C807/220,4),1)</f>
        <v>53</v>
      </c>
      <c r="R807" s="18">
        <f>INT(INDEX([1]系统模型!$VF:$VF,MATCH(C807,[1]系统模型!$A:$A,0))*MAX(POWER(C807/180,4),0.5))</f>
        <v>7366</v>
      </c>
      <c r="S807" s="5">
        <v>1000</v>
      </c>
      <c r="T807" s="25">
        <v>0</v>
      </c>
      <c r="U807" s="25">
        <v>0</v>
      </c>
      <c r="V807" s="25">
        <v>0</v>
      </c>
      <c r="W807" s="25">
        <v>0</v>
      </c>
      <c r="X807" s="25">
        <f t="shared" si="137"/>
        <v>368</v>
      </c>
      <c r="Y807" s="12">
        <v>0</v>
      </c>
      <c r="Z807" s="25">
        <v>100</v>
      </c>
      <c r="AA807" s="25">
        <v>150</v>
      </c>
      <c r="AB807" s="25">
        <v>0</v>
      </c>
      <c r="AC807" s="25">
        <v>0</v>
      </c>
      <c r="AD807" s="25">
        <v>0</v>
      </c>
      <c r="AE807" s="25">
        <f t="shared" si="138"/>
        <v>260</v>
      </c>
      <c r="AF807" s="25">
        <f t="shared" si="139"/>
        <v>260</v>
      </c>
      <c r="AG807" s="25">
        <v>0</v>
      </c>
      <c r="AH807" s="25">
        <f t="shared" si="140"/>
        <v>1000</v>
      </c>
      <c r="AI807" s="25">
        <f t="shared" si="141"/>
        <v>8</v>
      </c>
      <c r="AJ807" s="25">
        <v>1</v>
      </c>
      <c r="AK807" s="25">
        <v>1000</v>
      </c>
      <c r="AL807" s="25">
        <v>100</v>
      </c>
      <c r="AM807" s="26">
        <v>10</v>
      </c>
      <c r="AN807" s="26">
        <v>10</v>
      </c>
      <c r="AO807" s="22" t="s">
        <v>2211</v>
      </c>
      <c r="AP807" s="26">
        <v>0</v>
      </c>
      <c r="AQ807" s="26">
        <f t="shared" si="142"/>
        <v>180</v>
      </c>
      <c r="AR807" s="18" t="str">
        <f ca="1">CONCATENATE(OFFSET(Sheet1!$A$2,RANDBETWEEN(2,500),0,1,1),OFFSET(Sheet1!$A$2,RANDBETWEEN(2,500),RANDBETWEEN(1,5),1,1))</f>
        <v>克罗夫特</v>
      </c>
      <c r="AS807">
        <f>SUMPRODUCT(P807:AI807,Sheet2!$B$3:$U$3)</f>
        <v>48841</v>
      </c>
    </row>
    <row r="808" spans="1:45" x14ac:dyDescent="0.15">
      <c r="A808" s="23">
        <v>807</v>
      </c>
      <c r="B808" s="18" t="s">
        <v>2135</v>
      </c>
      <c r="C808" s="18">
        <f t="shared" si="132"/>
        <v>130</v>
      </c>
      <c r="D808" s="19">
        <f t="shared" si="133"/>
        <v>3</v>
      </c>
      <c r="E808" s="19">
        <f>VLOOKUP(MOD(A808,4),各职业基础配置!C$32:D$35,2,FALSE)</f>
        <v>9</v>
      </c>
      <c r="F808" s="19">
        <f>IF(A808&lt;900,INDEX(各职业基础配置!C$23:C$28,MOD(ROW(A808),4)+1),0)</f>
        <v>8</v>
      </c>
      <c r="G808" s="19">
        <f t="shared" si="134"/>
        <v>4</v>
      </c>
      <c r="H808" s="27">
        <f t="shared" si="135"/>
        <v>1</v>
      </c>
      <c r="I808" s="6" t="s">
        <v>164</v>
      </c>
      <c r="J808" s="23" t="str">
        <f>VLOOKUP(E808,各职业基础配置!$B$9:$C$12,2,FALSE)</f>
        <v>116|117|118|4201|120</v>
      </c>
      <c r="K808" s="18" t="str">
        <f>VLOOKUP(E808,各职业基础配置!$B$15:$C$18,2,FALSE)</f>
        <v>28|29|30|31</v>
      </c>
      <c r="L808" s="18" t="str">
        <f>VLOOKUP(E808,各职业基础配置!B:C,2,FALSE)</f>
        <v>[{28,1,1},{29,1,1},{30,1,1},{31,1,1},{10,1,1},{11,1,1},{12,1,1}]</v>
      </c>
      <c r="M808" s="18">
        <v>0</v>
      </c>
      <c r="N808" s="18">
        <f t="shared" si="136"/>
        <v>3</v>
      </c>
      <c r="O808" s="18">
        <f>SUMPRODUCT(P808:AI808,Sheet2!$B$3:$U$3)</f>
        <v>48816</v>
      </c>
      <c r="P808" s="18">
        <f>CEILING(INDEX([1]系统模型!$VD:$VD,MATCH(C808,[1]系统模型!$A:$A,0))*POWER(C808/220,3.8)-50+(1000-A808),1)</f>
        <v>627</v>
      </c>
      <c r="Q808" s="18">
        <f>CEILING(INDEX([1]系统模型!$VE:$VE,MATCH(C808,[1]系统模型!$A:$A,0))*POWER(C808/220,4),1)</f>
        <v>53</v>
      </c>
      <c r="R808" s="18">
        <f>INT(INDEX([1]系统模型!$VF:$VF,MATCH(C808,[1]系统模型!$A:$A,0))*MAX(POWER(C808/180,4),0.5))</f>
        <v>7366</v>
      </c>
      <c r="S808" s="5">
        <v>1000</v>
      </c>
      <c r="T808" s="25">
        <v>0</v>
      </c>
      <c r="U808" s="25">
        <v>0</v>
      </c>
      <c r="V808" s="25">
        <v>0</v>
      </c>
      <c r="W808" s="25">
        <v>0</v>
      </c>
      <c r="X808" s="25">
        <f t="shared" si="137"/>
        <v>368</v>
      </c>
      <c r="Y808" s="12">
        <v>0</v>
      </c>
      <c r="Z808" s="25">
        <v>100</v>
      </c>
      <c r="AA808" s="25">
        <v>150</v>
      </c>
      <c r="AB808" s="25">
        <v>0</v>
      </c>
      <c r="AC808" s="25">
        <v>0</v>
      </c>
      <c r="AD808" s="25">
        <v>0</v>
      </c>
      <c r="AE808" s="25">
        <f t="shared" si="138"/>
        <v>260</v>
      </c>
      <c r="AF808" s="25">
        <f t="shared" si="139"/>
        <v>260</v>
      </c>
      <c r="AG808" s="25">
        <v>0</v>
      </c>
      <c r="AH808" s="25">
        <f t="shared" si="140"/>
        <v>1000</v>
      </c>
      <c r="AI808" s="25">
        <f t="shared" si="141"/>
        <v>8</v>
      </c>
      <c r="AJ808" s="25">
        <v>1</v>
      </c>
      <c r="AK808" s="25">
        <v>1000</v>
      </c>
      <c r="AL808" s="25">
        <v>100</v>
      </c>
      <c r="AM808" s="26">
        <v>10</v>
      </c>
      <c r="AN808" s="26">
        <v>10</v>
      </c>
      <c r="AO808" s="22" t="s">
        <v>2211</v>
      </c>
      <c r="AP808" s="26">
        <v>0</v>
      </c>
      <c r="AQ808" s="26">
        <f t="shared" si="142"/>
        <v>180</v>
      </c>
      <c r="AR808" s="18" t="str">
        <f ca="1">CONCATENATE(OFFSET(Sheet1!$A$2,RANDBETWEEN(2,500),0,1,1),OFFSET(Sheet1!$A$2,RANDBETWEEN(2,500),RANDBETWEEN(1,5),1,1))</f>
        <v>菲茨杰拉德</v>
      </c>
      <c r="AS808">
        <f>SUMPRODUCT(P808:AI808,Sheet2!$B$3:$U$3)</f>
        <v>48816</v>
      </c>
    </row>
    <row r="809" spans="1:45" x14ac:dyDescent="0.15">
      <c r="A809" s="18">
        <v>808</v>
      </c>
      <c r="B809" s="18" t="s">
        <v>455</v>
      </c>
      <c r="C809" s="18">
        <f t="shared" si="132"/>
        <v>130</v>
      </c>
      <c r="D809" s="19">
        <f t="shared" si="133"/>
        <v>2</v>
      </c>
      <c r="E809" s="19">
        <f>VLOOKUP(MOD(A809,4),各职业基础配置!C$32:D$35,2,FALSE)</f>
        <v>1</v>
      </c>
      <c r="F809" s="19">
        <f>IF(A809&lt;900,INDEX(各职业基础配置!C$23:C$28,MOD(ROW(A809),4)+1),0)</f>
        <v>13</v>
      </c>
      <c r="G809" s="19">
        <f t="shared" si="134"/>
        <v>4</v>
      </c>
      <c r="H809" s="27">
        <f t="shared" si="135"/>
        <v>1</v>
      </c>
      <c r="I809" s="6" t="s">
        <v>164</v>
      </c>
      <c r="J809" s="23" t="str">
        <f>VLOOKUP(E809,各职业基础配置!$B$9:$C$12,2,FALSE)</f>
        <v>101|102|103|4201|105</v>
      </c>
      <c r="K809" s="18" t="str">
        <f>VLOOKUP(E809,各职业基础配置!$B$15:$C$18,2,FALSE)</f>
        <v>24|25|26|27</v>
      </c>
      <c r="L809" s="18" t="str">
        <f>VLOOKUP(E809,各职业基础配置!B:C,2,FALSE)</f>
        <v>[{24,1,1},{25,1,1},{26,1,1},{27,1,1},{1,1,1},{2,1,1},{3,1,1}]</v>
      </c>
      <c r="M809" s="18">
        <v>0</v>
      </c>
      <c r="N809" s="18">
        <f t="shared" si="136"/>
        <v>3</v>
      </c>
      <c r="O809" s="18">
        <f>SUMPRODUCT(P809:AI809,Sheet2!$B$3:$U$3)</f>
        <v>48791</v>
      </c>
      <c r="P809" s="18">
        <f>CEILING(INDEX([1]系统模型!$VD:$VD,MATCH(C809,[1]系统模型!$A:$A,0))*POWER(C809/220,3.8)-50+(1000-A809),1)</f>
        <v>626</v>
      </c>
      <c r="Q809" s="18">
        <f>CEILING(INDEX([1]系统模型!$VE:$VE,MATCH(C809,[1]系统模型!$A:$A,0))*POWER(C809/220,4),1)</f>
        <v>53</v>
      </c>
      <c r="R809" s="18">
        <f>INT(INDEX([1]系统模型!$VF:$VF,MATCH(C809,[1]系统模型!$A:$A,0))*MAX(POWER(C809/180,4),0.5))</f>
        <v>7366</v>
      </c>
      <c r="S809" s="5">
        <v>1000</v>
      </c>
      <c r="T809" s="25">
        <v>0</v>
      </c>
      <c r="U809" s="25">
        <v>0</v>
      </c>
      <c r="V809" s="25">
        <v>0</v>
      </c>
      <c r="W809" s="25">
        <v>0</v>
      </c>
      <c r="X809" s="25">
        <f t="shared" si="137"/>
        <v>368</v>
      </c>
      <c r="Y809" s="12">
        <v>0</v>
      </c>
      <c r="Z809" s="25">
        <v>100</v>
      </c>
      <c r="AA809" s="25">
        <v>150</v>
      </c>
      <c r="AB809" s="25">
        <v>0</v>
      </c>
      <c r="AC809" s="25">
        <v>0</v>
      </c>
      <c r="AD809" s="25">
        <v>0</v>
      </c>
      <c r="AE809" s="25">
        <f t="shared" si="138"/>
        <v>260</v>
      </c>
      <c r="AF809" s="25">
        <f t="shared" si="139"/>
        <v>260</v>
      </c>
      <c r="AG809" s="25">
        <v>0</v>
      </c>
      <c r="AH809" s="25">
        <f t="shared" si="140"/>
        <v>1000</v>
      </c>
      <c r="AI809" s="25">
        <f t="shared" si="141"/>
        <v>8</v>
      </c>
      <c r="AJ809" s="25">
        <v>1</v>
      </c>
      <c r="AK809" s="25">
        <v>1000</v>
      </c>
      <c r="AL809" s="25">
        <v>100</v>
      </c>
      <c r="AM809" s="26">
        <v>10</v>
      </c>
      <c r="AN809" s="26">
        <v>10</v>
      </c>
      <c r="AO809" s="22" t="s">
        <v>2211</v>
      </c>
      <c r="AP809" s="26">
        <v>0</v>
      </c>
      <c r="AQ809" s="26">
        <f t="shared" si="142"/>
        <v>180</v>
      </c>
      <c r="AR809" s="18" t="str">
        <f ca="1">CONCATENATE(OFFSET(Sheet1!$A$2,RANDBETWEEN(2,500),0,1,1),OFFSET(Sheet1!$A$2,RANDBETWEEN(2,500),RANDBETWEEN(1,5),1,1))</f>
        <v>爱迪生</v>
      </c>
      <c r="AS809">
        <f>SUMPRODUCT(P809:AI809,Sheet2!$B$3:$U$3)</f>
        <v>48791</v>
      </c>
    </row>
    <row r="810" spans="1:45" x14ac:dyDescent="0.15">
      <c r="A810" s="18">
        <v>809</v>
      </c>
      <c r="B810" s="18" t="s">
        <v>1126</v>
      </c>
      <c r="C810" s="18">
        <f t="shared" si="132"/>
        <v>130</v>
      </c>
      <c r="D810" s="19">
        <f t="shared" si="133"/>
        <v>3</v>
      </c>
      <c r="E810" s="19">
        <f>VLOOKUP(MOD(A810,4),各职业基础配置!C$32:D$35,2,FALSE)</f>
        <v>3</v>
      </c>
      <c r="F810" s="19">
        <f>IF(A810&lt;900,INDEX(各职业基础配置!C$23:C$28,MOD(ROW(A810),4)+1),0)</f>
        <v>14</v>
      </c>
      <c r="G810" s="19">
        <f t="shared" si="134"/>
        <v>4</v>
      </c>
      <c r="H810" s="27">
        <f t="shared" si="135"/>
        <v>1</v>
      </c>
      <c r="I810" s="6" t="s">
        <v>164</v>
      </c>
      <c r="J810" s="23" t="str">
        <f>VLOOKUP(E810,各职业基础配置!$B$9:$C$12,2,FALSE)</f>
        <v>106|107|108|4201|110</v>
      </c>
      <c r="K810" s="18" t="str">
        <f>VLOOKUP(E810,各职业基础配置!$B$15:$C$18,2,FALSE)</f>
        <v>20|21|22|23</v>
      </c>
      <c r="L810" s="18" t="str">
        <f>VLOOKUP(E810,各职业基础配置!B:C,2,FALSE)</f>
        <v>[{20,1,1},{21,1,1},{22,1,1},{23,1,1},{4,1,1},{5,1,1},{6,1,1}]</v>
      </c>
      <c r="M810" s="18">
        <v>0</v>
      </c>
      <c r="N810" s="18">
        <f t="shared" si="136"/>
        <v>7</v>
      </c>
      <c r="O810" s="18">
        <f>SUMPRODUCT(P810:AI810,Sheet2!$B$3:$U$3)</f>
        <v>48766</v>
      </c>
      <c r="P810" s="18">
        <f>CEILING(INDEX([1]系统模型!$VD:$VD,MATCH(C810,[1]系统模型!$A:$A,0))*POWER(C810/220,3.8)-50+(1000-A810),1)</f>
        <v>625</v>
      </c>
      <c r="Q810" s="18">
        <f>CEILING(INDEX([1]系统模型!$VE:$VE,MATCH(C810,[1]系统模型!$A:$A,0))*POWER(C810/220,4),1)</f>
        <v>53</v>
      </c>
      <c r="R810" s="18">
        <f>INT(INDEX([1]系统模型!$VF:$VF,MATCH(C810,[1]系统模型!$A:$A,0))*MAX(POWER(C810/180,4),0.5))</f>
        <v>7366</v>
      </c>
      <c r="S810" s="5">
        <v>1000</v>
      </c>
      <c r="T810" s="25">
        <v>0</v>
      </c>
      <c r="U810" s="25">
        <v>0</v>
      </c>
      <c r="V810" s="25">
        <v>0</v>
      </c>
      <c r="W810" s="25">
        <v>0</v>
      </c>
      <c r="X810" s="25">
        <f t="shared" si="137"/>
        <v>368</v>
      </c>
      <c r="Y810" s="12">
        <v>0</v>
      </c>
      <c r="Z810" s="25">
        <v>100</v>
      </c>
      <c r="AA810" s="25">
        <v>150</v>
      </c>
      <c r="AB810" s="25">
        <v>0</v>
      </c>
      <c r="AC810" s="25">
        <v>0</v>
      </c>
      <c r="AD810" s="25">
        <v>0</v>
      </c>
      <c r="AE810" s="25">
        <f t="shared" si="138"/>
        <v>260</v>
      </c>
      <c r="AF810" s="25">
        <f t="shared" si="139"/>
        <v>260</v>
      </c>
      <c r="AG810" s="25">
        <v>0</v>
      </c>
      <c r="AH810" s="25">
        <f t="shared" si="140"/>
        <v>1000</v>
      </c>
      <c r="AI810" s="25">
        <f t="shared" si="141"/>
        <v>8</v>
      </c>
      <c r="AJ810" s="25">
        <v>1</v>
      </c>
      <c r="AK810" s="25">
        <v>1000</v>
      </c>
      <c r="AL810" s="25">
        <v>100</v>
      </c>
      <c r="AM810" s="26">
        <v>10</v>
      </c>
      <c r="AN810" s="26">
        <v>10</v>
      </c>
      <c r="AO810" s="22" t="s">
        <v>2211</v>
      </c>
      <c r="AP810" s="26">
        <v>0</v>
      </c>
      <c r="AQ810" s="26">
        <f t="shared" si="142"/>
        <v>180</v>
      </c>
      <c r="AR810" s="18" t="str">
        <f ca="1">CONCATENATE(OFFSET(Sheet1!$A$2,RANDBETWEEN(2,500),0,1,1),OFFSET(Sheet1!$A$2,RANDBETWEEN(2,500),RANDBETWEEN(1,5),1,1))</f>
        <v>卓别麟</v>
      </c>
      <c r="AS810">
        <f>SUMPRODUCT(P810:AI810,Sheet2!$B$3:$U$3)</f>
        <v>48766</v>
      </c>
    </row>
    <row r="811" spans="1:45" x14ac:dyDescent="0.15">
      <c r="A811" s="23">
        <v>810</v>
      </c>
      <c r="B811" s="18" t="s">
        <v>1036</v>
      </c>
      <c r="C811" s="18">
        <f t="shared" si="132"/>
        <v>130</v>
      </c>
      <c r="D811" s="19">
        <f t="shared" si="133"/>
        <v>2</v>
      </c>
      <c r="E811" s="19">
        <f>VLOOKUP(MOD(A811,4),各职业基础配置!C$32:D$35,2,FALSE)</f>
        <v>6</v>
      </c>
      <c r="F811" s="19">
        <f>IF(A811&lt;900,INDEX(各职业基础配置!C$23:C$28,MOD(ROW(A811),4)+1),0)</f>
        <v>16</v>
      </c>
      <c r="G811" s="19">
        <f t="shared" si="134"/>
        <v>4</v>
      </c>
      <c r="H811" s="27">
        <f t="shared" si="135"/>
        <v>1</v>
      </c>
      <c r="I811" s="6" t="s">
        <v>164</v>
      </c>
      <c r="J811" s="23" t="str">
        <f>VLOOKUP(E811,各职业基础配置!$B$9:$C$12,2,FALSE)</f>
        <v>111|112|113|4201|115</v>
      </c>
      <c r="K811" s="18" t="str">
        <f>VLOOKUP(E811,各职业基础配置!$B$15:$C$18,2,FALSE)</f>
        <v>32|33|34</v>
      </c>
      <c r="L811" s="18" t="str">
        <f>VLOOKUP(E811,各职业基础配置!B:C,2,FALSE)</f>
        <v>[{32,1,1},{33,1,1},{34,1,1},{35,1,1},{7,1,1},{8,1,1},{9,1,1}]</v>
      </c>
      <c r="M811" s="18">
        <v>0</v>
      </c>
      <c r="N811" s="18">
        <f t="shared" si="136"/>
        <v>7</v>
      </c>
      <c r="O811" s="18">
        <f>SUMPRODUCT(P811:AI811,Sheet2!$B$3:$U$3)</f>
        <v>48741</v>
      </c>
      <c r="P811" s="18">
        <f>CEILING(INDEX([1]系统模型!$VD:$VD,MATCH(C811,[1]系统模型!$A:$A,0))*POWER(C811/220,3.8)-50+(1000-A811),1)</f>
        <v>624</v>
      </c>
      <c r="Q811" s="18">
        <f>CEILING(INDEX([1]系统模型!$VE:$VE,MATCH(C811,[1]系统模型!$A:$A,0))*POWER(C811/220,4),1)</f>
        <v>53</v>
      </c>
      <c r="R811" s="18">
        <f>INT(INDEX([1]系统模型!$VF:$VF,MATCH(C811,[1]系统模型!$A:$A,0))*MAX(POWER(C811/180,4),0.5))</f>
        <v>7366</v>
      </c>
      <c r="S811" s="5">
        <v>1000</v>
      </c>
      <c r="T811" s="25">
        <v>0</v>
      </c>
      <c r="U811" s="25">
        <v>0</v>
      </c>
      <c r="V811" s="25">
        <v>0</v>
      </c>
      <c r="W811" s="25">
        <v>0</v>
      </c>
      <c r="X811" s="25">
        <f t="shared" si="137"/>
        <v>368</v>
      </c>
      <c r="Y811" s="12">
        <v>0</v>
      </c>
      <c r="Z811" s="25">
        <v>100</v>
      </c>
      <c r="AA811" s="25">
        <v>150</v>
      </c>
      <c r="AB811" s="25">
        <v>0</v>
      </c>
      <c r="AC811" s="25">
        <v>0</v>
      </c>
      <c r="AD811" s="25">
        <v>0</v>
      </c>
      <c r="AE811" s="25">
        <f t="shared" si="138"/>
        <v>260</v>
      </c>
      <c r="AF811" s="25">
        <f t="shared" si="139"/>
        <v>260</v>
      </c>
      <c r="AG811" s="25">
        <v>0</v>
      </c>
      <c r="AH811" s="25">
        <f t="shared" si="140"/>
        <v>1000</v>
      </c>
      <c r="AI811" s="25">
        <f t="shared" si="141"/>
        <v>8</v>
      </c>
      <c r="AJ811" s="25">
        <v>1</v>
      </c>
      <c r="AK811" s="25">
        <v>1000</v>
      </c>
      <c r="AL811" s="25">
        <v>100</v>
      </c>
      <c r="AM811" s="26">
        <v>10</v>
      </c>
      <c r="AN811" s="26">
        <v>10</v>
      </c>
      <c r="AO811" s="22" t="s">
        <v>2211</v>
      </c>
      <c r="AP811" s="26">
        <v>0</v>
      </c>
      <c r="AQ811" s="26">
        <f t="shared" si="142"/>
        <v>180</v>
      </c>
      <c r="AR811" s="18" t="str">
        <f ca="1">CONCATENATE(OFFSET(Sheet1!$A$2,RANDBETWEEN(2,500),0,1,1),OFFSET(Sheet1!$A$2,RANDBETWEEN(2,500),RANDBETWEEN(1,5),1,1))</f>
        <v>丹尼尔</v>
      </c>
      <c r="AS811">
        <f>SUMPRODUCT(P811:AI811,Sheet2!$B$3:$U$3)</f>
        <v>48741</v>
      </c>
    </row>
    <row r="812" spans="1:45" x14ac:dyDescent="0.15">
      <c r="A812" s="18">
        <v>811</v>
      </c>
      <c r="B812" s="18" t="s">
        <v>1361</v>
      </c>
      <c r="C812" s="18">
        <f t="shared" si="132"/>
        <v>129</v>
      </c>
      <c r="D812" s="19">
        <f t="shared" si="133"/>
        <v>3</v>
      </c>
      <c r="E812" s="19">
        <f>VLOOKUP(MOD(A812,4),各职业基础配置!C$32:D$35,2,FALSE)</f>
        <v>9</v>
      </c>
      <c r="F812" s="19">
        <f>IF(A812&lt;900,INDEX(各职业基础配置!C$23:C$28,MOD(ROW(A812),4)+1),0)</f>
        <v>8</v>
      </c>
      <c r="G812" s="19">
        <f t="shared" si="134"/>
        <v>4</v>
      </c>
      <c r="H812" s="27">
        <f t="shared" si="135"/>
        <v>1</v>
      </c>
      <c r="I812" s="6" t="s">
        <v>164</v>
      </c>
      <c r="J812" s="23" t="str">
        <f>VLOOKUP(E812,各职业基础配置!$B$9:$C$12,2,FALSE)</f>
        <v>116|117|118|4201|120</v>
      </c>
      <c r="K812" s="18" t="str">
        <f>VLOOKUP(E812,各职业基础配置!$B$15:$C$18,2,FALSE)</f>
        <v>28|29|30|31</v>
      </c>
      <c r="L812" s="18" t="str">
        <f>VLOOKUP(E812,各职业基础配置!B:C,2,FALSE)</f>
        <v>[{28,1,1},{29,1,1},{30,1,1},{31,1,1},{10,1,1},{11,1,1},{12,1,1}]</v>
      </c>
      <c r="M812" s="18">
        <v>0</v>
      </c>
      <c r="N812" s="18">
        <f t="shared" si="136"/>
        <v>3</v>
      </c>
      <c r="O812" s="18">
        <f>SUMPRODUCT(P812:AI812,Sheet2!$B$3:$U$3)</f>
        <v>47603</v>
      </c>
      <c r="P812" s="18">
        <f>CEILING(INDEX([1]系统模型!$VD:$VD,MATCH(C812,[1]系统模型!$A:$A,0))*POWER(C812/220,3.8)-50+(1000-A812),1)</f>
        <v>606</v>
      </c>
      <c r="Q812" s="18">
        <f>CEILING(INDEX([1]系统模型!$VE:$VE,MATCH(C812,[1]系统模型!$A:$A,0))*POWER(C812/220,4),1)</f>
        <v>50</v>
      </c>
      <c r="R812" s="18">
        <f>INT(INDEX([1]系统模型!$VF:$VF,MATCH(C812,[1]系统模型!$A:$A,0))*MAX(POWER(C812/180,4),0.5))</f>
        <v>7228</v>
      </c>
      <c r="S812" s="5">
        <v>1000</v>
      </c>
      <c r="T812" s="25">
        <v>0</v>
      </c>
      <c r="U812" s="25">
        <v>0</v>
      </c>
      <c r="V812" s="25">
        <v>0</v>
      </c>
      <c r="W812" s="25">
        <v>0</v>
      </c>
      <c r="X812" s="25">
        <f t="shared" si="137"/>
        <v>361</v>
      </c>
      <c r="Y812" s="12">
        <v>0</v>
      </c>
      <c r="Z812" s="25">
        <v>100</v>
      </c>
      <c r="AA812" s="25">
        <v>150</v>
      </c>
      <c r="AB812" s="25">
        <v>0</v>
      </c>
      <c r="AC812" s="25">
        <v>0</v>
      </c>
      <c r="AD812" s="25">
        <v>0</v>
      </c>
      <c r="AE812" s="25">
        <f t="shared" si="138"/>
        <v>258</v>
      </c>
      <c r="AF812" s="25">
        <f t="shared" si="139"/>
        <v>258</v>
      </c>
      <c r="AG812" s="25">
        <v>0</v>
      </c>
      <c r="AH812" s="25">
        <f t="shared" si="140"/>
        <v>925</v>
      </c>
      <c r="AI812" s="25">
        <f t="shared" si="141"/>
        <v>8</v>
      </c>
      <c r="AJ812" s="25">
        <v>1</v>
      </c>
      <c r="AK812" s="25">
        <v>1000</v>
      </c>
      <c r="AL812" s="25">
        <v>100</v>
      </c>
      <c r="AM812" s="26">
        <v>10</v>
      </c>
      <c r="AN812" s="26">
        <v>10</v>
      </c>
      <c r="AO812" s="22" t="s">
        <v>2211</v>
      </c>
      <c r="AP812" s="26">
        <v>0</v>
      </c>
      <c r="AQ812" s="26">
        <f t="shared" si="142"/>
        <v>180</v>
      </c>
      <c r="AR812" s="18" t="str">
        <f ca="1">CONCATENATE(OFFSET(Sheet1!$A$2,RANDBETWEEN(2,500),0,1,1),OFFSET(Sheet1!$A$2,RANDBETWEEN(2,500),RANDBETWEEN(1,5),1,1))</f>
        <v>黑兹利特伊莎蓓尔</v>
      </c>
      <c r="AS812">
        <f>SUMPRODUCT(P812:AI812,Sheet2!$B$3:$U$3)</f>
        <v>47603</v>
      </c>
    </row>
    <row r="813" spans="1:45" x14ac:dyDescent="0.15">
      <c r="A813" s="18">
        <v>812</v>
      </c>
      <c r="B813" s="18" t="s">
        <v>1348</v>
      </c>
      <c r="C813" s="18">
        <f t="shared" si="132"/>
        <v>129</v>
      </c>
      <c r="D813" s="19">
        <f t="shared" si="133"/>
        <v>2</v>
      </c>
      <c r="E813" s="19">
        <f>VLOOKUP(MOD(A813,4),各职业基础配置!C$32:D$35,2,FALSE)</f>
        <v>1</v>
      </c>
      <c r="F813" s="19">
        <f>IF(A813&lt;900,INDEX(各职业基础配置!C$23:C$28,MOD(ROW(A813),4)+1),0)</f>
        <v>13</v>
      </c>
      <c r="G813" s="19">
        <f t="shared" si="134"/>
        <v>4</v>
      </c>
      <c r="H813" s="27">
        <f t="shared" si="135"/>
        <v>1</v>
      </c>
      <c r="I813" s="6" t="s">
        <v>164</v>
      </c>
      <c r="J813" s="23" t="str">
        <f>VLOOKUP(E813,各职业基础配置!$B$9:$C$12,2,FALSE)</f>
        <v>101|102|103|4201|105</v>
      </c>
      <c r="K813" s="18" t="str">
        <f>VLOOKUP(E813,各职业基础配置!$B$15:$C$18,2,FALSE)</f>
        <v>24|25|26|27</v>
      </c>
      <c r="L813" s="18" t="str">
        <f>VLOOKUP(E813,各职业基础配置!B:C,2,FALSE)</f>
        <v>[{24,1,1},{25,1,1},{26,1,1},{27,1,1},{1,1,1},{2,1,1},{3,1,1}]</v>
      </c>
      <c r="M813" s="18">
        <v>0</v>
      </c>
      <c r="N813" s="18">
        <f t="shared" si="136"/>
        <v>3</v>
      </c>
      <c r="O813" s="18">
        <f>SUMPRODUCT(P813:AI813,Sheet2!$B$3:$U$3)</f>
        <v>47578</v>
      </c>
      <c r="P813" s="18">
        <f>CEILING(INDEX([1]系统模型!$VD:$VD,MATCH(C813,[1]系统模型!$A:$A,0))*POWER(C813/220,3.8)-50+(1000-A813),1)</f>
        <v>605</v>
      </c>
      <c r="Q813" s="18">
        <f>CEILING(INDEX([1]系统模型!$VE:$VE,MATCH(C813,[1]系统模型!$A:$A,0))*POWER(C813/220,4),1)</f>
        <v>50</v>
      </c>
      <c r="R813" s="18">
        <f>INT(INDEX([1]系统模型!$VF:$VF,MATCH(C813,[1]系统模型!$A:$A,0))*MAX(POWER(C813/180,4),0.5))</f>
        <v>7228</v>
      </c>
      <c r="S813" s="5">
        <v>1000</v>
      </c>
      <c r="T813" s="25">
        <v>0</v>
      </c>
      <c r="U813" s="25">
        <v>0</v>
      </c>
      <c r="V813" s="25">
        <v>0</v>
      </c>
      <c r="W813" s="25">
        <v>0</v>
      </c>
      <c r="X813" s="25">
        <f t="shared" si="137"/>
        <v>361</v>
      </c>
      <c r="Y813" s="12">
        <v>0</v>
      </c>
      <c r="Z813" s="25">
        <v>100</v>
      </c>
      <c r="AA813" s="25">
        <v>150</v>
      </c>
      <c r="AB813" s="25">
        <v>0</v>
      </c>
      <c r="AC813" s="25">
        <v>0</v>
      </c>
      <c r="AD813" s="25">
        <v>0</v>
      </c>
      <c r="AE813" s="25">
        <f t="shared" si="138"/>
        <v>258</v>
      </c>
      <c r="AF813" s="25">
        <f t="shared" si="139"/>
        <v>258</v>
      </c>
      <c r="AG813" s="25">
        <v>0</v>
      </c>
      <c r="AH813" s="25">
        <f t="shared" si="140"/>
        <v>925</v>
      </c>
      <c r="AI813" s="25">
        <f t="shared" si="141"/>
        <v>8</v>
      </c>
      <c r="AJ813" s="25">
        <v>1</v>
      </c>
      <c r="AK813" s="25">
        <v>1000</v>
      </c>
      <c r="AL813" s="25">
        <v>100</v>
      </c>
      <c r="AM813" s="26">
        <v>10</v>
      </c>
      <c r="AN813" s="26">
        <v>10</v>
      </c>
      <c r="AO813" s="22" t="s">
        <v>2211</v>
      </c>
      <c r="AP813" s="26">
        <v>0</v>
      </c>
      <c r="AQ813" s="26">
        <f t="shared" si="142"/>
        <v>180</v>
      </c>
      <c r="AR813" s="18" t="str">
        <f ca="1">CONCATENATE(OFFSET(Sheet1!$A$2,RANDBETWEEN(2,500),0,1,1),OFFSET(Sheet1!$A$2,RANDBETWEEN(2,500),RANDBETWEEN(1,5),1,1))</f>
        <v>菲尔丁蕾妮</v>
      </c>
      <c r="AS813">
        <f>SUMPRODUCT(P813:AI813,Sheet2!$B$3:$U$3)</f>
        <v>47578</v>
      </c>
    </row>
    <row r="814" spans="1:45" x14ac:dyDescent="0.15">
      <c r="A814" s="23">
        <v>813</v>
      </c>
      <c r="B814" s="18" t="s">
        <v>1129</v>
      </c>
      <c r="C814" s="18">
        <f t="shared" si="132"/>
        <v>129</v>
      </c>
      <c r="D814" s="19">
        <f t="shared" si="133"/>
        <v>3</v>
      </c>
      <c r="E814" s="19">
        <f>VLOOKUP(MOD(A814,4),各职业基础配置!C$32:D$35,2,FALSE)</f>
        <v>3</v>
      </c>
      <c r="F814" s="19">
        <f>IF(A814&lt;900,INDEX(各职业基础配置!C$23:C$28,MOD(ROW(A814),4)+1),0)</f>
        <v>14</v>
      </c>
      <c r="G814" s="19">
        <f t="shared" si="134"/>
        <v>4</v>
      </c>
      <c r="H814" s="27">
        <f t="shared" si="135"/>
        <v>1</v>
      </c>
      <c r="I814" s="6" t="s">
        <v>164</v>
      </c>
      <c r="J814" s="23" t="str">
        <f>VLOOKUP(E814,各职业基础配置!$B$9:$C$12,2,FALSE)</f>
        <v>106|107|108|4201|110</v>
      </c>
      <c r="K814" s="18" t="str">
        <f>VLOOKUP(E814,各职业基础配置!$B$15:$C$18,2,FALSE)</f>
        <v>20|21|22|23</v>
      </c>
      <c r="L814" s="18" t="str">
        <f>VLOOKUP(E814,各职业基础配置!B:C,2,FALSE)</f>
        <v>[{20,1,1},{21,1,1},{22,1,1},{23,1,1},{4,1,1},{5,1,1},{6,1,1}]</v>
      </c>
      <c r="M814" s="18">
        <v>0</v>
      </c>
      <c r="N814" s="18">
        <f t="shared" si="136"/>
        <v>7</v>
      </c>
      <c r="O814" s="18">
        <f>SUMPRODUCT(P814:AI814,Sheet2!$B$3:$U$3)</f>
        <v>47553</v>
      </c>
      <c r="P814" s="18">
        <f>CEILING(INDEX([1]系统模型!$VD:$VD,MATCH(C814,[1]系统模型!$A:$A,0))*POWER(C814/220,3.8)-50+(1000-A814),1)</f>
        <v>604</v>
      </c>
      <c r="Q814" s="18">
        <f>CEILING(INDEX([1]系统模型!$VE:$VE,MATCH(C814,[1]系统模型!$A:$A,0))*POWER(C814/220,4),1)</f>
        <v>50</v>
      </c>
      <c r="R814" s="18">
        <f>INT(INDEX([1]系统模型!$VF:$VF,MATCH(C814,[1]系统模型!$A:$A,0))*MAX(POWER(C814/180,4),0.5))</f>
        <v>7228</v>
      </c>
      <c r="S814" s="5">
        <v>1000</v>
      </c>
      <c r="T814" s="25">
        <v>0</v>
      </c>
      <c r="U814" s="25">
        <v>0</v>
      </c>
      <c r="V814" s="25">
        <v>0</v>
      </c>
      <c r="W814" s="25">
        <v>0</v>
      </c>
      <c r="X814" s="25">
        <f t="shared" si="137"/>
        <v>361</v>
      </c>
      <c r="Y814" s="12">
        <v>0</v>
      </c>
      <c r="Z814" s="25">
        <v>100</v>
      </c>
      <c r="AA814" s="25">
        <v>150</v>
      </c>
      <c r="AB814" s="25">
        <v>0</v>
      </c>
      <c r="AC814" s="25">
        <v>0</v>
      </c>
      <c r="AD814" s="25">
        <v>0</v>
      </c>
      <c r="AE814" s="25">
        <f t="shared" si="138"/>
        <v>258</v>
      </c>
      <c r="AF814" s="25">
        <f t="shared" si="139"/>
        <v>258</v>
      </c>
      <c r="AG814" s="25">
        <v>0</v>
      </c>
      <c r="AH814" s="25">
        <f t="shared" si="140"/>
        <v>925</v>
      </c>
      <c r="AI814" s="25">
        <f t="shared" si="141"/>
        <v>8</v>
      </c>
      <c r="AJ814" s="25">
        <v>1</v>
      </c>
      <c r="AK814" s="25">
        <v>1000</v>
      </c>
      <c r="AL814" s="25">
        <v>100</v>
      </c>
      <c r="AM814" s="26">
        <v>10</v>
      </c>
      <c r="AN814" s="26">
        <v>10</v>
      </c>
      <c r="AO814" s="22" t="s">
        <v>2211</v>
      </c>
      <c r="AP814" s="26">
        <v>0</v>
      </c>
      <c r="AQ814" s="26">
        <f t="shared" si="142"/>
        <v>180</v>
      </c>
      <c r="AR814" s="18" t="str">
        <f ca="1">CONCATENATE(OFFSET(Sheet1!$A$2,RANDBETWEEN(2,500),0,1,1),OFFSET(Sheet1!$A$2,RANDBETWEEN(2,500),RANDBETWEEN(1,5),1,1))</f>
        <v>埃文莫莫</v>
      </c>
      <c r="AS814">
        <f>SUMPRODUCT(P814:AI814,Sheet2!$B$3:$U$3)</f>
        <v>47553</v>
      </c>
    </row>
    <row r="815" spans="1:45" x14ac:dyDescent="0.15">
      <c r="A815" s="18">
        <v>814</v>
      </c>
      <c r="B815" s="18" t="s">
        <v>1253</v>
      </c>
      <c r="C815" s="18">
        <f t="shared" si="132"/>
        <v>129</v>
      </c>
      <c r="D815" s="19">
        <f t="shared" si="133"/>
        <v>2</v>
      </c>
      <c r="E815" s="19">
        <f>VLOOKUP(MOD(A815,4),各职业基础配置!C$32:D$35,2,FALSE)</f>
        <v>6</v>
      </c>
      <c r="F815" s="19">
        <f>IF(A815&lt;900,INDEX(各职业基础配置!C$23:C$28,MOD(ROW(A815),4)+1),0)</f>
        <v>16</v>
      </c>
      <c r="G815" s="19">
        <f t="shared" si="134"/>
        <v>4</v>
      </c>
      <c r="H815" s="27">
        <f t="shared" si="135"/>
        <v>1</v>
      </c>
      <c r="I815" s="6" t="s">
        <v>164</v>
      </c>
      <c r="J815" s="23" t="str">
        <f>VLOOKUP(E815,各职业基础配置!$B$9:$C$12,2,FALSE)</f>
        <v>111|112|113|4201|115</v>
      </c>
      <c r="K815" s="18" t="str">
        <f>VLOOKUP(E815,各职业基础配置!$B$15:$C$18,2,FALSE)</f>
        <v>32|33|34</v>
      </c>
      <c r="L815" s="18" t="str">
        <f>VLOOKUP(E815,各职业基础配置!B:C,2,FALSE)</f>
        <v>[{32,1,1},{33,1,1},{34,1,1},{35,1,1},{7,1,1},{8,1,1},{9,1,1}]</v>
      </c>
      <c r="M815" s="18">
        <v>0</v>
      </c>
      <c r="N815" s="18">
        <f t="shared" si="136"/>
        <v>7</v>
      </c>
      <c r="O815" s="18">
        <f>SUMPRODUCT(P815:AI815,Sheet2!$B$3:$U$3)</f>
        <v>47528</v>
      </c>
      <c r="P815" s="18">
        <f>CEILING(INDEX([1]系统模型!$VD:$VD,MATCH(C815,[1]系统模型!$A:$A,0))*POWER(C815/220,3.8)-50+(1000-A815),1)</f>
        <v>603</v>
      </c>
      <c r="Q815" s="18">
        <f>CEILING(INDEX([1]系统模型!$VE:$VE,MATCH(C815,[1]系统模型!$A:$A,0))*POWER(C815/220,4),1)</f>
        <v>50</v>
      </c>
      <c r="R815" s="18">
        <f>INT(INDEX([1]系统模型!$VF:$VF,MATCH(C815,[1]系统模型!$A:$A,0))*MAX(POWER(C815/180,4),0.5))</f>
        <v>7228</v>
      </c>
      <c r="S815" s="5">
        <v>1000</v>
      </c>
      <c r="T815" s="25">
        <v>0</v>
      </c>
      <c r="U815" s="25">
        <v>0</v>
      </c>
      <c r="V815" s="25">
        <v>0</v>
      </c>
      <c r="W815" s="25">
        <v>0</v>
      </c>
      <c r="X815" s="25">
        <f t="shared" si="137"/>
        <v>361</v>
      </c>
      <c r="Y815" s="12">
        <v>0</v>
      </c>
      <c r="Z815" s="25">
        <v>100</v>
      </c>
      <c r="AA815" s="25">
        <v>150</v>
      </c>
      <c r="AB815" s="25">
        <v>0</v>
      </c>
      <c r="AC815" s="25">
        <v>0</v>
      </c>
      <c r="AD815" s="25">
        <v>0</v>
      </c>
      <c r="AE815" s="25">
        <f t="shared" si="138"/>
        <v>258</v>
      </c>
      <c r="AF815" s="25">
        <f t="shared" si="139"/>
        <v>258</v>
      </c>
      <c r="AG815" s="25">
        <v>0</v>
      </c>
      <c r="AH815" s="25">
        <f t="shared" si="140"/>
        <v>925</v>
      </c>
      <c r="AI815" s="25">
        <f t="shared" si="141"/>
        <v>8</v>
      </c>
      <c r="AJ815" s="25">
        <v>1</v>
      </c>
      <c r="AK815" s="25">
        <v>1000</v>
      </c>
      <c r="AL815" s="25">
        <v>100</v>
      </c>
      <c r="AM815" s="26">
        <v>10</v>
      </c>
      <c r="AN815" s="26">
        <v>10</v>
      </c>
      <c r="AO815" s="22" t="s">
        <v>2211</v>
      </c>
      <c r="AP815" s="26">
        <v>0</v>
      </c>
      <c r="AQ815" s="26">
        <f t="shared" si="142"/>
        <v>170</v>
      </c>
      <c r="AR815" s="18" t="str">
        <f ca="1">CONCATENATE(OFFSET(Sheet1!$A$2,RANDBETWEEN(2,500),0,1,1),OFFSET(Sheet1!$A$2,RANDBETWEEN(2,500),RANDBETWEEN(1,5),1,1))</f>
        <v>亨廷顿阿尔娃</v>
      </c>
      <c r="AS815">
        <f>SUMPRODUCT(P815:AI815,Sheet2!$B$3:$U$3)</f>
        <v>47528</v>
      </c>
    </row>
    <row r="816" spans="1:45" x14ac:dyDescent="0.15">
      <c r="A816" s="18">
        <v>815</v>
      </c>
      <c r="B816" s="18" t="s">
        <v>1012</v>
      </c>
      <c r="C816" s="18">
        <f t="shared" si="132"/>
        <v>129</v>
      </c>
      <c r="D816" s="19">
        <f t="shared" si="133"/>
        <v>3</v>
      </c>
      <c r="E816" s="19">
        <f>VLOOKUP(MOD(A816,4),各职业基础配置!C$32:D$35,2,FALSE)</f>
        <v>9</v>
      </c>
      <c r="F816" s="19">
        <f>IF(A816&lt;900,INDEX(各职业基础配置!C$23:C$28,MOD(ROW(A816),4)+1),0)</f>
        <v>8</v>
      </c>
      <c r="G816" s="19">
        <f t="shared" si="134"/>
        <v>4</v>
      </c>
      <c r="H816" s="27">
        <f t="shared" si="135"/>
        <v>1</v>
      </c>
      <c r="I816" s="6" t="s">
        <v>164</v>
      </c>
      <c r="J816" s="23" t="str">
        <f>VLOOKUP(E816,各职业基础配置!$B$9:$C$12,2,FALSE)</f>
        <v>116|117|118|4201|120</v>
      </c>
      <c r="K816" s="18" t="str">
        <f>VLOOKUP(E816,各职业基础配置!$B$15:$C$18,2,FALSE)</f>
        <v>28|29|30|31</v>
      </c>
      <c r="L816" s="18" t="str">
        <f>VLOOKUP(E816,各职业基础配置!B:C,2,FALSE)</f>
        <v>[{28,1,1},{29,1,1},{30,1,1},{31,1,1},{10,1,1},{11,1,1},{12,1,1}]</v>
      </c>
      <c r="M816" s="18">
        <v>0</v>
      </c>
      <c r="N816" s="18">
        <f t="shared" si="136"/>
        <v>3</v>
      </c>
      <c r="O816" s="18">
        <f>SUMPRODUCT(P816:AI816,Sheet2!$B$3:$U$3)</f>
        <v>47503</v>
      </c>
      <c r="P816" s="18">
        <f>CEILING(INDEX([1]系统模型!$VD:$VD,MATCH(C816,[1]系统模型!$A:$A,0))*POWER(C816/220,3.8)-50+(1000-A816),1)</f>
        <v>602</v>
      </c>
      <c r="Q816" s="18">
        <f>CEILING(INDEX([1]系统模型!$VE:$VE,MATCH(C816,[1]系统模型!$A:$A,0))*POWER(C816/220,4),1)</f>
        <v>50</v>
      </c>
      <c r="R816" s="18">
        <f>INT(INDEX([1]系统模型!$VF:$VF,MATCH(C816,[1]系统模型!$A:$A,0))*MAX(POWER(C816/180,4),0.5))</f>
        <v>7228</v>
      </c>
      <c r="S816" s="5">
        <v>1000</v>
      </c>
      <c r="T816" s="25">
        <v>0</v>
      </c>
      <c r="U816" s="25">
        <v>0</v>
      </c>
      <c r="V816" s="25">
        <v>0</v>
      </c>
      <c r="W816" s="25">
        <v>0</v>
      </c>
      <c r="X816" s="25">
        <f t="shared" si="137"/>
        <v>361</v>
      </c>
      <c r="Y816" s="12">
        <v>0</v>
      </c>
      <c r="Z816" s="25">
        <v>100</v>
      </c>
      <c r="AA816" s="25">
        <v>150</v>
      </c>
      <c r="AB816" s="25">
        <v>0</v>
      </c>
      <c r="AC816" s="25">
        <v>0</v>
      </c>
      <c r="AD816" s="25">
        <v>0</v>
      </c>
      <c r="AE816" s="25">
        <f t="shared" si="138"/>
        <v>258</v>
      </c>
      <c r="AF816" s="25">
        <f t="shared" si="139"/>
        <v>258</v>
      </c>
      <c r="AG816" s="25">
        <v>0</v>
      </c>
      <c r="AH816" s="25">
        <f t="shared" si="140"/>
        <v>925</v>
      </c>
      <c r="AI816" s="25">
        <f t="shared" si="141"/>
        <v>8</v>
      </c>
      <c r="AJ816" s="25">
        <v>1</v>
      </c>
      <c r="AK816" s="25">
        <v>1000</v>
      </c>
      <c r="AL816" s="25">
        <v>100</v>
      </c>
      <c r="AM816" s="26">
        <v>10</v>
      </c>
      <c r="AN816" s="26">
        <v>10</v>
      </c>
      <c r="AO816" s="22" t="s">
        <v>2211</v>
      </c>
      <c r="AP816" s="26">
        <v>0</v>
      </c>
      <c r="AQ816" s="26">
        <f t="shared" si="142"/>
        <v>170</v>
      </c>
      <c r="AR816" s="18" t="str">
        <f ca="1">CONCATENATE(OFFSET(Sheet1!$A$2,RANDBETWEEN(2,500),0,1,1),OFFSET(Sheet1!$A$2,RANDBETWEEN(2,500),RANDBETWEEN(1,5),1,1))</f>
        <v>琼森艾德文娜</v>
      </c>
      <c r="AS816">
        <f>SUMPRODUCT(P816:AI816,Sheet2!$B$3:$U$3)</f>
        <v>47503</v>
      </c>
    </row>
    <row r="817" spans="1:45" x14ac:dyDescent="0.15">
      <c r="A817" s="23">
        <v>816</v>
      </c>
      <c r="B817" s="18" t="s">
        <v>1138</v>
      </c>
      <c r="C817" s="18">
        <f t="shared" si="132"/>
        <v>129</v>
      </c>
      <c r="D817" s="19">
        <f t="shared" si="133"/>
        <v>2</v>
      </c>
      <c r="E817" s="19">
        <f>VLOOKUP(MOD(A817,4),各职业基础配置!C$32:D$35,2,FALSE)</f>
        <v>1</v>
      </c>
      <c r="F817" s="19">
        <f>IF(A817&lt;900,INDEX(各职业基础配置!C$23:C$28,MOD(ROW(A817),4)+1),0)</f>
        <v>13</v>
      </c>
      <c r="G817" s="19">
        <f t="shared" si="134"/>
        <v>4</v>
      </c>
      <c r="H817" s="27">
        <f t="shared" si="135"/>
        <v>1</v>
      </c>
      <c r="I817" s="6" t="s">
        <v>164</v>
      </c>
      <c r="J817" s="23" t="str">
        <f>VLOOKUP(E817,各职业基础配置!$B$9:$C$12,2,FALSE)</f>
        <v>101|102|103|4201|105</v>
      </c>
      <c r="K817" s="18" t="str">
        <f>VLOOKUP(E817,各职业基础配置!$B$15:$C$18,2,FALSE)</f>
        <v>24|25|26|27</v>
      </c>
      <c r="L817" s="18" t="str">
        <f>VLOOKUP(E817,各职业基础配置!B:C,2,FALSE)</f>
        <v>[{24,1,1},{25,1,1},{26,1,1},{27,1,1},{1,1,1},{2,1,1},{3,1,1}]</v>
      </c>
      <c r="M817" s="18">
        <v>0</v>
      </c>
      <c r="N817" s="18">
        <f t="shared" si="136"/>
        <v>3</v>
      </c>
      <c r="O817" s="18">
        <f>SUMPRODUCT(P817:AI817,Sheet2!$B$3:$U$3)</f>
        <v>47478</v>
      </c>
      <c r="P817" s="18">
        <f>CEILING(INDEX([1]系统模型!$VD:$VD,MATCH(C817,[1]系统模型!$A:$A,0))*POWER(C817/220,3.8)-50+(1000-A817),1)</f>
        <v>601</v>
      </c>
      <c r="Q817" s="18">
        <f>CEILING(INDEX([1]系统模型!$VE:$VE,MATCH(C817,[1]系统模型!$A:$A,0))*POWER(C817/220,4),1)</f>
        <v>50</v>
      </c>
      <c r="R817" s="18">
        <f>INT(INDEX([1]系统模型!$VF:$VF,MATCH(C817,[1]系统模型!$A:$A,0))*MAX(POWER(C817/180,4),0.5))</f>
        <v>7228</v>
      </c>
      <c r="S817" s="5">
        <v>1000</v>
      </c>
      <c r="T817" s="25">
        <v>0</v>
      </c>
      <c r="U817" s="25">
        <v>0</v>
      </c>
      <c r="V817" s="25">
        <v>0</v>
      </c>
      <c r="W817" s="25">
        <v>0</v>
      </c>
      <c r="X817" s="25">
        <f t="shared" si="137"/>
        <v>361</v>
      </c>
      <c r="Y817" s="12">
        <v>0</v>
      </c>
      <c r="Z817" s="25">
        <v>100</v>
      </c>
      <c r="AA817" s="25">
        <v>150</v>
      </c>
      <c r="AB817" s="25">
        <v>0</v>
      </c>
      <c r="AC817" s="25">
        <v>0</v>
      </c>
      <c r="AD817" s="25">
        <v>0</v>
      </c>
      <c r="AE817" s="25">
        <f t="shared" si="138"/>
        <v>258</v>
      </c>
      <c r="AF817" s="25">
        <f t="shared" si="139"/>
        <v>258</v>
      </c>
      <c r="AG817" s="25">
        <v>0</v>
      </c>
      <c r="AH817" s="25">
        <f t="shared" si="140"/>
        <v>925</v>
      </c>
      <c r="AI817" s="25">
        <f t="shared" si="141"/>
        <v>8</v>
      </c>
      <c r="AJ817" s="25">
        <v>1</v>
      </c>
      <c r="AK817" s="25">
        <v>1000</v>
      </c>
      <c r="AL817" s="25">
        <v>100</v>
      </c>
      <c r="AM817" s="26">
        <v>10</v>
      </c>
      <c r="AN817" s="26">
        <v>10</v>
      </c>
      <c r="AO817" s="22" t="s">
        <v>2211</v>
      </c>
      <c r="AP817" s="26">
        <v>0</v>
      </c>
      <c r="AQ817" s="26">
        <f t="shared" si="142"/>
        <v>170</v>
      </c>
      <c r="AR817" s="18" t="str">
        <f ca="1">CONCATENATE(OFFSET(Sheet1!$A$2,RANDBETWEEN(2,500),0,1,1),OFFSET(Sheet1!$A$2,RANDBETWEEN(2,500),RANDBETWEEN(1,5),1,1))</f>
        <v>亚当斯</v>
      </c>
      <c r="AS817">
        <f>SUMPRODUCT(P817:AI817,Sheet2!$B$3:$U$3)</f>
        <v>47478</v>
      </c>
    </row>
    <row r="818" spans="1:45" x14ac:dyDescent="0.15">
      <c r="A818" s="18">
        <v>817</v>
      </c>
      <c r="B818" s="18" t="s">
        <v>528</v>
      </c>
      <c r="C818" s="18">
        <f t="shared" si="132"/>
        <v>129</v>
      </c>
      <c r="D818" s="19">
        <f t="shared" si="133"/>
        <v>3</v>
      </c>
      <c r="E818" s="19">
        <f>VLOOKUP(MOD(A818,4),各职业基础配置!C$32:D$35,2,FALSE)</f>
        <v>3</v>
      </c>
      <c r="F818" s="19">
        <f>IF(A818&lt;900,INDEX(各职业基础配置!C$23:C$28,MOD(ROW(A818),4)+1),0)</f>
        <v>14</v>
      </c>
      <c r="G818" s="19">
        <f t="shared" si="134"/>
        <v>4</v>
      </c>
      <c r="H818" s="27">
        <f t="shared" si="135"/>
        <v>1</v>
      </c>
      <c r="I818" s="6" t="s">
        <v>164</v>
      </c>
      <c r="J818" s="23" t="str">
        <f>VLOOKUP(E818,各职业基础配置!$B$9:$C$12,2,FALSE)</f>
        <v>106|107|108|4201|110</v>
      </c>
      <c r="K818" s="18" t="str">
        <f>VLOOKUP(E818,各职业基础配置!$B$15:$C$18,2,FALSE)</f>
        <v>20|21|22|23</v>
      </c>
      <c r="L818" s="18" t="str">
        <f>VLOOKUP(E818,各职业基础配置!B:C,2,FALSE)</f>
        <v>[{20,1,1},{21,1,1},{22,1,1},{23,1,1},{4,1,1},{5,1,1},{6,1,1}]</v>
      </c>
      <c r="M818" s="18">
        <v>0</v>
      </c>
      <c r="N818" s="18">
        <f t="shared" si="136"/>
        <v>7</v>
      </c>
      <c r="O818" s="18">
        <f>SUMPRODUCT(P818:AI818,Sheet2!$B$3:$U$3)</f>
        <v>47453</v>
      </c>
      <c r="P818" s="18">
        <f>CEILING(INDEX([1]系统模型!$VD:$VD,MATCH(C818,[1]系统模型!$A:$A,0))*POWER(C818/220,3.8)-50+(1000-A818),1)</f>
        <v>600</v>
      </c>
      <c r="Q818" s="18">
        <f>CEILING(INDEX([1]系统模型!$VE:$VE,MATCH(C818,[1]系统模型!$A:$A,0))*POWER(C818/220,4),1)</f>
        <v>50</v>
      </c>
      <c r="R818" s="18">
        <f>INT(INDEX([1]系统模型!$VF:$VF,MATCH(C818,[1]系统模型!$A:$A,0))*MAX(POWER(C818/180,4),0.5))</f>
        <v>7228</v>
      </c>
      <c r="S818" s="5">
        <v>1000</v>
      </c>
      <c r="T818" s="25">
        <v>0</v>
      </c>
      <c r="U818" s="25">
        <v>0</v>
      </c>
      <c r="V818" s="25">
        <v>0</v>
      </c>
      <c r="W818" s="25">
        <v>0</v>
      </c>
      <c r="X818" s="25">
        <f t="shared" si="137"/>
        <v>361</v>
      </c>
      <c r="Y818" s="12">
        <v>0</v>
      </c>
      <c r="Z818" s="25">
        <v>100</v>
      </c>
      <c r="AA818" s="25">
        <v>150</v>
      </c>
      <c r="AB818" s="25">
        <v>0</v>
      </c>
      <c r="AC818" s="25">
        <v>0</v>
      </c>
      <c r="AD818" s="25">
        <v>0</v>
      </c>
      <c r="AE818" s="25">
        <f t="shared" si="138"/>
        <v>258</v>
      </c>
      <c r="AF818" s="25">
        <f t="shared" si="139"/>
        <v>258</v>
      </c>
      <c r="AG818" s="25">
        <v>0</v>
      </c>
      <c r="AH818" s="25">
        <f t="shared" si="140"/>
        <v>925</v>
      </c>
      <c r="AI818" s="25">
        <f t="shared" si="141"/>
        <v>8</v>
      </c>
      <c r="AJ818" s="25">
        <v>1</v>
      </c>
      <c r="AK818" s="25">
        <v>1000</v>
      </c>
      <c r="AL818" s="25">
        <v>100</v>
      </c>
      <c r="AM818" s="26">
        <v>10</v>
      </c>
      <c r="AN818" s="26">
        <v>10</v>
      </c>
      <c r="AO818" s="22" t="s">
        <v>2211</v>
      </c>
      <c r="AP818" s="26">
        <v>0</v>
      </c>
      <c r="AQ818" s="26">
        <f t="shared" si="142"/>
        <v>170</v>
      </c>
      <c r="AR818" s="18" t="str">
        <f ca="1">CONCATENATE(OFFSET(Sheet1!$A$2,RANDBETWEEN(2,500),0,1,1),OFFSET(Sheet1!$A$2,RANDBETWEEN(2,500),RANDBETWEEN(1,5),1,1))</f>
        <v>哈特</v>
      </c>
      <c r="AS818">
        <f>SUMPRODUCT(P818:AI818,Sheet2!$B$3:$U$3)</f>
        <v>47453</v>
      </c>
    </row>
    <row r="819" spans="1:45" x14ac:dyDescent="0.15">
      <c r="A819" s="18">
        <v>818</v>
      </c>
      <c r="B819" s="18" t="s">
        <v>2136</v>
      </c>
      <c r="C819" s="18">
        <f t="shared" si="132"/>
        <v>128</v>
      </c>
      <c r="D819" s="19">
        <f t="shared" si="133"/>
        <v>2</v>
      </c>
      <c r="E819" s="19">
        <f>VLOOKUP(MOD(A819,4),各职业基础配置!C$32:D$35,2,FALSE)</f>
        <v>6</v>
      </c>
      <c r="F819" s="19">
        <f>IF(A819&lt;900,INDEX(各职业基础配置!C$23:C$28,MOD(ROW(A819),4)+1),0)</f>
        <v>16</v>
      </c>
      <c r="G819" s="19">
        <f t="shared" si="134"/>
        <v>4</v>
      </c>
      <c r="H819" s="27">
        <f t="shared" si="135"/>
        <v>1</v>
      </c>
      <c r="I819" s="6" t="s">
        <v>164</v>
      </c>
      <c r="J819" s="23" t="str">
        <f>VLOOKUP(E819,各职业基础配置!$B$9:$C$12,2,FALSE)</f>
        <v>111|112|113|4201|115</v>
      </c>
      <c r="K819" s="18" t="str">
        <f>VLOOKUP(E819,各职业基础配置!$B$15:$C$18,2,FALSE)</f>
        <v>32|33|34</v>
      </c>
      <c r="L819" s="18" t="str">
        <f>VLOOKUP(E819,各职业基础配置!B:C,2,FALSE)</f>
        <v>[{32,1,1},{33,1,1},{34,1,1},{35,1,1},{7,1,1},{8,1,1},{9,1,1}]</v>
      </c>
      <c r="M819" s="18">
        <v>0</v>
      </c>
      <c r="N819" s="18">
        <f t="shared" si="136"/>
        <v>7</v>
      </c>
      <c r="O819" s="18">
        <f>SUMPRODUCT(P819:AI819,Sheet2!$B$3:$U$3)</f>
        <v>46365</v>
      </c>
      <c r="P819" s="18">
        <f>CEILING(INDEX([1]系统模型!$VD:$VD,MATCH(C819,[1]系统模型!$A:$A,0))*POWER(C819/220,3.8)-50+(1000-A819),1)</f>
        <v>582</v>
      </c>
      <c r="Q819" s="18">
        <f>CEILING(INDEX([1]系统模型!$VE:$VE,MATCH(C819,[1]系统模型!$A:$A,0))*POWER(C819/220,4),1)</f>
        <v>48</v>
      </c>
      <c r="R819" s="18">
        <f>INT(INDEX([1]系统模型!$VF:$VF,MATCH(C819,[1]系统模型!$A:$A,0))*MAX(POWER(C819/180,4),0.5))</f>
        <v>7140</v>
      </c>
      <c r="S819" s="5">
        <v>1000</v>
      </c>
      <c r="T819" s="25">
        <v>0</v>
      </c>
      <c r="U819" s="25">
        <v>0</v>
      </c>
      <c r="V819" s="25">
        <v>0</v>
      </c>
      <c r="W819" s="25">
        <v>0</v>
      </c>
      <c r="X819" s="25">
        <f t="shared" si="137"/>
        <v>357</v>
      </c>
      <c r="Y819" s="12">
        <v>0</v>
      </c>
      <c r="Z819" s="25">
        <v>100</v>
      </c>
      <c r="AA819" s="25">
        <v>150</v>
      </c>
      <c r="AB819" s="25">
        <v>0</v>
      </c>
      <c r="AC819" s="25">
        <v>0</v>
      </c>
      <c r="AD819" s="25">
        <v>0</v>
      </c>
      <c r="AE819" s="25">
        <f t="shared" si="138"/>
        <v>256</v>
      </c>
      <c r="AF819" s="25">
        <f t="shared" si="139"/>
        <v>256</v>
      </c>
      <c r="AG819" s="25">
        <v>0</v>
      </c>
      <c r="AH819" s="25">
        <f t="shared" si="140"/>
        <v>850</v>
      </c>
      <c r="AI819" s="25">
        <f t="shared" si="141"/>
        <v>7</v>
      </c>
      <c r="AJ819" s="25">
        <v>1</v>
      </c>
      <c r="AK819" s="25">
        <v>1000</v>
      </c>
      <c r="AL819" s="25">
        <v>100</v>
      </c>
      <c r="AM819" s="26">
        <v>10</v>
      </c>
      <c r="AN819" s="26">
        <v>10</v>
      </c>
      <c r="AO819" s="22" t="s">
        <v>2211</v>
      </c>
      <c r="AP819" s="26">
        <v>0</v>
      </c>
      <c r="AQ819" s="26">
        <f t="shared" si="142"/>
        <v>170</v>
      </c>
      <c r="AR819" s="18" t="str">
        <f ca="1">CONCATENATE(OFFSET(Sheet1!$A$2,RANDBETWEEN(2,500),0,1,1),OFFSET(Sheet1!$A$2,RANDBETWEEN(2,500),RANDBETWEEN(1,5),1,1))</f>
        <v>弗琳希伯来</v>
      </c>
      <c r="AS819">
        <f>SUMPRODUCT(P819:AI819,Sheet2!$B$3:$U$3)</f>
        <v>46365</v>
      </c>
    </row>
    <row r="820" spans="1:45" x14ac:dyDescent="0.15">
      <c r="A820" s="23">
        <v>819</v>
      </c>
      <c r="B820" s="18" t="s">
        <v>572</v>
      </c>
      <c r="C820" s="18">
        <f t="shared" si="132"/>
        <v>128</v>
      </c>
      <c r="D820" s="19">
        <f t="shared" si="133"/>
        <v>3</v>
      </c>
      <c r="E820" s="19">
        <f>VLOOKUP(MOD(A820,4),各职业基础配置!C$32:D$35,2,FALSE)</f>
        <v>9</v>
      </c>
      <c r="F820" s="19">
        <f>IF(A820&lt;900,INDEX(各职业基础配置!C$23:C$28,MOD(ROW(A820),4)+1),0)</f>
        <v>8</v>
      </c>
      <c r="G820" s="19">
        <f t="shared" si="134"/>
        <v>4</v>
      </c>
      <c r="H820" s="27">
        <f t="shared" si="135"/>
        <v>1</v>
      </c>
      <c r="I820" s="6" t="s">
        <v>164</v>
      </c>
      <c r="J820" s="23" t="str">
        <f>VLOOKUP(E820,各职业基础配置!$B$9:$C$12,2,FALSE)</f>
        <v>116|117|118|4201|120</v>
      </c>
      <c r="K820" s="18" t="str">
        <f>VLOOKUP(E820,各职业基础配置!$B$15:$C$18,2,FALSE)</f>
        <v>28|29|30|31</v>
      </c>
      <c r="L820" s="18" t="str">
        <f>VLOOKUP(E820,各职业基础配置!B:C,2,FALSE)</f>
        <v>[{28,1,1},{29,1,1},{30,1,1},{31,1,1},{10,1,1},{11,1,1},{12,1,1}]</v>
      </c>
      <c r="M820" s="18">
        <v>0</v>
      </c>
      <c r="N820" s="18">
        <f t="shared" si="136"/>
        <v>3</v>
      </c>
      <c r="O820" s="18">
        <f>SUMPRODUCT(P820:AI820,Sheet2!$B$3:$U$3)</f>
        <v>46340</v>
      </c>
      <c r="P820" s="18">
        <f>CEILING(INDEX([1]系统模型!$VD:$VD,MATCH(C820,[1]系统模型!$A:$A,0))*POWER(C820/220,3.8)-50+(1000-A820),1)</f>
        <v>581</v>
      </c>
      <c r="Q820" s="18">
        <f>CEILING(INDEX([1]系统模型!$VE:$VE,MATCH(C820,[1]系统模型!$A:$A,0))*POWER(C820/220,4),1)</f>
        <v>48</v>
      </c>
      <c r="R820" s="18">
        <f>INT(INDEX([1]系统模型!$VF:$VF,MATCH(C820,[1]系统模型!$A:$A,0))*MAX(POWER(C820/180,4),0.5))</f>
        <v>7140</v>
      </c>
      <c r="S820" s="5">
        <v>1000</v>
      </c>
      <c r="T820" s="25">
        <v>0</v>
      </c>
      <c r="U820" s="25">
        <v>0</v>
      </c>
      <c r="V820" s="25">
        <v>0</v>
      </c>
      <c r="W820" s="25">
        <v>0</v>
      </c>
      <c r="X820" s="25">
        <f t="shared" si="137"/>
        <v>357</v>
      </c>
      <c r="Y820" s="12">
        <v>0</v>
      </c>
      <c r="Z820" s="25">
        <v>100</v>
      </c>
      <c r="AA820" s="25">
        <v>150</v>
      </c>
      <c r="AB820" s="25">
        <v>0</v>
      </c>
      <c r="AC820" s="25">
        <v>0</v>
      </c>
      <c r="AD820" s="25">
        <v>0</v>
      </c>
      <c r="AE820" s="25">
        <f t="shared" si="138"/>
        <v>256</v>
      </c>
      <c r="AF820" s="25">
        <f t="shared" si="139"/>
        <v>256</v>
      </c>
      <c r="AG820" s="25">
        <v>0</v>
      </c>
      <c r="AH820" s="25">
        <f t="shared" si="140"/>
        <v>850</v>
      </c>
      <c r="AI820" s="25">
        <f t="shared" si="141"/>
        <v>7</v>
      </c>
      <c r="AJ820" s="25">
        <v>1</v>
      </c>
      <c r="AK820" s="25">
        <v>1000</v>
      </c>
      <c r="AL820" s="25">
        <v>100</v>
      </c>
      <c r="AM820" s="26">
        <v>10</v>
      </c>
      <c r="AN820" s="26">
        <v>10</v>
      </c>
      <c r="AO820" s="22" t="s">
        <v>2211</v>
      </c>
      <c r="AP820" s="26">
        <v>0</v>
      </c>
      <c r="AQ820" s="26">
        <f t="shared" si="142"/>
        <v>170</v>
      </c>
      <c r="AR820" s="18" t="str">
        <f ca="1">CONCATENATE(OFFSET(Sheet1!$A$2,RANDBETWEEN(2,500),0,1,1),OFFSET(Sheet1!$A$2,RANDBETWEEN(2,500),RANDBETWEEN(1,5),1,1))</f>
        <v>海登</v>
      </c>
      <c r="AS820">
        <f>SUMPRODUCT(P820:AI820,Sheet2!$B$3:$U$3)</f>
        <v>46340</v>
      </c>
    </row>
    <row r="821" spans="1:45" x14ac:dyDescent="0.15">
      <c r="A821" s="18">
        <v>820</v>
      </c>
      <c r="B821" s="18" t="s">
        <v>1325</v>
      </c>
      <c r="C821" s="18">
        <f t="shared" si="132"/>
        <v>128</v>
      </c>
      <c r="D821" s="19">
        <f t="shared" si="133"/>
        <v>2</v>
      </c>
      <c r="E821" s="19">
        <f>VLOOKUP(MOD(A821,4),各职业基础配置!C$32:D$35,2,FALSE)</f>
        <v>1</v>
      </c>
      <c r="F821" s="19">
        <f>IF(A821&lt;900,INDEX(各职业基础配置!C$23:C$28,MOD(ROW(A821),4)+1),0)</f>
        <v>13</v>
      </c>
      <c r="G821" s="19">
        <f t="shared" si="134"/>
        <v>4</v>
      </c>
      <c r="H821" s="27">
        <f t="shared" si="135"/>
        <v>1</v>
      </c>
      <c r="I821" s="6" t="s">
        <v>164</v>
      </c>
      <c r="J821" s="23" t="str">
        <f>VLOOKUP(E821,各职业基础配置!$B$9:$C$12,2,FALSE)</f>
        <v>101|102|103|4201|105</v>
      </c>
      <c r="K821" s="18" t="str">
        <f>VLOOKUP(E821,各职业基础配置!$B$15:$C$18,2,FALSE)</f>
        <v>24|25|26|27</v>
      </c>
      <c r="L821" s="18" t="str">
        <f>VLOOKUP(E821,各职业基础配置!B:C,2,FALSE)</f>
        <v>[{24,1,1},{25,1,1},{26,1,1},{27,1,1},{1,1,1},{2,1,1},{3,1,1}]</v>
      </c>
      <c r="M821" s="18">
        <v>0</v>
      </c>
      <c r="N821" s="18">
        <f t="shared" si="136"/>
        <v>3</v>
      </c>
      <c r="O821" s="18">
        <f>SUMPRODUCT(P821:AI821,Sheet2!$B$3:$U$3)</f>
        <v>46315</v>
      </c>
      <c r="P821" s="18">
        <f>CEILING(INDEX([1]系统模型!$VD:$VD,MATCH(C821,[1]系统模型!$A:$A,0))*POWER(C821/220,3.8)-50+(1000-A821),1)</f>
        <v>580</v>
      </c>
      <c r="Q821" s="18">
        <f>CEILING(INDEX([1]系统模型!$VE:$VE,MATCH(C821,[1]系统模型!$A:$A,0))*POWER(C821/220,4),1)</f>
        <v>48</v>
      </c>
      <c r="R821" s="18">
        <f>INT(INDEX([1]系统模型!$VF:$VF,MATCH(C821,[1]系统模型!$A:$A,0))*MAX(POWER(C821/180,4),0.5))</f>
        <v>7140</v>
      </c>
      <c r="S821" s="5">
        <v>1000</v>
      </c>
      <c r="T821" s="25">
        <v>0</v>
      </c>
      <c r="U821" s="25">
        <v>0</v>
      </c>
      <c r="V821" s="25">
        <v>0</v>
      </c>
      <c r="W821" s="25">
        <v>0</v>
      </c>
      <c r="X821" s="25">
        <f t="shared" si="137"/>
        <v>357</v>
      </c>
      <c r="Y821" s="12">
        <v>0</v>
      </c>
      <c r="Z821" s="25">
        <v>100</v>
      </c>
      <c r="AA821" s="25">
        <v>150</v>
      </c>
      <c r="AB821" s="25">
        <v>0</v>
      </c>
      <c r="AC821" s="25">
        <v>0</v>
      </c>
      <c r="AD821" s="25">
        <v>0</v>
      </c>
      <c r="AE821" s="25">
        <f t="shared" si="138"/>
        <v>256</v>
      </c>
      <c r="AF821" s="25">
        <f t="shared" si="139"/>
        <v>256</v>
      </c>
      <c r="AG821" s="25">
        <v>0</v>
      </c>
      <c r="AH821" s="25">
        <f t="shared" si="140"/>
        <v>850</v>
      </c>
      <c r="AI821" s="25">
        <f t="shared" si="141"/>
        <v>7</v>
      </c>
      <c r="AJ821" s="25">
        <v>1</v>
      </c>
      <c r="AK821" s="25">
        <v>1000</v>
      </c>
      <c r="AL821" s="25">
        <v>100</v>
      </c>
      <c r="AM821" s="26">
        <v>10</v>
      </c>
      <c r="AN821" s="26">
        <v>10</v>
      </c>
      <c r="AO821" s="22" t="s">
        <v>2211</v>
      </c>
      <c r="AP821" s="26">
        <v>0</v>
      </c>
      <c r="AQ821" s="26">
        <f t="shared" si="142"/>
        <v>170</v>
      </c>
      <c r="AR821" s="18" t="str">
        <f ca="1">CONCATENATE(OFFSET(Sheet1!$A$2,RANDBETWEEN(2,500),0,1,1),OFFSET(Sheet1!$A$2,RANDBETWEEN(2,500),RANDBETWEEN(1,5),1,1))</f>
        <v>博比</v>
      </c>
      <c r="AS821">
        <f>SUMPRODUCT(P821:AI821,Sheet2!$B$3:$U$3)</f>
        <v>46315</v>
      </c>
    </row>
    <row r="822" spans="1:45" x14ac:dyDescent="0.15">
      <c r="A822" s="18">
        <v>821</v>
      </c>
      <c r="B822" s="18" t="s">
        <v>1007</v>
      </c>
      <c r="C822" s="18">
        <f t="shared" si="132"/>
        <v>128</v>
      </c>
      <c r="D822" s="19">
        <f t="shared" si="133"/>
        <v>3</v>
      </c>
      <c r="E822" s="19">
        <f>VLOOKUP(MOD(A822,4),各职业基础配置!C$32:D$35,2,FALSE)</f>
        <v>3</v>
      </c>
      <c r="F822" s="19">
        <f>IF(A822&lt;900,INDEX(各职业基础配置!C$23:C$28,MOD(ROW(A822),4)+1),0)</f>
        <v>14</v>
      </c>
      <c r="G822" s="19">
        <f t="shared" si="134"/>
        <v>4</v>
      </c>
      <c r="H822" s="27">
        <f t="shared" si="135"/>
        <v>1</v>
      </c>
      <c r="I822" s="6" t="s">
        <v>164</v>
      </c>
      <c r="J822" s="23" t="str">
        <f>VLOOKUP(E822,各职业基础配置!$B$9:$C$12,2,FALSE)</f>
        <v>106|107|108|4201|110</v>
      </c>
      <c r="K822" s="18" t="str">
        <f>VLOOKUP(E822,各职业基础配置!$B$15:$C$18,2,FALSE)</f>
        <v>20|21|22|23</v>
      </c>
      <c r="L822" s="18" t="str">
        <f>VLOOKUP(E822,各职业基础配置!B:C,2,FALSE)</f>
        <v>[{20,1,1},{21,1,1},{22,1,1},{23,1,1},{4,1,1},{5,1,1},{6,1,1}]</v>
      </c>
      <c r="M822" s="18">
        <v>0</v>
      </c>
      <c r="N822" s="18">
        <f t="shared" si="136"/>
        <v>7</v>
      </c>
      <c r="O822" s="18">
        <f>SUMPRODUCT(P822:AI822,Sheet2!$B$3:$U$3)</f>
        <v>46290</v>
      </c>
      <c r="P822" s="18">
        <f>CEILING(INDEX([1]系统模型!$VD:$VD,MATCH(C822,[1]系统模型!$A:$A,0))*POWER(C822/220,3.8)-50+(1000-A822),1)</f>
        <v>579</v>
      </c>
      <c r="Q822" s="18">
        <f>CEILING(INDEX([1]系统模型!$VE:$VE,MATCH(C822,[1]系统模型!$A:$A,0))*POWER(C822/220,4),1)</f>
        <v>48</v>
      </c>
      <c r="R822" s="18">
        <f>INT(INDEX([1]系统模型!$VF:$VF,MATCH(C822,[1]系统模型!$A:$A,0))*MAX(POWER(C822/180,4),0.5))</f>
        <v>7140</v>
      </c>
      <c r="S822" s="5">
        <v>1000</v>
      </c>
      <c r="T822" s="25">
        <v>0</v>
      </c>
      <c r="U822" s="25">
        <v>0</v>
      </c>
      <c r="V822" s="25">
        <v>0</v>
      </c>
      <c r="W822" s="25">
        <v>0</v>
      </c>
      <c r="X822" s="25">
        <f t="shared" si="137"/>
        <v>357</v>
      </c>
      <c r="Y822" s="12">
        <v>0</v>
      </c>
      <c r="Z822" s="25">
        <v>100</v>
      </c>
      <c r="AA822" s="25">
        <v>150</v>
      </c>
      <c r="AB822" s="25">
        <v>0</v>
      </c>
      <c r="AC822" s="25">
        <v>0</v>
      </c>
      <c r="AD822" s="25">
        <v>0</v>
      </c>
      <c r="AE822" s="25">
        <f t="shared" si="138"/>
        <v>256</v>
      </c>
      <c r="AF822" s="25">
        <f t="shared" si="139"/>
        <v>256</v>
      </c>
      <c r="AG822" s="25">
        <v>0</v>
      </c>
      <c r="AH822" s="25">
        <f t="shared" si="140"/>
        <v>850</v>
      </c>
      <c r="AI822" s="25">
        <f t="shared" si="141"/>
        <v>7</v>
      </c>
      <c r="AJ822" s="25">
        <v>1</v>
      </c>
      <c r="AK822" s="25">
        <v>1000</v>
      </c>
      <c r="AL822" s="25">
        <v>100</v>
      </c>
      <c r="AM822" s="26">
        <v>10</v>
      </c>
      <c r="AN822" s="26">
        <v>10</v>
      </c>
      <c r="AO822" s="22" t="s">
        <v>2211</v>
      </c>
      <c r="AP822" s="26">
        <v>0</v>
      </c>
      <c r="AQ822" s="26">
        <f t="shared" si="142"/>
        <v>170</v>
      </c>
      <c r="AR822" s="18" t="str">
        <f ca="1">CONCATENATE(OFFSET(Sheet1!$A$2,RANDBETWEEN(2,500),0,1,1),OFFSET(Sheet1!$A$2,RANDBETWEEN(2,500),RANDBETWEEN(1,5),1,1))</f>
        <v>杜波依斯罗丝</v>
      </c>
      <c r="AS822">
        <f>SUMPRODUCT(P822:AI822,Sheet2!$B$3:$U$3)</f>
        <v>46290</v>
      </c>
    </row>
    <row r="823" spans="1:45" x14ac:dyDescent="0.15">
      <c r="A823" s="23">
        <v>822</v>
      </c>
      <c r="B823" s="18" t="s">
        <v>2137</v>
      </c>
      <c r="C823" s="18">
        <f t="shared" si="132"/>
        <v>128</v>
      </c>
      <c r="D823" s="19">
        <f t="shared" si="133"/>
        <v>2</v>
      </c>
      <c r="E823" s="19">
        <f>VLOOKUP(MOD(A823,4),各职业基础配置!C$32:D$35,2,FALSE)</f>
        <v>6</v>
      </c>
      <c r="F823" s="19">
        <f>IF(A823&lt;900,INDEX(各职业基础配置!C$23:C$28,MOD(ROW(A823),4)+1),0)</f>
        <v>16</v>
      </c>
      <c r="G823" s="19">
        <f t="shared" si="134"/>
        <v>4</v>
      </c>
      <c r="H823" s="27">
        <f t="shared" si="135"/>
        <v>1</v>
      </c>
      <c r="I823" s="6" t="s">
        <v>164</v>
      </c>
      <c r="J823" s="23" t="str">
        <f>VLOOKUP(E823,各职业基础配置!$B$9:$C$12,2,FALSE)</f>
        <v>111|112|113|4201|115</v>
      </c>
      <c r="K823" s="18" t="str">
        <f>VLOOKUP(E823,各职业基础配置!$B$15:$C$18,2,FALSE)</f>
        <v>32|33|34</v>
      </c>
      <c r="L823" s="18" t="str">
        <f>VLOOKUP(E823,各职业基础配置!B:C,2,FALSE)</f>
        <v>[{32,1,1},{33,1,1},{34,1,1},{35,1,1},{7,1,1},{8,1,1},{9,1,1}]</v>
      </c>
      <c r="M823" s="18">
        <v>0</v>
      </c>
      <c r="N823" s="18">
        <f t="shared" si="136"/>
        <v>7</v>
      </c>
      <c r="O823" s="18">
        <f>SUMPRODUCT(P823:AI823,Sheet2!$B$3:$U$3)</f>
        <v>46265</v>
      </c>
      <c r="P823" s="18">
        <f>CEILING(INDEX([1]系统模型!$VD:$VD,MATCH(C823,[1]系统模型!$A:$A,0))*POWER(C823/220,3.8)-50+(1000-A823),1)</f>
        <v>578</v>
      </c>
      <c r="Q823" s="18">
        <f>CEILING(INDEX([1]系统模型!$VE:$VE,MATCH(C823,[1]系统模型!$A:$A,0))*POWER(C823/220,4),1)</f>
        <v>48</v>
      </c>
      <c r="R823" s="18">
        <f>INT(INDEX([1]系统模型!$VF:$VF,MATCH(C823,[1]系统模型!$A:$A,0))*MAX(POWER(C823/180,4),0.5))</f>
        <v>7140</v>
      </c>
      <c r="S823" s="5">
        <v>1000</v>
      </c>
      <c r="T823" s="25">
        <v>0</v>
      </c>
      <c r="U823" s="25">
        <v>0</v>
      </c>
      <c r="V823" s="25">
        <v>0</v>
      </c>
      <c r="W823" s="25">
        <v>0</v>
      </c>
      <c r="X823" s="25">
        <f t="shared" si="137"/>
        <v>357</v>
      </c>
      <c r="Y823" s="12">
        <v>0</v>
      </c>
      <c r="Z823" s="25">
        <v>100</v>
      </c>
      <c r="AA823" s="25">
        <v>150</v>
      </c>
      <c r="AB823" s="25">
        <v>0</v>
      </c>
      <c r="AC823" s="25">
        <v>0</v>
      </c>
      <c r="AD823" s="25">
        <v>0</v>
      </c>
      <c r="AE823" s="25">
        <f t="shared" si="138"/>
        <v>256</v>
      </c>
      <c r="AF823" s="25">
        <f t="shared" si="139"/>
        <v>256</v>
      </c>
      <c r="AG823" s="25">
        <v>0</v>
      </c>
      <c r="AH823" s="25">
        <f t="shared" si="140"/>
        <v>850</v>
      </c>
      <c r="AI823" s="25">
        <f t="shared" si="141"/>
        <v>7</v>
      </c>
      <c r="AJ823" s="25">
        <v>1</v>
      </c>
      <c r="AK823" s="25">
        <v>1000</v>
      </c>
      <c r="AL823" s="25">
        <v>100</v>
      </c>
      <c r="AM823" s="26">
        <v>10</v>
      </c>
      <c r="AN823" s="26">
        <v>10</v>
      </c>
      <c r="AO823" s="22" t="s">
        <v>2211</v>
      </c>
      <c r="AP823" s="26">
        <v>0</v>
      </c>
      <c r="AQ823" s="26">
        <f t="shared" si="142"/>
        <v>170</v>
      </c>
      <c r="AR823" s="18" t="str">
        <f ca="1">CONCATENATE(OFFSET(Sheet1!$A$2,RANDBETWEEN(2,500),0,1,1),OFFSET(Sheet1!$A$2,RANDBETWEEN(2,500),RANDBETWEEN(1,5),1,1))</f>
        <v>贾斯帕</v>
      </c>
      <c r="AS823">
        <f>SUMPRODUCT(P823:AI823,Sheet2!$B$3:$U$3)</f>
        <v>46265</v>
      </c>
    </row>
    <row r="824" spans="1:45" x14ac:dyDescent="0.15">
      <c r="A824" s="18">
        <v>823</v>
      </c>
      <c r="B824" s="18" t="s">
        <v>2138</v>
      </c>
      <c r="C824" s="18">
        <f t="shared" si="132"/>
        <v>128</v>
      </c>
      <c r="D824" s="19">
        <f t="shared" si="133"/>
        <v>3</v>
      </c>
      <c r="E824" s="19">
        <f>VLOOKUP(MOD(A824,4),各职业基础配置!C$32:D$35,2,FALSE)</f>
        <v>9</v>
      </c>
      <c r="F824" s="19">
        <f>IF(A824&lt;900,INDEX(各职业基础配置!C$23:C$28,MOD(ROW(A824),4)+1),0)</f>
        <v>8</v>
      </c>
      <c r="G824" s="19">
        <f t="shared" si="134"/>
        <v>4</v>
      </c>
      <c r="H824" s="27">
        <f t="shared" si="135"/>
        <v>1</v>
      </c>
      <c r="I824" s="6" t="s">
        <v>164</v>
      </c>
      <c r="J824" s="23" t="str">
        <f>VLOOKUP(E824,各职业基础配置!$B$9:$C$12,2,FALSE)</f>
        <v>116|117|118|4201|120</v>
      </c>
      <c r="K824" s="18" t="str">
        <f>VLOOKUP(E824,各职业基础配置!$B$15:$C$18,2,FALSE)</f>
        <v>28|29|30|31</v>
      </c>
      <c r="L824" s="18" t="str">
        <f>VLOOKUP(E824,各职业基础配置!B:C,2,FALSE)</f>
        <v>[{28,1,1},{29,1,1},{30,1,1},{31,1,1},{10,1,1},{11,1,1},{12,1,1}]</v>
      </c>
      <c r="M824" s="18">
        <v>0</v>
      </c>
      <c r="N824" s="18">
        <f t="shared" si="136"/>
        <v>3</v>
      </c>
      <c r="O824" s="18">
        <f>SUMPRODUCT(P824:AI824,Sheet2!$B$3:$U$3)</f>
        <v>46240</v>
      </c>
      <c r="P824" s="18">
        <f>CEILING(INDEX([1]系统模型!$VD:$VD,MATCH(C824,[1]系统模型!$A:$A,0))*POWER(C824/220,3.8)-50+(1000-A824),1)</f>
        <v>577</v>
      </c>
      <c r="Q824" s="18">
        <f>CEILING(INDEX([1]系统模型!$VE:$VE,MATCH(C824,[1]系统模型!$A:$A,0))*POWER(C824/220,4),1)</f>
        <v>48</v>
      </c>
      <c r="R824" s="18">
        <f>INT(INDEX([1]系统模型!$VF:$VF,MATCH(C824,[1]系统模型!$A:$A,0))*MAX(POWER(C824/180,4),0.5))</f>
        <v>7140</v>
      </c>
      <c r="S824" s="5">
        <v>1000</v>
      </c>
      <c r="T824" s="25">
        <v>0</v>
      </c>
      <c r="U824" s="25">
        <v>0</v>
      </c>
      <c r="V824" s="25">
        <v>0</v>
      </c>
      <c r="W824" s="25">
        <v>0</v>
      </c>
      <c r="X824" s="25">
        <f t="shared" si="137"/>
        <v>357</v>
      </c>
      <c r="Y824" s="12">
        <v>0</v>
      </c>
      <c r="Z824" s="25">
        <v>100</v>
      </c>
      <c r="AA824" s="25">
        <v>150</v>
      </c>
      <c r="AB824" s="25">
        <v>0</v>
      </c>
      <c r="AC824" s="25">
        <v>0</v>
      </c>
      <c r="AD824" s="25">
        <v>0</v>
      </c>
      <c r="AE824" s="25">
        <f t="shared" si="138"/>
        <v>256</v>
      </c>
      <c r="AF824" s="25">
        <f t="shared" si="139"/>
        <v>256</v>
      </c>
      <c r="AG824" s="25">
        <v>0</v>
      </c>
      <c r="AH824" s="25">
        <f t="shared" si="140"/>
        <v>850</v>
      </c>
      <c r="AI824" s="25">
        <f t="shared" si="141"/>
        <v>7</v>
      </c>
      <c r="AJ824" s="25">
        <v>1</v>
      </c>
      <c r="AK824" s="25">
        <v>1000</v>
      </c>
      <c r="AL824" s="25">
        <v>100</v>
      </c>
      <c r="AM824" s="26">
        <v>10</v>
      </c>
      <c r="AN824" s="26">
        <v>10</v>
      </c>
      <c r="AO824" s="22" t="s">
        <v>2211</v>
      </c>
      <c r="AP824" s="26">
        <v>0</v>
      </c>
      <c r="AQ824" s="26">
        <f t="shared" si="142"/>
        <v>170</v>
      </c>
      <c r="AR824" s="18" t="str">
        <f ca="1">CONCATENATE(OFFSET(Sheet1!$A$2,RANDBETWEEN(2,500),0,1,1),OFFSET(Sheet1!$A$2,RANDBETWEEN(2,500),RANDBETWEEN(1,5),1,1))</f>
        <v>希尔玛佩尔</v>
      </c>
      <c r="AS824">
        <f>SUMPRODUCT(P824:AI824,Sheet2!$B$3:$U$3)</f>
        <v>46240</v>
      </c>
    </row>
    <row r="825" spans="1:45" x14ac:dyDescent="0.15">
      <c r="A825" s="18">
        <v>824</v>
      </c>
      <c r="B825" s="18" t="s">
        <v>2139</v>
      </c>
      <c r="C825" s="18">
        <f t="shared" si="132"/>
        <v>128</v>
      </c>
      <c r="D825" s="19">
        <f t="shared" si="133"/>
        <v>2</v>
      </c>
      <c r="E825" s="19">
        <f>VLOOKUP(MOD(A825,4),各职业基础配置!C$32:D$35,2,FALSE)</f>
        <v>1</v>
      </c>
      <c r="F825" s="19">
        <f>IF(A825&lt;900,INDEX(各职业基础配置!C$23:C$28,MOD(ROW(A825),4)+1),0)</f>
        <v>13</v>
      </c>
      <c r="G825" s="19">
        <f t="shared" si="134"/>
        <v>4</v>
      </c>
      <c r="H825" s="27">
        <f t="shared" si="135"/>
        <v>1</v>
      </c>
      <c r="I825" s="6" t="s">
        <v>164</v>
      </c>
      <c r="J825" s="23" t="str">
        <f>VLOOKUP(E825,各职业基础配置!$B$9:$C$12,2,FALSE)</f>
        <v>101|102|103|4201|105</v>
      </c>
      <c r="K825" s="18" t="str">
        <f>VLOOKUP(E825,各职业基础配置!$B$15:$C$18,2,FALSE)</f>
        <v>24|25|26|27</v>
      </c>
      <c r="L825" s="18" t="str">
        <f>VLOOKUP(E825,各职业基础配置!B:C,2,FALSE)</f>
        <v>[{24,1,1},{25,1,1},{26,1,1},{27,1,1},{1,1,1},{2,1,1},{3,1,1}]</v>
      </c>
      <c r="M825" s="18">
        <v>0</v>
      </c>
      <c r="N825" s="18">
        <f t="shared" si="136"/>
        <v>3</v>
      </c>
      <c r="O825" s="18">
        <f>SUMPRODUCT(P825:AI825,Sheet2!$B$3:$U$3)</f>
        <v>46215</v>
      </c>
      <c r="P825" s="18">
        <f>CEILING(INDEX([1]系统模型!$VD:$VD,MATCH(C825,[1]系统模型!$A:$A,0))*POWER(C825/220,3.8)-50+(1000-A825),1)</f>
        <v>576</v>
      </c>
      <c r="Q825" s="18">
        <f>CEILING(INDEX([1]系统模型!$VE:$VE,MATCH(C825,[1]系统模型!$A:$A,0))*POWER(C825/220,4),1)</f>
        <v>48</v>
      </c>
      <c r="R825" s="18">
        <f>INT(INDEX([1]系统模型!$VF:$VF,MATCH(C825,[1]系统模型!$A:$A,0))*MAX(POWER(C825/180,4),0.5))</f>
        <v>7140</v>
      </c>
      <c r="S825" s="5">
        <v>1000</v>
      </c>
      <c r="T825" s="25">
        <v>0</v>
      </c>
      <c r="U825" s="25">
        <v>0</v>
      </c>
      <c r="V825" s="25">
        <v>0</v>
      </c>
      <c r="W825" s="25">
        <v>0</v>
      </c>
      <c r="X825" s="25">
        <f t="shared" si="137"/>
        <v>357</v>
      </c>
      <c r="Y825" s="12">
        <v>0</v>
      </c>
      <c r="Z825" s="25">
        <v>100</v>
      </c>
      <c r="AA825" s="25">
        <v>150</v>
      </c>
      <c r="AB825" s="25">
        <v>0</v>
      </c>
      <c r="AC825" s="25">
        <v>0</v>
      </c>
      <c r="AD825" s="25">
        <v>0</v>
      </c>
      <c r="AE825" s="25">
        <f t="shared" si="138"/>
        <v>256</v>
      </c>
      <c r="AF825" s="25">
        <f t="shared" si="139"/>
        <v>256</v>
      </c>
      <c r="AG825" s="25">
        <v>0</v>
      </c>
      <c r="AH825" s="25">
        <f t="shared" si="140"/>
        <v>850</v>
      </c>
      <c r="AI825" s="25">
        <f t="shared" si="141"/>
        <v>7</v>
      </c>
      <c r="AJ825" s="25">
        <v>1</v>
      </c>
      <c r="AK825" s="25">
        <v>1000</v>
      </c>
      <c r="AL825" s="25">
        <v>100</v>
      </c>
      <c r="AM825" s="26">
        <v>10</v>
      </c>
      <c r="AN825" s="26">
        <v>10</v>
      </c>
      <c r="AO825" s="22" t="s">
        <v>2211</v>
      </c>
      <c r="AP825" s="26">
        <v>0</v>
      </c>
      <c r="AQ825" s="26">
        <f t="shared" si="142"/>
        <v>160</v>
      </c>
      <c r="AR825" s="18" t="str">
        <f ca="1">CONCATENATE(OFFSET(Sheet1!$A$2,RANDBETWEEN(2,500),0,1,1),OFFSET(Sheet1!$A$2,RANDBETWEEN(2,500),RANDBETWEEN(1,5),1,1))</f>
        <v>埃拉</v>
      </c>
      <c r="AS825">
        <f>SUMPRODUCT(P825:AI825,Sheet2!$B$3:$U$3)</f>
        <v>46215</v>
      </c>
    </row>
    <row r="826" spans="1:45" x14ac:dyDescent="0.15">
      <c r="A826" s="23">
        <v>825</v>
      </c>
      <c r="B826" s="18" t="s">
        <v>2140</v>
      </c>
      <c r="C826" s="18">
        <f t="shared" si="132"/>
        <v>127</v>
      </c>
      <c r="D826" s="19">
        <f t="shared" si="133"/>
        <v>3</v>
      </c>
      <c r="E826" s="19">
        <f>VLOOKUP(MOD(A826,4),各职业基础配置!C$32:D$35,2,FALSE)</f>
        <v>3</v>
      </c>
      <c r="F826" s="19">
        <f>IF(A826&lt;900,INDEX(各职业基础配置!C$23:C$28,MOD(ROW(A826),4)+1),0)</f>
        <v>14</v>
      </c>
      <c r="G826" s="19">
        <f t="shared" si="134"/>
        <v>4</v>
      </c>
      <c r="H826" s="27">
        <f t="shared" si="135"/>
        <v>1</v>
      </c>
      <c r="I826" s="6" t="s">
        <v>164</v>
      </c>
      <c r="J826" s="23" t="str">
        <f>VLOOKUP(E826,各职业基础配置!$B$9:$C$12,2,FALSE)</f>
        <v>106|107|108|4201|110</v>
      </c>
      <c r="K826" s="18" t="str">
        <f>VLOOKUP(E826,各职业基础配置!$B$15:$C$18,2,FALSE)</f>
        <v>20|21|22|23</v>
      </c>
      <c r="L826" s="18" t="str">
        <f>VLOOKUP(E826,各职业基础配置!B:C,2,FALSE)</f>
        <v>[{20,1,1},{21,1,1},{22,1,1},{23,1,1},{4,1,1},{5,1,1},{6,1,1}]</v>
      </c>
      <c r="M826" s="18">
        <v>0</v>
      </c>
      <c r="N826" s="18">
        <f t="shared" si="136"/>
        <v>7</v>
      </c>
      <c r="O826" s="18">
        <f>SUMPRODUCT(P826:AI826,Sheet2!$B$3:$U$3)</f>
        <v>45065</v>
      </c>
      <c r="P826" s="18">
        <f>CEILING(INDEX([1]系统模型!$VD:$VD,MATCH(C826,[1]系统模型!$A:$A,0))*POWER(C826/220,3.8)-50+(1000-A826),1)</f>
        <v>556</v>
      </c>
      <c r="Q826" s="18">
        <f>CEILING(INDEX([1]系统模型!$VE:$VE,MATCH(C826,[1]系统模型!$A:$A,0))*POWER(C826/220,4),1)</f>
        <v>45</v>
      </c>
      <c r="R826" s="18">
        <f>INT(INDEX([1]系统模型!$VF:$VF,MATCH(C826,[1]系统模型!$A:$A,0))*MAX(POWER(C826/180,4),0.5))</f>
        <v>7040</v>
      </c>
      <c r="S826" s="5">
        <v>1000</v>
      </c>
      <c r="T826" s="25">
        <v>0</v>
      </c>
      <c r="U826" s="25">
        <v>0</v>
      </c>
      <c r="V826" s="25">
        <v>0</v>
      </c>
      <c r="W826" s="25">
        <v>0</v>
      </c>
      <c r="X826" s="25">
        <f t="shared" si="137"/>
        <v>352</v>
      </c>
      <c r="Y826" s="12">
        <v>0</v>
      </c>
      <c r="Z826" s="25">
        <v>100</v>
      </c>
      <c r="AA826" s="25">
        <v>150</v>
      </c>
      <c r="AB826" s="25">
        <v>0</v>
      </c>
      <c r="AC826" s="25">
        <v>0</v>
      </c>
      <c r="AD826" s="25">
        <v>0</v>
      </c>
      <c r="AE826" s="25">
        <f t="shared" si="138"/>
        <v>254</v>
      </c>
      <c r="AF826" s="25">
        <f t="shared" si="139"/>
        <v>254</v>
      </c>
      <c r="AG826" s="25">
        <v>0</v>
      </c>
      <c r="AH826" s="25">
        <f t="shared" si="140"/>
        <v>775</v>
      </c>
      <c r="AI826" s="25">
        <f t="shared" si="141"/>
        <v>7</v>
      </c>
      <c r="AJ826" s="25">
        <v>1</v>
      </c>
      <c r="AK826" s="25">
        <v>1000</v>
      </c>
      <c r="AL826" s="25">
        <v>100</v>
      </c>
      <c r="AM826" s="26">
        <v>10</v>
      </c>
      <c r="AN826" s="26">
        <v>10</v>
      </c>
      <c r="AO826" s="22" t="s">
        <v>2211</v>
      </c>
      <c r="AP826" s="26">
        <v>0</v>
      </c>
      <c r="AQ826" s="26">
        <f t="shared" si="142"/>
        <v>160</v>
      </c>
      <c r="AR826" s="18" t="str">
        <f ca="1">CONCATENATE(OFFSET(Sheet1!$A$2,RANDBETWEEN(2,500),0,1,1),OFFSET(Sheet1!$A$2,RANDBETWEEN(2,500),RANDBETWEEN(1,5),1,1))</f>
        <v>冈瑟</v>
      </c>
      <c r="AS826">
        <f>SUMPRODUCT(P826:AI826,Sheet2!$B$3:$U$3)</f>
        <v>45065</v>
      </c>
    </row>
    <row r="827" spans="1:45" x14ac:dyDescent="0.15">
      <c r="A827" s="18">
        <v>826</v>
      </c>
      <c r="B827" s="18" t="s">
        <v>1355</v>
      </c>
      <c r="C827" s="18">
        <f t="shared" si="132"/>
        <v>127</v>
      </c>
      <c r="D827" s="19">
        <f t="shared" si="133"/>
        <v>2</v>
      </c>
      <c r="E827" s="19">
        <f>VLOOKUP(MOD(A827,4),各职业基础配置!C$32:D$35,2,FALSE)</f>
        <v>6</v>
      </c>
      <c r="F827" s="19">
        <f>IF(A827&lt;900,INDEX(各职业基础配置!C$23:C$28,MOD(ROW(A827),4)+1),0)</f>
        <v>16</v>
      </c>
      <c r="G827" s="19">
        <f t="shared" si="134"/>
        <v>4</v>
      </c>
      <c r="H827" s="27">
        <f t="shared" si="135"/>
        <v>1</v>
      </c>
      <c r="I827" s="6" t="s">
        <v>164</v>
      </c>
      <c r="J827" s="23" t="str">
        <f>VLOOKUP(E827,各职业基础配置!$B$9:$C$12,2,FALSE)</f>
        <v>111|112|113|4201|115</v>
      </c>
      <c r="K827" s="18" t="str">
        <f>VLOOKUP(E827,各职业基础配置!$B$15:$C$18,2,FALSE)</f>
        <v>32|33|34</v>
      </c>
      <c r="L827" s="18" t="str">
        <f>VLOOKUP(E827,各职业基础配置!B:C,2,FALSE)</f>
        <v>[{32,1,1},{33,1,1},{34,1,1},{35,1,1},{7,1,1},{8,1,1},{9,1,1}]</v>
      </c>
      <c r="M827" s="18">
        <v>0</v>
      </c>
      <c r="N827" s="18">
        <f t="shared" si="136"/>
        <v>7</v>
      </c>
      <c r="O827" s="18">
        <f>SUMPRODUCT(P827:AI827,Sheet2!$B$3:$U$3)</f>
        <v>45040</v>
      </c>
      <c r="P827" s="18">
        <f>CEILING(INDEX([1]系统模型!$VD:$VD,MATCH(C827,[1]系统模型!$A:$A,0))*POWER(C827/220,3.8)-50+(1000-A827),1)</f>
        <v>555</v>
      </c>
      <c r="Q827" s="18">
        <f>CEILING(INDEX([1]系统模型!$VE:$VE,MATCH(C827,[1]系统模型!$A:$A,0))*POWER(C827/220,4),1)</f>
        <v>45</v>
      </c>
      <c r="R827" s="18">
        <f>INT(INDEX([1]系统模型!$VF:$VF,MATCH(C827,[1]系统模型!$A:$A,0))*MAX(POWER(C827/180,4),0.5))</f>
        <v>7040</v>
      </c>
      <c r="S827" s="5">
        <v>1000</v>
      </c>
      <c r="T827" s="25">
        <v>0</v>
      </c>
      <c r="U827" s="25">
        <v>0</v>
      </c>
      <c r="V827" s="25">
        <v>0</v>
      </c>
      <c r="W827" s="25">
        <v>0</v>
      </c>
      <c r="X827" s="25">
        <f t="shared" si="137"/>
        <v>352</v>
      </c>
      <c r="Y827" s="12">
        <v>0</v>
      </c>
      <c r="Z827" s="25">
        <v>100</v>
      </c>
      <c r="AA827" s="25">
        <v>150</v>
      </c>
      <c r="AB827" s="25">
        <v>0</v>
      </c>
      <c r="AC827" s="25">
        <v>0</v>
      </c>
      <c r="AD827" s="25">
        <v>0</v>
      </c>
      <c r="AE827" s="25">
        <f t="shared" si="138"/>
        <v>254</v>
      </c>
      <c r="AF827" s="25">
        <f t="shared" si="139"/>
        <v>254</v>
      </c>
      <c r="AG827" s="25">
        <v>0</v>
      </c>
      <c r="AH827" s="25">
        <f t="shared" si="140"/>
        <v>775</v>
      </c>
      <c r="AI827" s="25">
        <f t="shared" si="141"/>
        <v>7</v>
      </c>
      <c r="AJ827" s="25">
        <v>1</v>
      </c>
      <c r="AK827" s="25">
        <v>1000</v>
      </c>
      <c r="AL827" s="25">
        <v>100</v>
      </c>
      <c r="AM827" s="26">
        <v>10</v>
      </c>
      <c r="AN827" s="26">
        <v>10</v>
      </c>
      <c r="AO827" s="22" t="s">
        <v>2211</v>
      </c>
      <c r="AP827" s="26">
        <v>0</v>
      </c>
      <c r="AQ827" s="26">
        <f t="shared" si="142"/>
        <v>160</v>
      </c>
      <c r="AR827" s="18" t="str">
        <f ca="1">CONCATENATE(OFFSET(Sheet1!$A$2,RANDBETWEEN(2,500),0,1,1),OFFSET(Sheet1!$A$2,RANDBETWEEN(2,500),RANDBETWEEN(1,5),1,1))</f>
        <v>卡丽玛莉提丝</v>
      </c>
      <c r="AS827">
        <f>SUMPRODUCT(P827:AI827,Sheet2!$B$3:$U$3)</f>
        <v>45040</v>
      </c>
    </row>
    <row r="828" spans="1:45" x14ac:dyDescent="0.15">
      <c r="A828" s="18">
        <v>827</v>
      </c>
      <c r="B828" s="18" t="s">
        <v>247</v>
      </c>
      <c r="C828" s="18">
        <f t="shared" si="132"/>
        <v>127</v>
      </c>
      <c r="D828" s="19">
        <f t="shared" si="133"/>
        <v>3</v>
      </c>
      <c r="E828" s="19">
        <f>VLOOKUP(MOD(A828,4),各职业基础配置!C$32:D$35,2,FALSE)</f>
        <v>9</v>
      </c>
      <c r="F828" s="19">
        <f>IF(A828&lt;900,INDEX(各职业基础配置!C$23:C$28,MOD(ROW(A828),4)+1),0)</f>
        <v>8</v>
      </c>
      <c r="G828" s="19">
        <f t="shared" si="134"/>
        <v>4</v>
      </c>
      <c r="H828" s="27">
        <f t="shared" si="135"/>
        <v>1</v>
      </c>
      <c r="I828" s="6" t="s">
        <v>164</v>
      </c>
      <c r="J828" s="23" t="str">
        <f>VLOOKUP(E828,各职业基础配置!$B$9:$C$12,2,FALSE)</f>
        <v>116|117|118|4201|120</v>
      </c>
      <c r="K828" s="18" t="str">
        <f>VLOOKUP(E828,各职业基础配置!$B$15:$C$18,2,FALSE)</f>
        <v>28|29|30|31</v>
      </c>
      <c r="L828" s="18" t="str">
        <f>VLOOKUP(E828,各职业基础配置!B:C,2,FALSE)</f>
        <v>[{28,1,1},{29,1,1},{30,1,1},{31,1,1},{10,1,1},{11,1,1},{12,1,1}]</v>
      </c>
      <c r="M828" s="18">
        <v>0</v>
      </c>
      <c r="N828" s="18">
        <f t="shared" si="136"/>
        <v>3</v>
      </c>
      <c r="O828" s="18">
        <f>SUMPRODUCT(P828:AI828,Sheet2!$B$3:$U$3)</f>
        <v>45015</v>
      </c>
      <c r="P828" s="18">
        <f>CEILING(INDEX([1]系统模型!$VD:$VD,MATCH(C828,[1]系统模型!$A:$A,0))*POWER(C828/220,3.8)-50+(1000-A828),1)</f>
        <v>554</v>
      </c>
      <c r="Q828" s="18">
        <f>CEILING(INDEX([1]系统模型!$VE:$VE,MATCH(C828,[1]系统模型!$A:$A,0))*POWER(C828/220,4),1)</f>
        <v>45</v>
      </c>
      <c r="R828" s="18">
        <f>INT(INDEX([1]系统模型!$VF:$VF,MATCH(C828,[1]系统模型!$A:$A,0))*MAX(POWER(C828/180,4),0.5))</f>
        <v>7040</v>
      </c>
      <c r="S828" s="5">
        <v>1000</v>
      </c>
      <c r="T828" s="25">
        <v>0</v>
      </c>
      <c r="U828" s="25">
        <v>0</v>
      </c>
      <c r="V828" s="25">
        <v>0</v>
      </c>
      <c r="W828" s="25">
        <v>0</v>
      </c>
      <c r="X828" s="25">
        <f t="shared" si="137"/>
        <v>352</v>
      </c>
      <c r="Y828" s="12">
        <v>0</v>
      </c>
      <c r="Z828" s="25">
        <v>100</v>
      </c>
      <c r="AA828" s="25">
        <v>150</v>
      </c>
      <c r="AB828" s="25">
        <v>0</v>
      </c>
      <c r="AC828" s="25">
        <v>0</v>
      </c>
      <c r="AD828" s="25">
        <v>0</v>
      </c>
      <c r="AE828" s="25">
        <f t="shared" si="138"/>
        <v>254</v>
      </c>
      <c r="AF828" s="25">
        <f t="shared" si="139"/>
        <v>254</v>
      </c>
      <c r="AG828" s="25">
        <v>0</v>
      </c>
      <c r="AH828" s="25">
        <f t="shared" si="140"/>
        <v>775</v>
      </c>
      <c r="AI828" s="25">
        <f t="shared" si="141"/>
        <v>7</v>
      </c>
      <c r="AJ828" s="25">
        <v>1</v>
      </c>
      <c r="AK828" s="25">
        <v>1000</v>
      </c>
      <c r="AL828" s="25">
        <v>100</v>
      </c>
      <c r="AM828" s="26">
        <v>10</v>
      </c>
      <c r="AN828" s="26">
        <v>10</v>
      </c>
      <c r="AO828" s="22" t="s">
        <v>2211</v>
      </c>
      <c r="AP828" s="26">
        <v>0</v>
      </c>
      <c r="AQ828" s="26">
        <f t="shared" si="142"/>
        <v>160</v>
      </c>
      <c r="AR828" s="18" t="str">
        <f ca="1">CONCATENATE(OFFSET(Sheet1!$A$2,RANDBETWEEN(2,500),0,1,1),OFFSET(Sheet1!$A$2,RANDBETWEEN(2,500),RANDBETWEEN(1,5),1,1))</f>
        <v>多利</v>
      </c>
      <c r="AS828">
        <f>SUMPRODUCT(P828:AI828,Sheet2!$B$3:$U$3)</f>
        <v>45015</v>
      </c>
    </row>
    <row r="829" spans="1:45" x14ac:dyDescent="0.15">
      <c r="A829" s="23">
        <v>828</v>
      </c>
      <c r="B829" s="18" t="s">
        <v>2141</v>
      </c>
      <c r="C829" s="18">
        <f t="shared" si="132"/>
        <v>127</v>
      </c>
      <c r="D829" s="19">
        <f t="shared" si="133"/>
        <v>2</v>
      </c>
      <c r="E829" s="19">
        <f>VLOOKUP(MOD(A829,4),各职业基础配置!C$32:D$35,2,FALSE)</f>
        <v>1</v>
      </c>
      <c r="F829" s="19">
        <f>IF(A829&lt;900,INDEX(各职业基础配置!C$23:C$28,MOD(ROW(A829),4)+1),0)</f>
        <v>13</v>
      </c>
      <c r="G829" s="19">
        <f t="shared" si="134"/>
        <v>4</v>
      </c>
      <c r="H829" s="27">
        <f t="shared" si="135"/>
        <v>1</v>
      </c>
      <c r="I829" s="6" t="s">
        <v>164</v>
      </c>
      <c r="J829" s="23" t="str">
        <f>VLOOKUP(E829,各职业基础配置!$B$9:$C$12,2,FALSE)</f>
        <v>101|102|103|4201|105</v>
      </c>
      <c r="K829" s="18" t="str">
        <f>VLOOKUP(E829,各职业基础配置!$B$15:$C$18,2,FALSE)</f>
        <v>24|25|26|27</v>
      </c>
      <c r="L829" s="18" t="str">
        <f>VLOOKUP(E829,各职业基础配置!B:C,2,FALSE)</f>
        <v>[{24,1,1},{25,1,1},{26,1,1},{27,1,1},{1,1,1},{2,1,1},{3,1,1}]</v>
      </c>
      <c r="M829" s="18">
        <v>0</v>
      </c>
      <c r="N829" s="18">
        <f t="shared" si="136"/>
        <v>3</v>
      </c>
      <c r="O829" s="18">
        <f>SUMPRODUCT(P829:AI829,Sheet2!$B$3:$U$3)</f>
        <v>44990</v>
      </c>
      <c r="P829" s="18">
        <f>CEILING(INDEX([1]系统模型!$VD:$VD,MATCH(C829,[1]系统模型!$A:$A,0))*POWER(C829/220,3.8)-50+(1000-A829),1)</f>
        <v>553</v>
      </c>
      <c r="Q829" s="18">
        <f>CEILING(INDEX([1]系统模型!$VE:$VE,MATCH(C829,[1]系统模型!$A:$A,0))*POWER(C829/220,4),1)</f>
        <v>45</v>
      </c>
      <c r="R829" s="18">
        <f>INT(INDEX([1]系统模型!$VF:$VF,MATCH(C829,[1]系统模型!$A:$A,0))*MAX(POWER(C829/180,4),0.5))</f>
        <v>7040</v>
      </c>
      <c r="S829" s="5">
        <v>1000</v>
      </c>
      <c r="T829" s="25">
        <v>0</v>
      </c>
      <c r="U829" s="25">
        <v>0</v>
      </c>
      <c r="V829" s="25">
        <v>0</v>
      </c>
      <c r="W829" s="25">
        <v>0</v>
      </c>
      <c r="X829" s="25">
        <f t="shared" si="137"/>
        <v>352</v>
      </c>
      <c r="Y829" s="12">
        <v>0</v>
      </c>
      <c r="Z829" s="25">
        <v>100</v>
      </c>
      <c r="AA829" s="25">
        <v>150</v>
      </c>
      <c r="AB829" s="25">
        <v>0</v>
      </c>
      <c r="AC829" s="25">
        <v>0</v>
      </c>
      <c r="AD829" s="25">
        <v>0</v>
      </c>
      <c r="AE829" s="25">
        <f t="shared" si="138"/>
        <v>254</v>
      </c>
      <c r="AF829" s="25">
        <f t="shared" si="139"/>
        <v>254</v>
      </c>
      <c r="AG829" s="25">
        <v>0</v>
      </c>
      <c r="AH829" s="25">
        <f t="shared" si="140"/>
        <v>775</v>
      </c>
      <c r="AI829" s="25">
        <f t="shared" si="141"/>
        <v>7</v>
      </c>
      <c r="AJ829" s="25">
        <v>1</v>
      </c>
      <c r="AK829" s="25">
        <v>1000</v>
      </c>
      <c r="AL829" s="25">
        <v>100</v>
      </c>
      <c r="AM829" s="26">
        <v>10</v>
      </c>
      <c r="AN829" s="26">
        <v>10</v>
      </c>
      <c r="AO829" s="22" t="s">
        <v>2211</v>
      </c>
      <c r="AP829" s="26">
        <v>0</v>
      </c>
      <c r="AQ829" s="26">
        <f t="shared" si="142"/>
        <v>160</v>
      </c>
      <c r="AR829" s="18" t="str">
        <f ca="1">CONCATENATE(OFFSET(Sheet1!$A$2,RANDBETWEEN(2,500),0,1,1),OFFSET(Sheet1!$A$2,RANDBETWEEN(2,500),RANDBETWEEN(1,5),1,1))</f>
        <v>安德鲁阿芙拉</v>
      </c>
      <c r="AS829">
        <f>SUMPRODUCT(P829:AI829,Sheet2!$B$3:$U$3)</f>
        <v>44990</v>
      </c>
    </row>
    <row r="830" spans="1:45" x14ac:dyDescent="0.15">
      <c r="A830" s="18">
        <v>829</v>
      </c>
      <c r="B830" s="18" t="s">
        <v>1105</v>
      </c>
      <c r="C830" s="18">
        <f t="shared" si="132"/>
        <v>127</v>
      </c>
      <c r="D830" s="19">
        <f t="shared" si="133"/>
        <v>3</v>
      </c>
      <c r="E830" s="19">
        <f>VLOOKUP(MOD(A830,4),各职业基础配置!C$32:D$35,2,FALSE)</f>
        <v>3</v>
      </c>
      <c r="F830" s="19">
        <f>IF(A830&lt;900,INDEX(各职业基础配置!C$23:C$28,MOD(ROW(A830),4)+1),0)</f>
        <v>14</v>
      </c>
      <c r="G830" s="19">
        <f t="shared" si="134"/>
        <v>4</v>
      </c>
      <c r="H830" s="27">
        <f t="shared" si="135"/>
        <v>1</v>
      </c>
      <c r="I830" s="6" t="s">
        <v>164</v>
      </c>
      <c r="J830" s="23" t="str">
        <f>VLOOKUP(E830,各职业基础配置!$B$9:$C$12,2,FALSE)</f>
        <v>106|107|108|4201|110</v>
      </c>
      <c r="K830" s="18" t="str">
        <f>VLOOKUP(E830,各职业基础配置!$B$15:$C$18,2,FALSE)</f>
        <v>20|21|22|23</v>
      </c>
      <c r="L830" s="18" t="str">
        <f>VLOOKUP(E830,各职业基础配置!B:C,2,FALSE)</f>
        <v>[{20,1,1},{21,1,1},{22,1,1},{23,1,1},{4,1,1},{5,1,1},{6,1,1}]</v>
      </c>
      <c r="M830" s="18">
        <v>0</v>
      </c>
      <c r="N830" s="18">
        <f t="shared" si="136"/>
        <v>7</v>
      </c>
      <c r="O830" s="18">
        <f>SUMPRODUCT(P830:AI830,Sheet2!$B$3:$U$3)</f>
        <v>44965</v>
      </c>
      <c r="P830" s="18">
        <f>CEILING(INDEX([1]系统模型!$VD:$VD,MATCH(C830,[1]系统模型!$A:$A,0))*POWER(C830/220,3.8)-50+(1000-A830),1)</f>
        <v>552</v>
      </c>
      <c r="Q830" s="18">
        <f>CEILING(INDEX([1]系统模型!$VE:$VE,MATCH(C830,[1]系统模型!$A:$A,0))*POWER(C830/220,4),1)</f>
        <v>45</v>
      </c>
      <c r="R830" s="18">
        <f>INT(INDEX([1]系统模型!$VF:$VF,MATCH(C830,[1]系统模型!$A:$A,0))*MAX(POWER(C830/180,4),0.5))</f>
        <v>7040</v>
      </c>
      <c r="S830" s="5">
        <v>1000</v>
      </c>
      <c r="T830" s="25">
        <v>0</v>
      </c>
      <c r="U830" s="25">
        <v>0</v>
      </c>
      <c r="V830" s="25">
        <v>0</v>
      </c>
      <c r="W830" s="25">
        <v>0</v>
      </c>
      <c r="X830" s="25">
        <f t="shared" si="137"/>
        <v>352</v>
      </c>
      <c r="Y830" s="12">
        <v>0</v>
      </c>
      <c r="Z830" s="25">
        <v>100</v>
      </c>
      <c r="AA830" s="25">
        <v>150</v>
      </c>
      <c r="AB830" s="25">
        <v>0</v>
      </c>
      <c r="AC830" s="25">
        <v>0</v>
      </c>
      <c r="AD830" s="25">
        <v>0</v>
      </c>
      <c r="AE830" s="25">
        <f t="shared" si="138"/>
        <v>254</v>
      </c>
      <c r="AF830" s="25">
        <f t="shared" si="139"/>
        <v>254</v>
      </c>
      <c r="AG830" s="25">
        <v>0</v>
      </c>
      <c r="AH830" s="25">
        <f t="shared" si="140"/>
        <v>775</v>
      </c>
      <c r="AI830" s="25">
        <f t="shared" si="141"/>
        <v>7</v>
      </c>
      <c r="AJ830" s="25">
        <v>1</v>
      </c>
      <c r="AK830" s="25">
        <v>1000</v>
      </c>
      <c r="AL830" s="25">
        <v>100</v>
      </c>
      <c r="AM830" s="26">
        <v>10</v>
      </c>
      <c r="AN830" s="26">
        <v>10</v>
      </c>
      <c r="AO830" s="22" t="s">
        <v>2211</v>
      </c>
      <c r="AP830" s="26">
        <v>0</v>
      </c>
      <c r="AQ830" s="26">
        <f t="shared" si="142"/>
        <v>160</v>
      </c>
      <c r="AR830" s="18" t="str">
        <f ca="1">CONCATENATE(OFFSET(Sheet1!$A$2,RANDBETWEEN(2,500),0,1,1),OFFSET(Sheet1!$A$2,RANDBETWEEN(2,500),RANDBETWEEN(1,5),1,1))</f>
        <v>鲍德温</v>
      </c>
      <c r="AS830">
        <f>SUMPRODUCT(P830:AI830,Sheet2!$B$3:$U$3)</f>
        <v>44965</v>
      </c>
    </row>
    <row r="831" spans="1:45" x14ac:dyDescent="0.15">
      <c r="A831" s="18">
        <v>830</v>
      </c>
      <c r="B831" s="18" t="s">
        <v>2142</v>
      </c>
      <c r="C831" s="18">
        <f t="shared" si="132"/>
        <v>127</v>
      </c>
      <c r="D831" s="19">
        <f t="shared" si="133"/>
        <v>2</v>
      </c>
      <c r="E831" s="19">
        <f>VLOOKUP(MOD(A831,4),各职业基础配置!C$32:D$35,2,FALSE)</f>
        <v>6</v>
      </c>
      <c r="F831" s="19">
        <f>IF(A831&lt;900,INDEX(各职业基础配置!C$23:C$28,MOD(ROW(A831),4)+1),0)</f>
        <v>16</v>
      </c>
      <c r="G831" s="19">
        <f t="shared" si="134"/>
        <v>4</v>
      </c>
      <c r="H831" s="27">
        <f t="shared" si="135"/>
        <v>1</v>
      </c>
      <c r="I831" s="6" t="s">
        <v>164</v>
      </c>
      <c r="J831" s="23" t="str">
        <f>VLOOKUP(E831,各职业基础配置!$B$9:$C$12,2,FALSE)</f>
        <v>111|112|113|4201|115</v>
      </c>
      <c r="K831" s="18" t="str">
        <f>VLOOKUP(E831,各职业基础配置!$B$15:$C$18,2,FALSE)</f>
        <v>32|33|34</v>
      </c>
      <c r="L831" s="18" t="str">
        <f>VLOOKUP(E831,各职业基础配置!B:C,2,FALSE)</f>
        <v>[{32,1,1},{33,1,1},{34,1,1},{35,1,1},{7,1,1},{8,1,1},{9,1,1}]</v>
      </c>
      <c r="M831" s="18">
        <v>0</v>
      </c>
      <c r="N831" s="18">
        <f t="shared" si="136"/>
        <v>7</v>
      </c>
      <c r="O831" s="18">
        <f>SUMPRODUCT(P831:AI831,Sheet2!$B$3:$U$3)</f>
        <v>44940</v>
      </c>
      <c r="P831" s="18">
        <f>CEILING(INDEX([1]系统模型!$VD:$VD,MATCH(C831,[1]系统模型!$A:$A,0))*POWER(C831/220,3.8)-50+(1000-A831),1)</f>
        <v>551</v>
      </c>
      <c r="Q831" s="18">
        <f>CEILING(INDEX([1]系统模型!$VE:$VE,MATCH(C831,[1]系统模型!$A:$A,0))*POWER(C831/220,4),1)</f>
        <v>45</v>
      </c>
      <c r="R831" s="18">
        <f>INT(INDEX([1]系统模型!$VF:$VF,MATCH(C831,[1]系统模型!$A:$A,0))*MAX(POWER(C831/180,4),0.5))</f>
        <v>7040</v>
      </c>
      <c r="S831" s="5">
        <v>1000</v>
      </c>
      <c r="T831" s="25">
        <v>0</v>
      </c>
      <c r="U831" s="25">
        <v>0</v>
      </c>
      <c r="V831" s="25">
        <v>0</v>
      </c>
      <c r="W831" s="25">
        <v>0</v>
      </c>
      <c r="X831" s="25">
        <f t="shared" si="137"/>
        <v>352</v>
      </c>
      <c r="Y831" s="12">
        <v>0</v>
      </c>
      <c r="Z831" s="25">
        <v>100</v>
      </c>
      <c r="AA831" s="25">
        <v>150</v>
      </c>
      <c r="AB831" s="25">
        <v>0</v>
      </c>
      <c r="AC831" s="25">
        <v>0</v>
      </c>
      <c r="AD831" s="25">
        <v>0</v>
      </c>
      <c r="AE831" s="25">
        <f t="shared" si="138"/>
        <v>254</v>
      </c>
      <c r="AF831" s="25">
        <f t="shared" si="139"/>
        <v>254</v>
      </c>
      <c r="AG831" s="25">
        <v>0</v>
      </c>
      <c r="AH831" s="25">
        <f t="shared" si="140"/>
        <v>775</v>
      </c>
      <c r="AI831" s="25">
        <f t="shared" si="141"/>
        <v>7</v>
      </c>
      <c r="AJ831" s="25">
        <v>1</v>
      </c>
      <c r="AK831" s="25">
        <v>1000</v>
      </c>
      <c r="AL831" s="25">
        <v>100</v>
      </c>
      <c r="AM831" s="26">
        <v>10</v>
      </c>
      <c r="AN831" s="26">
        <v>10</v>
      </c>
      <c r="AO831" s="22" t="s">
        <v>2211</v>
      </c>
      <c r="AP831" s="26">
        <v>0</v>
      </c>
      <c r="AQ831" s="26">
        <f t="shared" si="142"/>
        <v>160</v>
      </c>
      <c r="AR831" s="18" t="str">
        <f ca="1">CONCATENATE(OFFSET(Sheet1!$A$2,RANDBETWEEN(2,500),0,1,1),OFFSET(Sheet1!$A$2,RANDBETWEEN(2,500),RANDBETWEEN(1,5),1,1))</f>
        <v>亚历山大</v>
      </c>
      <c r="AS831">
        <f>SUMPRODUCT(P831:AI831,Sheet2!$B$3:$U$3)</f>
        <v>44940</v>
      </c>
    </row>
    <row r="832" spans="1:45" x14ac:dyDescent="0.15">
      <c r="A832" s="23">
        <v>831</v>
      </c>
      <c r="B832" s="18" t="s">
        <v>1042</v>
      </c>
      <c r="C832" s="18">
        <f t="shared" si="132"/>
        <v>127</v>
      </c>
      <c r="D832" s="19">
        <f t="shared" si="133"/>
        <v>3</v>
      </c>
      <c r="E832" s="19">
        <f>VLOOKUP(MOD(A832,4),各职业基础配置!C$32:D$35,2,FALSE)</f>
        <v>9</v>
      </c>
      <c r="F832" s="19">
        <f>IF(A832&lt;900,INDEX(各职业基础配置!C$23:C$28,MOD(ROW(A832),4)+1),0)</f>
        <v>8</v>
      </c>
      <c r="G832" s="19">
        <f t="shared" si="134"/>
        <v>4</v>
      </c>
      <c r="H832" s="27">
        <f t="shared" si="135"/>
        <v>1</v>
      </c>
      <c r="I832" s="6" t="s">
        <v>164</v>
      </c>
      <c r="J832" s="23" t="str">
        <f>VLOOKUP(E832,各职业基础配置!$B$9:$C$12,2,FALSE)</f>
        <v>116|117|118|4201|120</v>
      </c>
      <c r="K832" s="18" t="str">
        <f>VLOOKUP(E832,各职业基础配置!$B$15:$C$18,2,FALSE)</f>
        <v>28|29|30|31</v>
      </c>
      <c r="L832" s="18" t="str">
        <f>VLOOKUP(E832,各职业基础配置!B:C,2,FALSE)</f>
        <v>[{28,1,1},{29,1,1},{30,1,1},{31,1,1},{10,1,1},{11,1,1},{12,1,1}]</v>
      </c>
      <c r="M832" s="18">
        <v>0</v>
      </c>
      <c r="N832" s="18">
        <f t="shared" si="136"/>
        <v>3</v>
      </c>
      <c r="O832" s="18">
        <f>SUMPRODUCT(P832:AI832,Sheet2!$B$3:$U$3)</f>
        <v>44915</v>
      </c>
      <c r="P832" s="18">
        <f>CEILING(INDEX([1]系统模型!$VD:$VD,MATCH(C832,[1]系统模型!$A:$A,0))*POWER(C832/220,3.8)-50+(1000-A832),1)</f>
        <v>550</v>
      </c>
      <c r="Q832" s="18">
        <f>CEILING(INDEX([1]系统模型!$VE:$VE,MATCH(C832,[1]系统模型!$A:$A,0))*POWER(C832/220,4),1)</f>
        <v>45</v>
      </c>
      <c r="R832" s="18">
        <f>INT(INDEX([1]系统模型!$VF:$VF,MATCH(C832,[1]系统模型!$A:$A,0))*MAX(POWER(C832/180,4),0.5))</f>
        <v>7040</v>
      </c>
      <c r="S832" s="5">
        <v>1000</v>
      </c>
      <c r="T832" s="25">
        <v>0</v>
      </c>
      <c r="U832" s="25">
        <v>0</v>
      </c>
      <c r="V832" s="25">
        <v>0</v>
      </c>
      <c r="W832" s="25">
        <v>0</v>
      </c>
      <c r="X832" s="25">
        <f t="shared" si="137"/>
        <v>352</v>
      </c>
      <c r="Y832" s="12">
        <v>0</v>
      </c>
      <c r="Z832" s="25">
        <v>100</v>
      </c>
      <c r="AA832" s="25">
        <v>150</v>
      </c>
      <c r="AB832" s="25">
        <v>0</v>
      </c>
      <c r="AC832" s="25">
        <v>0</v>
      </c>
      <c r="AD832" s="25">
        <v>0</v>
      </c>
      <c r="AE832" s="25">
        <f t="shared" si="138"/>
        <v>254</v>
      </c>
      <c r="AF832" s="25">
        <f t="shared" si="139"/>
        <v>254</v>
      </c>
      <c r="AG832" s="25">
        <v>0</v>
      </c>
      <c r="AH832" s="25">
        <f t="shared" si="140"/>
        <v>775</v>
      </c>
      <c r="AI832" s="25">
        <f t="shared" si="141"/>
        <v>7</v>
      </c>
      <c r="AJ832" s="25">
        <v>1</v>
      </c>
      <c r="AK832" s="25">
        <v>1000</v>
      </c>
      <c r="AL832" s="25">
        <v>100</v>
      </c>
      <c r="AM832" s="26">
        <v>10</v>
      </c>
      <c r="AN832" s="26">
        <v>10</v>
      </c>
      <c r="AO832" s="22" t="s">
        <v>2211</v>
      </c>
      <c r="AP832" s="26">
        <v>0</v>
      </c>
      <c r="AQ832" s="26">
        <f t="shared" si="142"/>
        <v>160</v>
      </c>
      <c r="AR832" s="18" t="str">
        <f ca="1">CONCATENATE(OFFSET(Sheet1!$A$2,RANDBETWEEN(2,500),0,1,1),OFFSET(Sheet1!$A$2,RANDBETWEEN(2,500),RANDBETWEEN(1,5),1,1))</f>
        <v>凯里</v>
      </c>
      <c r="AS832">
        <f>SUMPRODUCT(P832:AI832,Sheet2!$B$3:$U$3)</f>
        <v>44915</v>
      </c>
    </row>
    <row r="833" spans="1:45" x14ac:dyDescent="0.15">
      <c r="A833" s="18">
        <v>832</v>
      </c>
      <c r="B833" s="18" t="s">
        <v>864</v>
      </c>
      <c r="C833" s="18">
        <f t="shared" si="132"/>
        <v>126</v>
      </c>
      <c r="D833" s="19">
        <f t="shared" si="133"/>
        <v>2</v>
      </c>
      <c r="E833" s="19">
        <f>VLOOKUP(MOD(A833,4),各职业基础配置!C$32:D$35,2,FALSE)</f>
        <v>1</v>
      </c>
      <c r="F833" s="19">
        <f>IF(A833&lt;900,INDEX(各职业基础配置!C$23:C$28,MOD(ROW(A833),4)+1),0)</f>
        <v>13</v>
      </c>
      <c r="G833" s="19">
        <f t="shared" si="134"/>
        <v>4</v>
      </c>
      <c r="H833" s="27">
        <f t="shared" si="135"/>
        <v>1</v>
      </c>
      <c r="I833" s="6" t="s">
        <v>164</v>
      </c>
      <c r="J833" s="23" t="str">
        <f>VLOOKUP(E833,各职业基础配置!$B$9:$C$12,2,FALSE)</f>
        <v>101|102|103|4201|105</v>
      </c>
      <c r="K833" s="18" t="str">
        <f>VLOOKUP(E833,各职业基础配置!$B$15:$C$18,2,FALSE)</f>
        <v>24|25|26|27</v>
      </c>
      <c r="L833" s="18" t="str">
        <f>VLOOKUP(E833,各职业基础配置!B:C,2,FALSE)</f>
        <v>[{24,1,1},{25,1,1},{26,1,1},{27,1,1},{1,1,1},{2,1,1},{3,1,1}]</v>
      </c>
      <c r="M833" s="18">
        <v>0</v>
      </c>
      <c r="N833" s="18">
        <f t="shared" si="136"/>
        <v>3</v>
      </c>
      <c r="O833" s="18">
        <f>SUMPRODUCT(P833:AI833,Sheet2!$B$3:$U$3)</f>
        <v>43762</v>
      </c>
      <c r="P833" s="18">
        <f>CEILING(INDEX([1]系统模型!$VD:$VD,MATCH(C833,[1]系统模型!$A:$A,0))*POWER(C833/220,3.8)-50+(1000-A833),1)</f>
        <v>530</v>
      </c>
      <c r="Q833" s="18">
        <f>CEILING(INDEX([1]系统模型!$VE:$VE,MATCH(C833,[1]系统模型!$A:$A,0))*POWER(C833/220,4),1)</f>
        <v>43</v>
      </c>
      <c r="R833" s="18">
        <f>INT(INDEX([1]系统模型!$VF:$VF,MATCH(C833,[1]系统模型!$A:$A,0))*MAX(POWER(C833/180,4),0.5))</f>
        <v>6912</v>
      </c>
      <c r="S833" s="5">
        <v>1000</v>
      </c>
      <c r="T833" s="25">
        <v>0</v>
      </c>
      <c r="U833" s="25">
        <v>0</v>
      </c>
      <c r="V833" s="25">
        <v>0</v>
      </c>
      <c r="W833" s="25">
        <v>0</v>
      </c>
      <c r="X833" s="25">
        <f t="shared" si="137"/>
        <v>345</v>
      </c>
      <c r="Y833" s="12">
        <v>0</v>
      </c>
      <c r="Z833" s="25">
        <v>100</v>
      </c>
      <c r="AA833" s="25">
        <v>150</v>
      </c>
      <c r="AB833" s="25">
        <v>0</v>
      </c>
      <c r="AC833" s="25">
        <v>0</v>
      </c>
      <c r="AD833" s="25">
        <v>0</v>
      </c>
      <c r="AE833" s="25">
        <f t="shared" si="138"/>
        <v>252</v>
      </c>
      <c r="AF833" s="25">
        <f t="shared" si="139"/>
        <v>252</v>
      </c>
      <c r="AG833" s="25">
        <v>0</v>
      </c>
      <c r="AH833" s="25">
        <f t="shared" si="140"/>
        <v>700</v>
      </c>
      <c r="AI833" s="25">
        <f t="shared" si="141"/>
        <v>7</v>
      </c>
      <c r="AJ833" s="25">
        <v>1</v>
      </c>
      <c r="AK833" s="25">
        <v>1000</v>
      </c>
      <c r="AL833" s="25">
        <v>100</v>
      </c>
      <c r="AM833" s="26">
        <v>10</v>
      </c>
      <c r="AN833" s="26">
        <v>10</v>
      </c>
      <c r="AO833" s="22" t="s">
        <v>2211</v>
      </c>
      <c r="AP833" s="26">
        <v>0</v>
      </c>
      <c r="AQ833" s="26">
        <f t="shared" si="142"/>
        <v>160</v>
      </c>
      <c r="AR833" s="18" t="str">
        <f ca="1">CONCATENATE(OFFSET(Sheet1!$A$2,RANDBETWEEN(2,500),0,1,1),OFFSET(Sheet1!$A$2,RANDBETWEEN(2,500),RANDBETWEEN(1,5),1,1))</f>
        <v>布赖斯</v>
      </c>
      <c r="AS833">
        <f>SUMPRODUCT(P833:AI833,Sheet2!$B$3:$U$3)</f>
        <v>43762</v>
      </c>
    </row>
    <row r="834" spans="1:45" x14ac:dyDescent="0.15">
      <c r="A834" s="18">
        <v>833</v>
      </c>
      <c r="B834" s="18" t="s">
        <v>1137</v>
      </c>
      <c r="C834" s="18">
        <f t="shared" si="132"/>
        <v>126</v>
      </c>
      <c r="D834" s="19">
        <f t="shared" si="133"/>
        <v>3</v>
      </c>
      <c r="E834" s="19">
        <f>VLOOKUP(MOD(A834,4),各职业基础配置!C$32:D$35,2,FALSE)</f>
        <v>3</v>
      </c>
      <c r="F834" s="19">
        <f>IF(A834&lt;900,INDEX(各职业基础配置!C$23:C$28,MOD(ROW(A834),4)+1),0)</f>
        <v>14</v>
      </c>
      <c r="G834" s="19">
        <f t="shared" si="134"/>
        <v>4</v>
      </c>
      <c r="H834" s="27">
        <f t="shared" si="135"/>
        <v>1</v>
      </c>
      <c r="I834" s="6" t="s">
        <v>164</v>
      </c>
      <c r="J834" s="23" t="str">
        <f>VLOOKUP(E834,各职业基础配置!$B$9:$C$12,2,FALSE)</f>
        <v>106|107|108|4201|110</v>
      </c>
      <c r="K834" s="18" t="str">
        <f>VLOOKUP(E834,各职业基础配置!$B$15:$C$18,2,FALSE)</f>
        <v>20|21|22|23</v>
      </c>
      <c r="L834" s="18" t="str">
        <f>VLOOKUP(E834,各职业基础配置!B:C,2,FALSE)</f>
        <v>[{20,1,1},{21,1,1},{22,1,1},{23,1,1},{4,1,1},{5,1,1},{6,1,1}]</v>
      </c>
      <c r="M834" s="18">
        <v>0</v>
      </c>
      <c r="N834" s="18">
        <f t="shared" si="136"/>
        <v>7</v>
      </c>
      <c r="O834" s="18">
        <f>SUMPRODUCT(P834:AI834,Sheet2!$B$3:$U$3)</f>
        <v>43737</v>
      </c>
      <c r="P834" s="18">
        <f>CEILING(INDEX([1]系统模型!$VD:$VD,MATCH(C834,[1]系统模型!$A:$A,0))*POWER(C834/220,3.8)-50+(1000-A834),1)</f>
        <v>529</v>
      </c>
      <c r="Q834" s="18">
        <f>CEILING(INDEX([1]系统模型!$VE:$VE,MATCH(C834,[1]系统模型!$A:$A,0))*POWER(C834/220,4),1)</f>
        <v>43</v>
      </c>
      <c r="R834" s="18">
        <f>INT(INDEX([1]系统模型!$VF:$VF,MATCH(C834,[1]系统模型!$A:$A,0))*MAX(POWER(C834/180,4),0.5))</f>
        <v>6912</v>
      </c>
      <c r="S834" s="5">
        <v>1000</v>
      </c>
      <c r="T834" s="25">
        <v>0</v>
      </c>
      <c r="U834" s="25">
        <v>0</v>
      </c>
      <c r="V834" s="25">
        <v>0</v>
      </c>
      <c r="W834" s="25">
        <v>0</v>
      </c>
      <c r="X834" s="25">
        <f t="shared" si="137"/>
        <v>345</v>
      </c>
      <c r="Y834" s="12">
        <v>0</v>
      </c>
      <c r="Z834" s="25">
        <v>100</v>
      </c>
      <c r="AA834" s="25">
        <v>150</v>
      </c>
      <c r="AB834" s="25">
        <v>0</v>
      </c>
      <c r="AC834" s="25">
        <v>0</v>
      </c>
      <c r="AD834" s="25">
        <v>0</v>
      </c>
      <c r="AE834" s="25">
        <f t="shared" si="138"/>
        <v>252</v>
      </c>
      <c r="AF834" s="25">
        <f t="shared" si="139"/>
        <v>252</v>
      </c>
      <c r="AG834" s="25">
        <v>0</v>
      </c>
      <c r="AH834" s="25">
        <f t="shared" si="140"/>
        <v>700</v>
      </c>
      <c r="AI834" s="25">
        <f t="shared" si="141"/>
        <v>7</v>
      </c>
      <c r="AJ834" s="25">
        <v>1</v>
      </c>
      <c r="AK834" s="25">
        <v>1000</v>
      </c>
      <c r="AL834" s="25">
        <v>100</v>
      </c>
      <c r="AM834" s="26">
        <v>10</v>
      </c>
      <c r="AN834" s="26">
        <v>10</v>
      </c>
      <c r="AO834" s="22" t="s">
        <v>2211</v>
      </c>
      <c r="AP834" s="26">
        <v>0</v>
      </c>
      <c r="AQ834" s="26">
        <f t="shared" si="142"/>
        <v>160</v>
      </c>
      <c r="AR834" s="18" t="str">
        <f ca="1">CONCATENATE(OFFSET(Sheet1!$A$2,RANDBETWEEN(2,500),0,1,1),OFFSET(Sheet1!$A$2,RANDBETWEEN(2,500),RANDBETWEEN(1,5),1,1))</f>
        <v>法斯特</v>
      </c>
      <c r="AS834">
        <f>SUMPRODUCT(P834:AI834,Sheet2!$B$3:$U$3)</f>
        <v>43737</v>
      </c>
    </row>
    <row r="835" spans="1:45" x14ac:dyDescent="0.15">
      <c r="A835" s="23">
        <v>834</v>
      </c>
      <c r="B835" s="18" t="s">
        <v>1085</v>
      </c>
      <c r="C835" s="18">
        <f t="shared" ref="C835:C898" si="143">INT(250-(150-2)/1000*A835)</f>
        <v>126</v>
      </c>
      <c r="D835" s="19">
        <f t="shared" ref="D835:D898" si="144">MOD(A835,2)+2</f>
        <v>2</v>
      </c>
      <c r="E835" s="19">
        <f>VLOOKUP(MOD(A835,4),各职业基础配置!C$32:D$35,2,FALSE)</f>
        <v>6</v>
      </c>
      <c r="F835" s="19">
        <f>IF(A835&lt;900,INDEX(各职业基础配置!C$23:C$28,MOD(ROW(A835),4)+1),0)</f>
        <v>16</v>
      </c>
      <c r="G835" s="19">
        <f t="shared" ref="G835:G898" si="145">INT(C835*POWER(C835/250,5))</f>
        <v>4</v>
      </c>
      <c r="H835" s="27">
        <f t="shared" ref="H835:H898" si="146">CEILING(C835/75,1)-1</f>
        <v>1</v>
      </c>
      <c r="I835" s="6" t="s">
        <v>164</v>
      </c>
      <c r="J835" s="23" t="str">
        <f>VLOOKUP(E835,各职业基础配置!$B$9:$C$12,2,FALSE)</f>
        <v>111|112|113|4201|115</v>
      </c>
      <c r="K835" s="18" t="str">
        <f>VLOOKUP(E835,各职业基础配置!$B$15:$C$18,2,FALSE)</f>
        <v>32|33|34</v>
      </c>
      <c r="L835" s="18" t="str">
        <f>VLOOKUP(E835,各职业基础配置!B:C,2,FALSE)</f>
        <v>[{32,1,1},{33,1,1},{34,1,1},{35,1,1},{7,1,1},{8,1,1},{9,1,1}]</v>
      </c>
      <c r="M835" s="18">
        <v>0</v>
      </c>
      <c r="N835" s="18">
        <f t="shared" ref="N835:N898" si="147">IF(OR(E835=3,E835=6),7,3)</f>
        <v>7</v>
      </c>
      <c r="O835" s="18">
        <f>SUMPRODUCT(P835:AI835,Sheet2!$B$3:$U$3)</f>
        <v>43712</v>
      </c>
      <c r="P835" s="18">
        <f>CEILING(INDEX([1]系统模型!$VD:$VD,MATCH(C835,[1]系统模型!$A:$A,0))*POWER(C835/220,3.8)-50+(1000-A835),1)</f>
        <v>528</v>
      </c>
      <c r="Q835" s="18">
        <f>CEILING(INDEX([1]系统模型!$VE:$VE,MATCH(C835,[1]系统模型!$A:$A,0))*POWER(C835/220,4),1)</f>
        <v>43</v>
      </c>
      <c r="R835" s="18">
        <f>INT(INDEX([1]系统模型!$VF:$VF,MATCH(C835,[1]系统模型!$A:$A,0))*MAX(POWER(C835/180,4),0.5))</f>
        <v>6912</v>
      </c>
      <c r="S835" s="5">
        <v>1000</v>
      </c>
      <c r="T835" s="25">
        <v>0</v>
      </c>
      <c r="U835" s="25">
        <v>0</v>
      </c>
      <c r="V835" s="25">
        <v>0</v>
      </c>
      <c r="W835" s="25">
        <v>0</v>
      </c>
      <c r="X835" s="25">
        <f t="shared" ref="X835:X898" si="148">INT(R835/20)</f>
        <v>345</v>
      </c>
      <c r="Y835" s="12">
        <v>0</v>
      </c>
      <c r="Z835" s="25">
        <v>100</v>
      </c>
      <c r="AA835" s="25">
        <v>150</v>
      </c>
      <c r="AB835" s="25">
        <v>0</v>
      </c>
      <c r="AC835" s="25">
        <v>0</v>
      </c>
      <c r="AD835" s="25">
        <v>0</v>
      </c>
      <c r="AE835" s="25">
        <f t="shared" ref="AE835:AE898" si="149">C835*2</f>
        <v>252</v>
      </c>
      <c r="AF835" s="25">
        <f t="shared" ref="AF835:AF898" si="150">C835*2</f>
        <v>252</v>
      </c>
      <c r="AG835" s="25">
        <v>0</v>
      </c>
      <c r="AH835" s="25">
        <f t="shared" ref="AH835:AH898" si="151">MAX(10000-(250-C835)*75,0)</f>
        <v>700</v>
      </c>
      <c r="AI835" s="25">
        <f t="shared" ref="AI835:AI898" si="152">INT(P835/75)</f>
        <v>7</v>
      </c>
      <c r="AJ835" s="25">
        <v>1</v>
      </c>
      <c r="AK835" s="25">
        <v>1000</v>
      </c>
      <c r="AL835" s="25">
        <v>100</v>
      </c>
      <c r="AM835" s="26">
        <v>10</v>
      </c>
      <c r="AN835" s="26">
        <v>10</v>
      </c>
      <c r="AO835" s="22" t="s">
        <v>2211</v>
      </c>
      <c r="AP835" s="26">
        <v>0</v>
      </c>
      <c r="AQ835" s="26">
        <f t="shared" ref="AQ835:AQ898" si="153">MAX(CEILING(1000-A835*1.02,10),0)</f>
        <v>150</v>
      </c>
      <c r="AR835" s="18" t="str">
        <f ca="1">CONCATENATE(OFFSET(Sheet1!$A$2,RANDBETWEEN(2,500),0,1,1),OFFSET(Sheet1!$A$2,RANDBETWEEN(2,500),RANDBETWEEN(1,5),1,1))</f>
        <v>霍勒斯琼斯</v>
      </c>
      <c r="AS835">
        <f>SUMPRODUCT(P835:AI835,Sheet2!$B$3:$U$3)</f>
        <v>43712</v>
      </c>
    </row>
    <row r="836" spans="1:45" x14ac:dyDescent="0.15">
      <c r="A836" s="18">
        <v>835</v>
      </c>
      <c r="B836" s="18" t="s">
        <v>315</v>
      </c>
      <c r="C836" s="18">
        <f t="shared" si="143"/>
        <v>126</v>
      </c>
      <c r="D836" s="19">
        <f t="shared" si="144"/>
        <v>3</v>
      </c>
      <c r="E836" s="19">
        <f>VLOOKUP(MOD(A836,4),各职业基础配置!C$32:D$35,2,FALSE)</f>
        <v>9</v>
      </c>
      <c r="F836" s="19">
        <f>IF(A836&lt;900,INDEX(各职业基础配置!C$23:C$28,MOD(ROW(A836),4)+1),0)</f>
        <v>8</v>
      </c>
      <c r="G836" s="19">
        <f t="shared" si="145"/>
        <v>4</v>
      </c>
      <c r="H836" s="27">
        <f t="shared" si="146"/>
        <v>1</v>
      </c>
      <c r="I836" s="6" t="s">
        <v>164</v>
      </c>
      <c r="J836" s="23" t="str">
        <f>VLOOKUP(E836,各职业基础配置!$B$9:$C$12,2,FALSE)</f>
        <v>116|117|118|4201|120</v>
      </c>
      <c r="K836" s="18" t="str">
        <f>VLOOKUP(E836,各职业基础配置!$B$15:$C$18,2,FALSE)</f>
        <v>28|29|30|31</v>
      </c>
      <c r="L836" s="18" t="str">
        <f>VLOOKUP(E836,各职业基础配置!B:C,2,FALSE)</f>
        <v>[{28,1,1},{29,1,1},{30,1,1},{31,1,1},{10,1,1},{11,1,1},{12,1,1}]</v>
      </c>
      <c r="M836" s="18">
        <v>0</v>
      </c>
      <c r="N836" s="18">
        <f t="shared" si="147"/>
        <v>3</v>
      </c>
      <c r="O836" s="18">
        <f>SUMPRODUCT(P836:AI836,Sheet2!$B$3:$U$3)</f>
        <v>43687</v>
      </c>
      <c r="P836" s="18">
        <f>CEILING(INDEX([1]系统模型!$VD:$VD,MATCH(C836,[1]系统模型!$A:$A,0))*POWER(C836/220,3.8)-50+(1000-A836),1)</f>
        <v>527</v>
      </c>
      <c r="Q836" s="18">
        <f>CEILING(INDEX([1]系统模型!$VE:$VE,MATCH(C836,[1]系统模型!$A:$A,0))*POWER(C836/220,4),1)</f>
        <v>43</v>
      </c>
      <c r="R836" s="18">
        <f>INT(INDEX([1]系统模型!$VF:$VF,MATCH(C836,[1]系统模型!$A:$A,0))*MAX(POWER(C836/180,4),0.5))</f>
        <v>6912</v>
      </c>
      <c r="S836" s="5">
        <v>1000</v>
      </c>
      <c r="T836" s="25">
        <v>0</v>
      </c>
      <c r="U836" s="25">
        <v>0</v>
      </c>
      <c r="V836" s="25">
        <v>0</v>
      </c>
      <c r="W836" s="25">
        <v>0</v>
      </c>
      <c r="X836" s="25">
        <f t="shared" si="148"/>
        <v>345</v>
      </c>
      <c r="Y836" s="12">
        <v>0</v>
      </c>
      <c r="Z836" s="25">
        <v>100</v>
      </c>
      <c r="AA836" s="25">
        <v>150</v>
      </c>
      <c r="AB836" s="25">
        <v>0</v>
      </c>
      <c r="AC836" s="25">
        <v>0</v>
      </c>
      <c r="AD836" s="25">
        <v>0</v>
      </c>
      <c r="AE836" s="25">
        <f t="shared" si="149"/>
        <v>252</v>
      </c>
      <c r="AF836" s="25">
        <f t="shared" si="150"/>
        <v>252</v>
      </c>
      <c r="AG836" s="25">
        <v>0</v>
      </c>
      <c r="AH836" s="25">
        <f t="shared" si="151"/>
        <v>700</v>
      </c>
      <c r="AI836" s="25">
        <f t="shared" si="152"/>
        <v>7</v>
      </c>
      <c r="AJ836" s="25">
        <v>1</v>
      </c>
      <c r="AK836" s="25">
        <v>1000</v>
      </c>
      <c r="AL836" s="25">
        <v>100</v>
      </c>
      <c r="AM836" s="26">
        <v>10</v>
      </c>
      <c r="AN836" s="26">
        <v>10</v>
      </c>
      <c r="AO836" s="22" t="s">
        <v>2211</v>
      </c>
      <c r="AP836" s="26">
        <v>0</v>
      </c>
      <c r="AQ836" s="26">
        <f t="shared" si="153"/>
        <v>150</v>
      </c>
      <c r="AR836" s="18" t="str">
        <f ca="1">CONCATENATE(OFFSET(Sheet1!$A$2,RANDBETWEEN(2,500),0,1,1),OFFSET(Sheet1!$A$2,RANDBETWEEN(2,500),RANDBETWEEN(1,5),1,1))</f>
        <v>陶赫蒂布鲁克</v>
      </c>
      <c r="AS836">
        <f>SUMPRODUCT(P836:AI836,Sheet2!$B$3:$U$3)</f>
        <v>43687</v>
      </c>
    </row>
    <row r="837" spans="1:45" x14ac:dyDescent="0.15">
      <c r="A837" s="18">
        <v>836</v>
      </c>
      <c r="B837" s="18" t="s">
        <v>898</v>
      </c>
      <c r="C837" s="18">
        <f t="shared" si="143"/>
        <v>126</v>
      </c>
      <c r="D837" s="19">
        <f t="shared" si="144"/>
        <v>2</v>
      </c>
      <c r="E837" s="19">
        <f>VLOOKUP(MOD(A837,4),各职业基础配置!C$32:D$35,2,FALSE)</f>
        <v>1</v>
      </c>
      <c r="F837" s="19">
        <f>IF(A837&lt;900,INDEX(各职业基础配置!C$23:C$28,MOD(ROW(A837),4)+1),0)</f>
        <v>13</v>
      </c>
      <c r="G837" s="19">
        <f t="shared" si="145"/>
        <v>4</v>
      </c>
      <c r="H837" s="27">
        <f t="shared" si="146"/>
        <v>1</v>
      </c>
      <c r="I837" s="6" t="s">
        <v>164</v>
      </c>
      <c r="J837" s="23" t="str">
        <f>VLOOKUP(E837,各职业基础配置!$B$9:$C$12,2,FALSE)</f>
        <v>101|102|103|4201|105</v>
      </c>
      <c r="K837" s="18" t="str">
        <f>VLOOKUP(E837,各职业基础配置!$B$15:$C$18,2,FALSE)</f>
        <v>24|25|26|27</v>
      </c>
      <c r="L837" s="18" t="str">
        <f>VLOOKUP(E837,各职业基础配置!B:C,2,FALSE)</f>
        <v>[{24,1,1},{25,1,1},{26,1,1},{27,1,1},{1,1,1},{2,1,1},{3,1,1}]</v>
      </c>
      <c r="M837" s="18">
        <v>0</v>
      </c>
      <c r="N837" s="18">
        <f t="shared" si="147"/>
        <v>3</v>
      </c>
      <c r="O837" s="18">
        <f>SUMPRODUCT(P837:AI837,Sheet2!$B$3:$U$3)</f>
        <v>43662</v>
      </c>
      <c r="P837" s="18">
        <f>CEILING(INDEX([1]系统模型!$VD:$VD,MATCH(C837,[1]系统模型!$A:$A,0))*POWER(C837/220,3.8)-50+(1000-A837),1)</f>
        <v>526</v>
      </c>
      <c r="Q837" s="18">
        <f>CEILING(INDEX([1]系统模型!$VE:$VE,MATCH(C837,[1]系统模型!$A:$A,0))*POWER(C837/220,4),1)</f>
        <v>43</v>
      </c>
      <c r="R837" s="18">
        <f>INT(INDEX([1]系统模型!$VF:$VF,MATCH(C837,[1]系统模型!$A:$A,0))*MAX(POWER(C837/180,4),0.5))</f>
        <v>6912</v>
      </c>
      <c r="S837" s="5">
        <v>1000</v>
      </c>
      <c r="T837" s="25">
        <v>0</v>
      </c>
      <c r="U837" s="25">
        <v>0</v>
      </c>
      <c r="V837" s="25">
        <v>0</v>
      </c>
      <c r="W837" s="25">
        <v>0</v>
      </c>
      <c r="X837" s="25">
        <f t="shared" si="148"/>
        <v>345</v>
      </c>
      <c r="Y837" s="12">
        <v>0</v>
      </c>
      <c r="Z837" s="25">
        <v>100</v>
      </c>
      <c r="AA837" s="25">
        <v>150</v>
      </c>
      <c r="AB837" s="25">
        <v>0</v>
      </c>
      <c r="AC837" s="25">
        <v>0</v>
      </c>
      <c r="AD837" s="25">
        <v>0</v>
      </c>
      <c r="AE837" s="25">
        <f t="shared" si="149"/>
        <v>252</v>
      </c>
      <c r="AF837" s="25">
        <f t="shared" si="150"/>
        <v>252</v>
      </c>
      <c r="AG837" s="25">
        <v>0</v>
      </c>
      <c r="AH837" s="25">
        <f t="shared" si="151"/>
        <v>700</v>
      </c>
      <c r="AI837" s="25">
        <f t="shared" si="152"/>
        <v>7</v>
      </c>
      <c r="AJ837" s="25">
        <v>1</v>
      </c>
      <c r="AK837" s="25">
        <v>1000</v>
      </c>
      <c r="AL837" s="25">
        <v>100</v>
      </c>
      <c r="AM837" s="26">
        <v>10</v>
      </c>
      <c r="AN837" s="26">
        <v>10</v>
      </c>
      <c r="AO837" s="22" t="s">
        <v>2211</v>
      </c>
      <c r="AP837" s="26">
        <v>0</v>
      </c>
      <c r="AQ837" s="26">
        <f t="shared" si="153"/>
        <v>150</v>
      </c>
      <c r="AR837" s="18" t="str">
        <f ca="1">CONCATENATE(OFFSET(Sheet1!$A$2,RANDBETWEEN(2,500),0,1,1),OFFSET(Sheet1!$A$2,RANDBETWEEN(2,500),RANDBETWEEN(1,5),1,1))</f>
        <v>爱迪生</v>
      </c>
      <c r="AS837">
        <f>SUMPRODUCT(P837:AI837,Sheet2!$B$3:$U$3)</f>
        <v>43662</v>
      </c>
    </row>
    <row r="838" spans="1:45" x14ac:dyDescent="0.15">
      <c r="A838" s="23">
        <v>837</v>
      </c>
      <c r="B838" s="18" t="s">
        <v>2143</v>
      </c>
      <c r="C838" s="18">
        <f t="shared" si="143"/>
        <v>126</v>
      </c>
      <c r="D838" s="19">
        <f t="shared" si="144"/>
        <v>3</v>
      </c>
      <c r="E838" s="19">
        <f>VLOOKUP(MOD(A838,4),各职业基础配置!C$32:D$35,2,FALSE)</f>
        <v>3</v>
      </c>
      <c r="F838" s="19">
        <f>IF(A838&lt;900,INDEX(各职业基础配置!C$23:C$28,MOD(ROW(A838),4)+1),0)</f>
        <v>14</v>
      </c>
      <c r="G838" s="19">
        <f t="shared" si="145"/>
        <v>4</v>
      </c>
      <c r="H838" s="27">
        <f t="shared" si="146"/>
        <v>1</v>
      </c>
      <c r="I838" s="6" t="s">
        <v>164</v>
      </c>
      <c r="J838" s="23" t="str">
        <f>VLOOKUP(E838,各职业基础配置!$B$9:$C$12,2,FALSE)</f>
        <v>106|107|108|4201|110</v>
      </c>
      <c r="K838" s="18" t="str">
        <f>VLOOKUP(E838,各职业基础配置!$B$15:$C$18,2,FALSE)</f>
        <v>20|21|22|23</v>
      </c>
      <c r="L838" s="18" t="str">
        <f>VLOOKUP(E838,各职业基础配置!B:C,2,FALSE)</f>
        <v>[{20,1,1},{21,1,1},{22,1,1},{23,1,1},{4,1,1},{5,1,1},{6,1,1}]</v>
      </c>
      <c r="M838" s="18">
        <v>0</v>
      </c>
      <c r="N838" s="18">
        <f t="shared" si="147"/>
        <v>7</v>
      </c>
      <c r="O838" s="18">
        <f>SUMPRODUCT(P838:AI838,Sheet2!$B$3:$U$3)</f>
        <v>43637</v>
      </c>
      <c r="P838" s="18">
        <f>CEILING(INDEX([1]系统模型!$VD:$VD,MATCH(C838,[1]系统模型!$A:$A,0))*POWER(C838/220,3.8)-50+(1000-A838),1)</f>
        <v>525</v>
      </c>
      <c r="Q838" s="18">
        <f>CEILING(INDEX([1]系统模型!$VE:$VE,MATCH(C838,[1]系统模型!$A:$A,0))*POWER(C838/220,4),1)</f>
        <v>43</v>
      </c>
      <c r="R838" s="18">
        <f>INT(INDEX([1]系统模型!$VF:$VF,MATCH(C838,[1]系统模型!$A:$A,0))*MAX(POWER(C838/180,4),0.5))</f>
        <v>6912</v>
      </c>
      <c r="S838" s="5">
        <v>1000</v>
      </c>
      <c r="T838" s="25">
        <v>0</v>
      </c>
      <c r="U838" s="25">
        <v>0</v>
      </c>
      <c r="V838" s="25">
        <v>0</v>
      </c>
      <c r="W838" s="25">
        <v>0</v>
      </c>
      <c r="X838" s="25">
        <f t="shared" si="148"/>
        <v>345</v>
      </c>
      <c r="Y838" s="12">
        <v>0</v>
      </c>
      <c r="Z838" s="25">
        <v>100</v>
      </c>
      <c r="AA838" s="25">
        <v>150</v>
      </c>
      <c r="AB838" s="25">
        <v>0</v>
      </c>
      <c r="AC838" s="25">
        <v>0</v>
      </c>
      <c r="AD838" s="25">
        <v>0</v>
      </c>
      <c r="AE838" s="25">
        <f t="shared" si="149"/>
        <v>252</v>
      </c>
      <c r="AF838" s="25">
        <f t="shared" si="150"/>
        <v>252</v>
      </c>
      <c r="AG838" s="25">
        <v>0</v>
      </c>
      <c r="AH838" s="25">
        <f t="shared" si="151"/>
        <v>700</v>
      </c>
      <c r="AI838" s="25">
        <f t="shared" si="152"/>
        <v>7</v>
      </c>
      <c r="AJ838" s="25">
        <v>1</v>
      </c>
      <c r="AK838" s="25">
        <v>1000</v>
      </c>
      <c r="AL838" s="25">
        <v>100</v>
      </c>
      <c r="AM838" s="26">
        <v>10</v>
      </c>
      <c r="AN838" s="26">
        <v>10</v>
      </c>
      <c r="AO838" s="22" t="s">
        <v>2211</v>
      </c>
      <c r="AP838" s="26">
        <v>0</v>
      </c>
      <c r="AQ838" s="26">
        <f t="shared" si="153"/>
        <v>150</v>
      </c>
      <c r="AR838" s="18" t="str">
        <f ca="1">CONCATENATE(OFFSET(Sheet1!$A$2,RANDBETWEEN(2,500),0,1,1),OFFSET(Sheet1!$A$2,RANDBETWEEN(2,500),RANDBETWEEN(1,5),1,1))</f>
        <v>尤金</v>
      </c>
      <c r="AS838">
        <f>SUMPRODUCT(P838:AI838,Sheet2!$B$3:$U$3)</f>
        <v>43637</v>
      </c>
    </row>
    <row r="839" spans="1:45" x14ac:dyDescent="0.15">
      <c r="A839" s="18">
        <v>838</v>
      </c>
      <c r="B839" s="18" t="s">
        <v>220</v>
      </c>
      <c r="C839" s="18">
        <f t="shared" si="143"/>
        <v>125</v>
      </c>
      <c r="D839" s="19">
        <f t="shared" si="144"/>
        <v>2</v>
      </c>
      <c r="E839" s="19">
        <f>VLOOKUP(MOD(A839,4),各职业基础配置!C$32:D$35,2,FALSE)</f>
        <v>6</v>
      </c>
      <c r="F839" s="19">
        <f>IF(A839&lt;900,INDEX(各职业基础配置!C$23:C$28,MOD(ROW(A839),4)+1),0)</f>
        <v>16</v>
      </c>
      <c r="G839" s="19">
        <f t="shared" si="145"/>
        <v>3</v>
      </c>
      <c r="H839" s="27">
        <f t="shared" si="146"/>
        <v>1</v>
      </c>
      <c r="I839" s="6" t="s">
        <v>164</v>
      </c>
      <c r="J839" s="23" t="str">
        <f>VLOOKUP(E839,各职业基础配置!$B$9:$C$12,2,FALSE)</f>
        <v>111|112|113|4201|115</v>
      </c>
      <c r="K839" s="18" t="str">
        <f>VLOOKUP(E839,各职业基础配置!$B$15:$C$18,2,FALSE)</f>
        <v>32|33|34</v>
      </c>
      <c r="L839" s="18" t="str">
        <f>VLOOKUP(E839,各职业基础配置!B:C,2,FALSE)</f>
        <v>[{32,1,1},{33,1,1},{34,1,1},{35,1,1},{7,1,1},{8,1,1},{9,1,1}]</v>
      </c>
      <c r="M839" s="18">
        <v>0</v>
      </c>
      <c r="N839" s="18">
        <f t="shared" si="147"/>
        <v>7</v>
      </c>
      <c r="O839" s="18">
        <f>SUMPRODUCT(P839:AI839,Sheet2!$B$3:$U$3)</f>
        <v>42648</v>
      </c>
      <c r="P839" s="18">
        <f>CEILING(INDEX([1]系统模型!$VD:$VD,MATCH(C839,[1]系统模型!$A:$A,0))*POWER(C839/220,3.8)-50+(1000-A839),1)</f>
        <v>510</v>
      </c>
      <c r="Q839" s="18">
        <f>CEILING(INDEX([1]系统模型!$VE:$VE,MATCH(C839,[1]系统模型!$A:$A,0))*POWER(C839/220,4),1)</f>
        <v>41</v>
      </c>
      <c r="R839" s="18">
        <f>INT(INDEX([1]系统模型!$VF:$VF,MATCH(C839,[1]系统模型!$A:$A,0))*MAX(POWER(C839/180,4),0.5))</f>
        <v>6848</v>
      </c>
      <c r="S839" s="5">
        <v>1000</v>
      </c>
      <c r="T839" s="25">
        <v>0</v>
      </c>
      <c r="U839" s="25">
        <v>0</v>
      </c>
      <c r="V839" s="25">
        <v>0</v>
      </c>
      <c r="W839" s="25">
        <v>0</v>
      </c>
      <c r="X839" s="25">
        <f t="shared" si="148"/>
        <v>342</v>
      </c>
      <c r="Y839" s="12">
        <v>0</v>
      </c>
      <c r="Z839" s="25">
        <v>100</v>
      </c>
      <c r="AA839" s="25">
        <v>150</v>
      </c>
      <c r="AB839" s="25">
        <v>0</v>
      </c>
      <c r="AC839" s="25">
        <v>0</v>
      </c>
      <c r="AD839" s="25">
        <v>0</v>
      </c>
      <c r="AE839" s="25">
        <f t="shared" si="149"/>
        <v>250</v>
      </c>
      <c r="AF839" s="25">
        <f t="shared" si="150"/>
        <v>250</v>
      </c>
      <c r="AG839" s="25">
        <v>0</v>
      </c>
      <c r="AH839" s="25">
        <f t="shared" si="151"/>
        <v>625</v>
      </c>
      <c r="AI839" s="25">
        <f t="shared" si="152"/>
        <v>6</v>
      </c>
      <c r="AJ839" s="25">
        <v>1</v>
      </c>
      <c r="AK839" s="25">
        <v>1000</v>
      </c>
      <c r="AL839" s="25">
        <v>100</v>
      </c>
      <c r="AM839" s="26">
        <v>10</v>
      </c>
      <c r="AN839" s="26">
        <v>10</v>
      </c>
      <c r="AO839" s="22" t="s">
        <v>2211</v>
      </c>
      <c r="AP839" s="26">
        <v>0</v>
      </c>
      <c r="AQ839" s="26">
        <f t="shared" si="153"/>
        <v>150</v>
      </c>
      <c r="AR839" s="18" t="str">
        <f ca="1">CONCATENATE(OFFSET(Sheet1!$A$2,RANDBETWEEN(2,500),0,1,1),OFFSET(Sheet1!$A$2,RANDBETWEEN(2,500),RANDBETWEEN(1,5),1,1))</f>
        <v>赫胥黎妮蒂亚</v>
      </c>
      <c r="AS839">
        <f>SUMPRODUCT(P839:AI839,Sheet2!$B$3:$U$3)</f>
        <v>42648</v>
      </c>
    </row>
    <row r="840" spans="1:45" x14ac:dyDescent="0.15">
      <c r="A840" s="18">
        <v>839</v>
      </c>
      <c r="B840" s="18" t="s">
        <v>1836</v>
      </c>
      <c r="C840" s="18">
        <f t="shared" si="143"/>
        <v>125</v>
      </c>
      <c r="D840" s="19">
        <f t="shared" si="144"/>
        <v>3</v>
      </c>
      <c r="E840" s="19">
        <f>VLOOKUP(MOD(A840,4),各职业基础配置!C$32:D$35,2,FALSE)</f>
        <v>9</v>
      </c>
      <c r="F840" s="19">
        <f>IF(A840&lt;900,INDEX(各职业基础配置!C$23:C$28,MOD(ROW(A840),4)+1),0)</f>
        <v>8</v>
      </c>
      <c r="G840" s="19">
        <f t="shared" si="145"/>
        <v>3</v>
      </c>
      <c r="H840" s="27">
        <f t="shared" si="146"/>
        <v>1</v>
      </c>
      <c r="I840" s="6" t="s">
        <v>164</v>
      </c>
      <c r="J840" s="23" t="str">
        <f>VLOOKUP(E840,各职业基础配置!$B$9:$C$12,2,FALSE)</f>
        <v>116|117|118|4201|120</v>
      </c>
      <c r="K840" s="18" t="str">
        <f>VLOOKUP(E840,各职业基础配置!$B$15:$C$18,2,FALSE)</f>
        <v>28|29|30|31</v>
      </c>
      <c r="L840" s="18" t="str">
        <f>VLOOKUP(E840,各职业基础配置!B:C,2,FALSE)</f>
        <v>[{28,1,1},{29,1,1},{30,1,1},{31,1,1},{10,1,1},{11,1,1},{12,1,1}]</v>
      </c>
      <c r="M840" s="18">
        <v>0</v>
      </c>
      <c r="N840" s="18">
        <f t="shared" si="147"/>
        <v>3</v>
      </c>
      <c r="O840" s="18">
        <f>SUMPRODUCT(P840:AI840,Sheet2!$B$3:$U$3)</f>
        <v>42623</v>
      </c>
      <c r="P840" s="18">
        <f>CEILING(INDEX([1]系统模型!$VD:$VD,MATCH(C840,[1]系统模型!$A:$A,0))*POWER(C840/220,3.8)-50+(1000-A840),1)</f>
        <v>509</v>
      </c>
      <c r="Q840" s="18">
        <f>CEILING(INDEX([1]系统模型!$VE:$VE,MATCH(C840,[1]系统模型!$A:$A,0))*POWER(C840/220,4),1)</f>
        <v>41</v>
      </c>
      <c r="R840" s="18">
        <f>INT(INDEX([1]系统模型!$VF:$VF,MATCH(C840,[1]系统模型!$A:$A,0))*MAX(POWER(C840/180,4),0.5))</f>
        <v>6848</v>
      </c>
      <c r="S840" s="5">
        <v>1000</v>
      </c>
      <c r="T840" s="25">
        <v>0</v>
      </c>
      <c r="U840" s="25">
        <v>0</v>
      </c>
      <c r="V840" s="25">
        <v>0</v>
      </c>
      <c r="W840" s="25">
        <v>0</v>
      </c>
      <c r="X840" s="25">
        <f t="shared" si="148"/>
        <v>342</v>
      </c>
      <c r="Y840" s="12">
        <v>0</v>
      </c>
      <c r="Z840" s="25">
        <v>100</v>
      </c>
      <c r="AA840" s="25">
        <v>150</v>
      </c>
      <c r="AB840" s="25">
        <v>0</v>
      </c>
      <c r="AC840" s="25">
        <v>0</v>
      </c>
      <c r="AD840" s="25">
        <v>0</v>
      </c>
      <c r="AE840" s="25">
        <f t="shared" si="149"/>
        <v>250</v>
      </c>
      <c r="AF840" s="25">
        <f t="shared" si="150"/>
        <v>250</v>
      </c>
      <c r="AG840" s="25">
        <v>0</v>
      </c>
      <c r="AH840" s="25">
        <f t="shared" si="151"/>
        <v>625</v>
      </c>
      <c r="AI840" s="25">
        <f t="shared" si="152"/>
        <v>6</v>
      </c>
      <c r="AJ840" s="25">
        <v>1</v>
      </c>
      <c r="AK840" s="25">
        <v>1000</v>
      </c>
      <c r="AL840" s="25">
        <v>100</v>
      </c>
      <c r="AM840" s="26">
        <v>10</v>
      </c>
      <c r="AN840" s="26">
        <v>10</v>
      </c>
      <c r="AO840" s="22" t="s">
        <v>2211</v>
      </c>
      <c r="AP840" s="26">
        <v>0</v>
      </c>
      <c r="AQ840" s="26">
        <f t="shared" si="153"/>
        <v>150</v>
      </c>
      <c r="AR840" s="18" t="str">
        <f ca="1">CONCATENATE(OFFSET(Sheet1!$A$2,RANDBETWEEN(2,500),0,1,1),OFFSET(Sheet1!$A$2,RANDBETWEEN(2,500),RANDBETWEEN(1,5),1,1))</f>
        <v>埃尔西</v>
      </c>
      <c r="AS840">
        <f>SUMPRODUCT(P840:AI840,Sheet2!$B$3:$U$3)</f>
        <v>42623</v>
      </c>
    </row>
    <row r="841" spans="1:45" x14ac:dyDescent="0.15">
      <c r="A841" s="23">
        <v>840</v>
      </c>
      <c r="B841" s="18" t="s">
        <v>1134</v>
      </c>
      <c r="C841" s="18">
        <f t="shared" si="143"/>
        <v>125</v>
      </c>
      <c r="D841" s="19">
        <f t="shared" si="144"/>
        <v>2</v>
      </c>
      <c r="E841" s="19">
        <f>VLOOKUP(MOD(A841,4),各职业基础配置!C$32:D$35,2,FALSE)</f>
        <v>1</v>
      </c>
      <c r="F841" s="19">
        <f>IF(A841&lt;900,INDEX(各职业基础配置!C$23:C$28,MOD(ROW(A841),4)+1),0)</f>
        <v>13</v>
      </c>
      <c r="G841" s="19">
        <f t="shared" si="145"/>
        <v>3</v>
      </c>
      <c r="H841" s="27">
        <f t="shared" si="146"/>
        <v>1</v>
      </c>
      <c r="I841" s="6" t="s">
        <v>164</v>
      </c>
      <c r="J841" s="23" t="str">
        <f>VLOOKUP(E841,各职业基础配置!$B$9:$C$12,2,FALSE)</f>
        <v>101|102|103|4201|105</v>
      </c>
      <c r="K841" s="18" t="str">
        <f>VLOOKUP(E841,各职业基础配置!$B$15:$C$18,2,FALSE)</f>
        <v>24|25|26|27</v>
      </c>
      <c r="L841" s="18" t="str">
        <f>VLOOKUP(E841,各职业基础配置!B:C,2,FALSE)</f>
        <v>[{24,1,1},{25,1,1},{26,1,1},{27,1,1},{1,1,1},{2,1,1},{3,1,1}]</v>
      </c>
      <c r="M841" s="18">
        <v>0</v>
      </c>
      <c r="N841" s="18">
        <f t="shared" si="147"/>
        <v>3</v>
      </c>
      <c r="O841" s="18">
        <f>SUMPRODUCT(P841:AI841,Sheet2!$B$3:$U$3)</f>
        <v>42598</v>
      </c>
      <c r="P841" s="18">
        <f>CEILING(INDEX([1]系统模型!$VD:$VD,MATCH(C841,[1]系统模型!$A:$A,0))*POWER(C841/220,3.8)-50+(1000-A841),1)</f>
        <v>508</v>
      </c>
      <c r="Q841" s="18">
        <f>CEILING(INDEX([1]系统模型!$VE:$VE,MATCH(C841,[1]系统模型!$A:$A,0))*POWER(C841/220,4),1)</f>
        <v>41</v>
      </c>
      <c r="R841" s="18">
        <f>INT(INDEX([1]系统模型!$VF:$VF,MATCH(C841,[1]系统模型!$A:$A,0))*MAX(POWER(C841/180,4),0.5))</f>
        <v>6848</v>
      </c>
      <c r="S841" s="5">
        <v>1000</v>
      </c>
      <c r="T841" s="25">
        <v>0</v>
      </c>
      <c r="U841" s="25">
        <v>0</v>
      </c>
      <c r="V841" s="25">
        <v>0</v>
      </c>
      <c r="W841" s="25">
        <v>0</v>
      </c>
      <c r="X841" s="25">
        <f t="shared" si="148"/>
        <v>342</v>
      </c>
      <c r="Y841" s="12">
        <v>0</v>
      </c>
      <c r="Z841" s="25">
        <v>100</v>
      </c>
      <c r="AA841" s="25">
        <v>150</v>
      </c>
      <c r="AB841" s="25">
        <v>0</v>
      </c>
      <c r="AC841" s="25">
        <v>0</v>
      </c>
      <c r="AD841" s="25">
        <v>0</v>
      </c>
      <c r="AE841" s="25">
        <f t="shared" si="149"/>
        <v>250</v>
      </c>
      <c r="AF841" s="25">
        <f t="shared" si="150"/>
        <v>250</v>
      </c>
      <c r="AG841" s="25">
        <v>0</v>
      </c>
      <c r="AH841" s="25">
        <f t="shared" si="151"/>
        <v>625</v>
      </c>
      <c r="AI841" s="25">
        <f t="shared" si="152"/>
        <v>6</v>
      </c>
      <c r="AJ841" s="25">
        <v>1</v>
      </c>
      <c r="AK841" s="25">
        <v>1000</v>
      </c>
      <c r="AL841" s="25">
        <v>100</v>
      </c>
      <c r="AM841" s="26">
        <v>10</v>
      </c>
      <c r="AN841" s="26">
        <v>10</v>
      </c>
      <c r="AO841" s="22" t="s">
        <v>2211</v>
      </c>
      <c r="AP841" s="26">
        <v>0</v>
      </c>
      <c r="AQ841" s="26">
        <f t="shared" si="153"/>
        <v>150</v>
      </c>
      <c r="AR841" s="18" t="str">
        <f ca="1">CONCATENATE(OFFSET(Sheet1!$A$2,RANDBETWEEN(2,500),0,1,1),OFFSET(Sheet1!$A$2,RANDBETWEEN(2,500),RANDBETWEEN(1,5),1,1))</f>
        <v>阿奇博尔德</v>
      </c>
      <c r="AS841">
        <f>SUMPRODUCT(P841:AI841,Sheet2!$B$3:$U$3)</f>
        <v>42598</v>
      </c>
    </row>
    <row r="842" spans="1:45" x14ac:dyDescent="0.15">
      <c r="A842" s="18">
        <v>841</v>
      </c>
      <c r="B842" s="18" t="s">
        <v>2144</v>
      </c>
      <c r="C842" s="18">
        <f t="shared" si="143"/>
        <v>125</v>
      </c>
      <c r="D842" s="19">
        <f t="shared" si="144"/>
        <v>3</v>
      </c>
      <c r="E842" s="19">
        <f>VLOOKUP(MOD(A842,4),各职业基础配置!C$32:D$35,2,FALSE)</f>
        <v>3</v>
      </c>
      <c r="F842" s="19">
        <f>IF(A842&lt;900,INDEX(各职业基础配置!C$23:C$28,MOD(ROW(A842),4)+1),0)</f>
        <v>14</v>
      </c>
      <c r="G842" s="19">
        <f t="shared" si="145"/>
        <v>3</v>
      </c>
      <c r="H842" s="27">
        <f t="shared" si="146"/>
        <v>1</v>
      </c>
      <c r="I842" s="6" t="s">
        <v>164</v>
      </c>
      <c r="J842" s="23" t="str">
        <f>VLOOKUP(E842,各职业基础配置!$B$9:$C$12,2,FALSE)</f>
        <v>106|107|108|4201|110</v>
      </c>
      <c r="K842" s="18" t="str">
        <f>VLOOKUP(E842,各职业基础配置!$B$15:$C$18,2,FALSE)</f>
        <v>20|21|22|23</v>
      </c>
      <c r="L842" s="18" t="str">
        <f>VLOOKUP(E842,各职业基础配置!B:C,2,FALSE)</f>
        <v>[{20,1,1},{21,1,1},{22,1,1},{23,1,1},{4,1,1},{5,1,1},{6,1,1}]</v>
      </c>
      <c r="M842" s="18">
        <v>0</v>
      </c>
      <c r="N842" s="18">
        <f t="shared" si="147"/>
        <v>7</v>
      </c>
      <c r="O842" s="18">
        <f>SUMPRODUCT(P842:AI842,Sheet2!$B$3:$U$3)</f>
        <v>42573</v>
      </c>
      <c r="P842" s="18">
        <f>CEILING(INDEX([1]系统模型!$VD:$VD,MATCH(C842,[1]系统模型!$A:$A,0))*POWER(C842/220,3.8)-50+(1000-A842),1)</f>
        <v>507</v>
      </c>
      <c r="Q842" s="18">
        <f>CEILING(INDEX([1]系统模型!$VE:$VE,MATCH(C842,[1]系统模型!$A:$A,0))*POWER(C842/220,4),1)</f>
        <v>41</v>
      </c>
      <c r="R842" s="18">
        <f>INT(INDEX([1]系统模型!$VF:$VF,MATCH(C842,[1]系统模型!$A:$A,0))*MAX(POWER(C842/180,4),0.5))</f>
        <v>6848</v>
      </c>
      <c r="S842" s="5">
        <v>1000</v>
      </c>
      <c r="T842" s="25">
        <v>0</v>
      </c>
      <c r="U842" s="25">
        <v>0</v>
      </c>
      <c r="V842" s="25">
        <v>0</v>
      </c>
      <c r="W842" s="25">
        <v>0</v>
      </c>
      <c r="X842" s="25">
        <f t="shared" si="148"/>
        <v>342</v>
      </c>
      <c r="Y842" s="12">
        <v>0</v>
      </c>
      <c r="Z842" s="25">
        <v>100</v>
      </c>
      <c r="AA842" s="25">
        <v>150</v>
      </c>
      <c r="AB842" s="25">
        <v>0</v>
      </c>
      <c r="AC842" s="25">
        <v>0</v>
      </c>
      <c r="AD842" s="25">
        <v>0</v>
      </c>
      <c r="AE842" s="25">
        <f t="shared" si="149"/>
        <v>250</v>
      </c>
      <c r="AF842" s="25">
        <f t="shared" si="150"/>
        <v>250</v>
      </c>
      <c r="AG842" s="25">
        <v>0</v>
      </c>
      <c r="AH842" s="25">
        <f t="shared" si="151"/>
        <v>625</v>
      </c>
      <c r="AI842" s="25">
        <f t="shared" si="152"/>
        <v>6</v>
      </c>
      <c r="AJ842" s="25">
        <v>1</v>
      </c>
      <c r="AK842" s="25">
        <v>1000</v>
      </c>
      <c r="AL842" s="25">
        <v>100</v>
      </c>
      <c r="AM842" s="26">
        <v>10</v>
      </c>
      <c r="AN842" s="26">
        <v>10</v>
      </c>
      <c r="AO842" s="22" t="s">
        <v>2211</v>
      </c>
      <c r="AP842" s="26">
        <v>0</v>
      </c>
      <c r="AQ842" s="26">
        <f t="shared" si="153"/>
        <v>150</v>
      </c>
      <c r="AR842" s="18" t="str">
        <f ca="1">CONCATENATE(OFFSET(Sheet1!$A$2,RANDBETWEEN(2,500),0,1,1),OFFSET(Sheet1!$A$2,RANDBETWEEN(2,500),RANDBETWEEN(1,5),1,1))</f>
        <v>安妮</v>
      </c>
      <c r="AS842">
        <f>SUMPRODUCT(P842:AI842,Sheet2!$B$3:$U$3)</f>
        <v>42573</v>
      </c>
    </row>
    <row r="843" spans="1:45" x14ac:dyDescent="0.15">
      <c r="A843" s="18">
        <v>842</v>
      </c>
      <c r="B843" s="18" t="s">
        <v>1075</v>
      </c>
      <c r="C843" s="18">
        <f t="shared" si="143"/>
        <v>125</v>
      </c>
      <c r="D843" s="19">
        <f t="shared" si="144"/>
        <v>2</v>
      </c>
      <c r="E843" s="19">
        <f>VLOOKUP(MOD(A843,4),各职业基础配置!C$32:D$35,2,FALSE)</f>
        <v>6</v>
      </c>
      <c r="F843" s="19">
        <f>IF(A843&lt;900,INDEX(各职业基础配置!C$23:C$28,MOD(ROW(A843),4)+1),0)</f>
        <v>16</v>
      </c>
      <c r="G843" s="19">
        <f t="shared" si="145"/>
        <v>3</v>
      </c>
      <c r="H843" s="27">
        <f t="shared" si="146"/>
        <v>1</v>
      </c>
      <c r="I843" s="6" t="s">
        <v>164</v>
      </c>
      <c r="J843" s="23" t="str">
        <f>VLOOKUP(E843,各职业基础配置!$B$9:$C$12,2,FALSE)</f>
        <v>111|112|113|4201|115</v>
      </c>
      <c r="K843" s="18" t="str">
        <f>VLOOKUP(E843,各职业基础配置!$B$15:$C$18,2,FALSE)</f>
        <v>32|33|34</v>
      </c>
      <c r="L843" s="18" t="str">
        <f>VLOOKUP(E843,各职业基础配置!B:C,2,FALSE)</f>
        <v>[{32,1,1},{33,1,1},{34,1,1},{35,1,1},{7,1,1},{8,1,1},{9,1,1}]</v>
      </c>
      <c r="M843" s="18">
        <v>0</v>
      </c>
      <c r="N843" s="18">
        <f t="shared" si="147"/>
        <v>7</v>
      </c>
      <c r="O843" s="18">
        <f>SUMPRODUCT(P843:AI843,Sheet2!$B$3:$U$3)</f>
        <v>42548</v>
      </c>
      <c r="P843" s="18">
        <f>CEILING(INDEX([1]系统模型!$VD:$VD,MATCH(C843,[1]系统模型!$A:$A,0))*POWER(C843/220,3.8)-50+(1000-A843),1)</f>
        <v>506</v>
      </c>
      <c r="Q843" s="18">
        <f>CEILING(INDEX([1]系统模型!$VE:$VE,MATCH(C843,[1]系统模型!$A:$A,0))*POWER(C843/220,4),1)</f>
        <v>41</v>
      </c>
      <c r="R843" s="18">
        <f>INT(INDEX([1]系统模型!$VF:$VF,MATCH(C843,[1]系统模型!$A:$A,0))*MAX(POWER(C843/180,4),0.5))</f>
        <v>6848</v>
      </c>
      <c r="S843" s="5">
        <v>1000</v>
      </c>
      <c r="T843" s="25">
        <v>0</v>
      </c>
      <c r="U843" s="25">
        <v>0</v>
      </c>
      <c r="V843" s="25">
        <v>0</v>
      </c>
      <c r="W843" s="25">
        <v>0</v>
      </c>
      <c r="X843" s="25">
        <f t="shared" si="148"/>
        <v>342</v>
      </c>
      <c r="Y843" s="12">
        <v>0</v>
      </c>
      <c r="Z843" s="25">
        <v>100</v>
      </c>
      <c r="AA843" s="25">
        <v>150</v>
      </c>
      <c r="AB843" s="25">
        <v>0</v>
      </c>
      <c r="AC843" s="25">
        <v>0</v>
      </c>
      <c r="AD843" s="25">
        <v>0</v>
      </c>
      <c r="AE843" s="25">
        <f t="shared" si="149"/>
        <v>250</v>
      </c>
      <c r="AF843" s="25">
        <f t="shared" si="150"/>
        <v>250</v>
      </c>
      <c r="AG843" s="25">
        <v>0</v>
      </c>
      <c r="AH843" s="25">
        <f t="shared" si="151"/>
        <v>625</v>
      </c>
      <c r="AI843" s="25">
        <f t="shared" si="152"/>
        <v>6</v>
      </c>
      <c r="AJ843" s="25">
        <v>1</v>
      </c>
      <c r="AK843" s="25">
        <v>1000</v>
      </c>
      <c r="AL843" s="25">
        <v>100</v>
      </c>
      <c r="AM843" s="26">
        <v>10</v>
      </c>
      <c r="AN843" s="26">
        <v>10</v>
      </c>
      <c r="AO843" s="22" t="s">
        <v>2211</v>
      </c>
      <c r="AP843" s="26">
        <v>0</v>
      </c>
      <c r="AQ843" s="26">
        <f t="shared" si="153"/>
        <v>150</v>
      </c>
      <c r="AR843" s="18" t="str">
        <f ca="1">CONCATENATE(OFFSET(Sheet1!$A$2,RANDBETWEEN(2,500),0,1,1),OFFSET(Sheet1!$A$2,RANDBETWEEN(2,500),RANDBETWEEN(1,5),1,1))</f>
        <v>艾利斯</v>
      </c>
      <c r="AS843">
        <f>SUMPRODUCT(P843:AI843,Sheet2!$B$3:$U$3)</f>
        <v>42548</v>
      </c>
    </row>
    <row r="844" spans="1:45" x14ac:dyDescent="0.15">
      <c r="A844" s="23">
        <v>843</v>
      </c>
      <c r="B844" s="18" t="s">
        <v>602</v>
      </c>
      <c r="C844" s="18">
        <f t="shared" si="143"/>
        <v>125</v>
      </c>
      <c r="D844" s="19">
        <f t="shared" si="144"/>
        <v>3</v>
      </c>
      <c r="E844" s="19">
        <f>VLOOKUP(MOD(A844,4),各职业基础配置!C$32:D$35,2,FALSE)</f>
        <v>9</v>
      </c>
      <c r="F844" s="19">
        <f>IF(A844&lt;900,INDEX(各职业基础配置!C$23:C$28,MOD(ROW(A844),4)+1),0)</f>
        <v>8</v>
      </c>
      <c r="G844" s="19">
        <f t="shared" si="145"/>
        <v>3</v>
      </c>
      <c r="H844" s="27">
        <f t="shared" si="146"/>
        <v>1</v>
      </c>
      <c r="I844" s="6" t="s">
        <v>164</v>
      </c>
      <c r="J844" s="23" t="str">
        <f>VLOOKUP(E844,各职业基础配置!$B$9:$C$12,2,FALSE)</f>
        <v>116|117|118|4201|120</v>
      </c>
      <c r="K844" s="18" t="str">
        <f>VLOOKUP(E844,各职业基础配置!$B$15:$C$18,2,FALSE)</f>
        <v>28|29|30|31</v>
      </c>
      <c r="L844" s="18" t="str">
        <f>VLOOKUP(E844,各职业基础配置!B:C,2,FALSE)</f>
        <v>[{28,1,1},{29,1,1},{30,1,1},{31,1,1},{10,1,1},{11,1,1},{12,1,1}]</v>
      </c>
      <c r="M844" s="18">
        <v>0</v>
      </c>
      <c r="N844" s="18">
        <f t="shared" si="147"/>
        <v>3</v>
      </c>
      <c r="O844" s="18">
        <f>SUMPRODUCT(P844:AI844,Sheet2!$B$3:$U$3)</f>
        <v>42523</v>
      </c>
      <c r="P844" s="18">
        <f>CEILING(INDEX([1]系统模型!$VD:$VD,MATCH(C844,[1]系统模型!$A:$A,0))*POWER(C844/220,3.8)-50+(1000-A844),1)</f>
        <v>505</v>
      </c>
      <c r="Q844" s="18">
        <f>CEILING(INDEX([1]系统模型!$VE:$VE,MATCH(C844,[1]系统模型!$A:$A,0))*POWER(C844/220,4),1)</f>
        <v>41</v>
      </c>
      <c r="R844" s="18">
        <f>INT(INDEX([1]系统模型!$VF:$VF,MATCH(C844,[1]系统模型!$A:$A,0))*MAX(POWER(C844/180,4),0.5))</f>
        <v>6848</v>
      </c>
      <c r="S844" s="5">
        <v>1000</v>
      </c>
      <c r="T844" s="25">
        <v>0</v>
      </c>
      <c r="U844" s="25">
        <v>0</v>
      </c>
      <c r="V844" s="25">
        <v>0</v>
      </c>
      <c r="W844" s="25">
        <v>0</v>
      </c>
      <c r="X844" s="25">
        <f t="shared" si="148"/>
        <v>342</v>
      </c>
      <c r="Y844" s="12">
        <v>0</v>
      </c>
      <c r="Z844" s="25">
        <v>100</v>
      </c>
      <c r="AA844" s="25">
        <v>150</v>
      </c>
      <c r="AB844" s="25">
        <v>0</v>
      </c>
      <c r="AC844" s="25">
        <v>0</v>
      </c>
      <c r="AD844" s="25">
        <v>0</v>
      </c>
      <c r="AE844" s="25">
        <f t="shared" si="149"/>
        <v>250</v>
      </c>
      <c r="AF844" s="25">
        <f t="shared" si="150"/>
        <v>250</v>
      </c>
      <c r="AG844" s="25">
        <v>0</v>
      </c>
      <c r="AH844" s="25">
        <f t="shared" si="151"/>
        <v>625</v>
      </c>
      <c r="AI844" s="25">
        <f t="shared" si="152"/>
        <v>6</v>
      </c>
      <c r="AJ844" s="25">
        <v>1</v>
      </c>
      <c r="AK844" s="25">
        <v>1000</v>
      </c>
      <c r="AL844" s="25">
        <v>100</v>
      </c>
      <c r="AM844" s="26">
        <v>10</v>
      </c>
      <c r="AN844" s="26">
        <v>10</v>
      </c>
      <c r="AO844" s="22" t="s">
        <v>2211</v>
      </c>
      <c r="AP844" s="26">
        <v>0</v>
      </c>
      <c r="AQ844" s="26">
        <f t="shared" si="153"/>
        <v>150</v>
      </c>
      <c r="AR844" s="18" t="str">
        <f ca="1">CONCATENATE(OFFSET(Sheet1!$A$2,RANDBETWEEN(2,500),0,1,1),OFFSET(Sheet1!$A$2,RANDBETWEEN(2,500),RANDBETWEEN(1,5),1,1))</f>
        <v>丘吉尔</v>
      </c>
      <c r="AS844">
        <f>SUMPRODUCT(P844:AI844,Sheet2!$B$3:$U$3)</f>
        <v>42523</v>
      </c>
    </row>
    <row r="845" spans="1:45" x14ac:dyDescent="0.15">
      <c r="A845" s="18">
        <v>844</v>
      </c>
      <c r="B845" s="18" t="s">
        <v>2145</v>
      </c>
      <c r="C845" s="18">
        <f t="shared" si="143"/>
        <v>125</v>
      </c>
      <c r="D845" s="19">
        <f t="shared" si="144"/>
        <v>2</v>
      </c>
      <c r="E845" s="19">
        <f>VLOOKUP(MOD(A845,4),各职业基础配置!C$32:D$35,2,FALSE)</f>
        <v>1</v>
      </c>
      <c r="F845" s="19">
        <f>IF(A845&lt;900,INDEX(各职业基础配置!C$23:C$28,MOD(ROW(A845),4)+1),0)</f>
        <v>13</v>
      </c>
      <c r="G845" s="19">
        <f t="shared" si="145"/>
        <v>3</v>
      </c>
      <c r="H845" s="27">
        <f t="shared" si="146"/>
        <v>1</v>
      </c>
      <c r="I845" s="6" t="s">
        <v>164</v>
      </c>
      <c r="J845" s="23" t="str">
        <f>VLOOKUP(E845,各职业基础配置!$B$9:$C$12,2,FALSE)</f>
        <v>101|102|103|4201|105</v>
      </c>
      <c r="K845" s="18" t="str">
        <f>VLOOKUP(E845,各职业基础配置!$B$15:$C$18,2,FALSE)</f>
        <v>24|25|26|27</v>
      </c>
      <c r="L845" s="18" t="str">
        <f>VLOOKUP(E845,各职业基础配置!B:C,2,FALSE)</f>
        <v>[{24,1,1},{25,1,1},{26,1,1},{27,1,1},{1,1,1},{2,1,1},{3,1,1}]</v>
      </c>
      <c r="M845" s="18">
        <v>0</v>
      </c>
      <c r="N845" s="18">
        <f t="shared" si="147"/>
        <v>3</v>
      </c>
      <c r="O845" s="18">
        <f>SUMPRODUCT(P845:AI845,Sheet2!$B$3:$U$3)</f>
        <v>42498</v>
      </c>
      <c r="P845" s="18">
        <f>CEILING(INDEX([1]系统模型!$VD:$VD,MATCH(C845,[1]系统模型!$A:$A,0))*POWER(C845/220,3.8)-50+(1000-A845),1)</f>
        <v>504</v>
      </c>
      <c r="Q845" s="18">
        <f>CEILING(INDEX([1]系统模型!$VE:$VE,MATCH(C845,[1]系统模型!$A:$A,0))*POWER(C845/220,4),1)</f>
        <v>41</v>
      </c>
      <c r="R845" s="18">
        <f>INT(INDEX([1]系统模型!$VF:$VF,MATCH(C845,[1]系统模型!$A:$A,0))*MAX(POWER(C845/180,4),0.5))</f>
        <v>6848</v>
      </c>
      <c r="S845" s="5">
        <v>1000</v>
      </c>
      <c r="T845" s="25">
        <v>0</v>
      </c>
      <c r="U845" s="25">
        <v>0</v>
      </c>
      <c r="V845" s="25">
        <v>0</v>
      </c>
      <c r="W845" s="25">
        <v>0</v>
      </c>
      <c r="X845" s="25">
        <f t="shared" si="148"/>
        <v>342</v>
      </c>
      <c r="Y845" s="12">
        <v>0</v>
      </c>
      <c r="Z845" s="25">
        <v>100</v>
      </c>
      <c r="AA845" s="25">
        <v>150</v>
      </c>
      <c r="AB845" s="25">
        <v>0</v>
      </c>
      <c r="AC845" s="25">
        <v>0</v>
      </c>
      <c r="AD845" s="25">
        <v>0</v>
      </c>
      <c r="AE845" s="25">
        <f t="shared" si="149"/>
        <v>250</v>
      </c>
      <c r="AF845" s="25">
        <f t="shared" si="150"/>
        <v>250</v>
      </c>
      <c r="AG845" s="25">
        <v>0</v>
      </c>
      <c r="AH845" s="25">
        <f t="shared" si="151"/>
        <v>625</v>
      </c>
      <c r="AI845" s="25">
        <f t="shared" si="152"/>
        <v>6</v>
      </c>
      <c r="AJ845" s="25">
        <v>1</v>
      </c>
      <c r="AK845" s="25">
        <v>1000</v>
      </c>
      <c r="AL845" s="25">
        <v>100</v>
      </c>
      <c r="AM845" s="26">
        <v>10</v>
      </c>
      <c r="AN845" s="26">
        <v>10</v>
      </c>
      <c r="AO845" s="22" t="s">
        <v>2211</v>
      </c>
      <c r="AP845" s="26">
        <v>0</v>
      </c>
      <c r="AQ845" s="26">
        <f t="shared" si="153"/>
        <v>140</v>
      </c>
      <c r="AR845" s="18" t="str">
        <f ca="1">CONCATENATE(OFFSET(Sheet1!$A$2,RANDBETWEEN(2,500),0,1,1),OFFSET(Sheet1!$A$2,RANDBETWEEN(2,500),RANDBETWEEN(1,5),1,1))</f>
        <v>詹姆斯萝莉</v>
      </c>
      <c r="AS845">
        <f>SUMPRODUCT(P845:AI845,Sheet2!$B$3:$U$3)</f>
        <v>42498</v>
      </c>
    </row>
    <row r="846" spans="1:45" x14ac:dyDescent="0.15">
      <c r="A846" s="18">
        <v>845</v>
      </c>
      <c r="B846" s="18" t="s">
        <v>1105</v>
      </c>
      <c r="C846" s="18">
        <f t="shared" si="143"/>
        <v>124</v>
      </c>
      <c r="D846" s="19">
        <f t="shared" si="144"/>
        <v>3</v>
      </c>
      <c r="E846" s="19">
        <f>VLOOKUP(MOD(A846,4),各职业基础配置!C$32:D$35,2,FALSE)</f>
        <v>3</v>
      </c>
      <c r="F846" s="19">
        <f>IF(A846&lt;900,INDEX(各职业基础配置!C$23:C$28,MOD(ROW(A846),4)+1),0)</f>
        <v>14</v>
      </c>
      <c r="G846" s="19">
        <f t="shared" si="145"/>
        <v>3</v>
      </c>
      <c r="H846" s="27">
        <f t="shared" si="146"/>
        <v>1</v>
      </c>
      <c r="I846" s="6" t="s">
        <v>164</v>
      </c>
      <c r="J846" s="23" t="str">
        <f>VLOOKUP(E846,各职业基础配置!$B$9:$C$12,2,FALSE)</f>
        <v>106|107|108|4201|110</v>
      </c>
      <c r="K846" s="18" t="str">
        <f>VLOOKUP(E846,各职业基础配置!$B$15:$C$18,2,FALSE)</f>
        <v>20|21|22|23</v>
      </c>
      <c r="L846" s="18" t="str">
        <f>VLOOKUP(E846,各职业基础配置!B:C,2,FALSE)</f>
        <v>[{20,1,1},{21,1,1},{22,1,1},{23,1,1},{4,1,1},{5,1,1},{6,1,1}]</v>
      </c>
      <c r="M846" s="18">
        <v>0</v>
      </c>
      <c r="N846" s="18">
        <f t="shared" si="147"/>
        <v>7</v>
      </c>
      <c r="O846" s="18">
        <f>SUMPRODUCT(P846:AI846,Sheet2!$B$3:$U$3)</f>
        <v>41541</v>
      </c>
      <c r="P846" s="18">
        <f>CEILING(INDEX([1]系统模型!$VD:$VD,MATCH(C846,[1]系统模型!$A:$A,0))*POWER(C846/220,3.8)-50+(1000-A846),1)</f>
        <v>489</v>
      </c>
      <c r="Q846" s="18">
        <f>CEILING(INDEX([1]系统模型!$VE:$VE,MATCH(C846,[1]系统模型!$A:$A,0))*POWER(C846/220,4),1)</f>
        <v>39</v>
      </c>
      <c r="R846" s="18">
        <f>INT(INDEX([1]系统模型!$VF:$VF,MATCH(C846,[1]系统模型!$A:$A,0))*MAX(POWER(C846/180,4),0.5))</f>
        <v>6791</v>
      </c>
      <c r="S846" s="5">
        <v>1000</v>
      </c>
      <c r="T846" s="25">
        <v>0</v>
      </c>
      <c r="U846" s="25">
        <v>0</v>
      </c>
      <c r="V846" s="25">
        <v>0</v>
      </c>
      <c r="W846" s="25">
        <v>0</v>
      </c>
      <c r="X846" s="25">
        <f t="shared" si="148"/>
        <v>339</v>
      </c>
      <c r="Y846" s="12">
        <v>0</v>
      </c>
      <c r="Z846" s="25">
        <v>100</v>
      </c>
      <c r="AA846" s="25">
        <v>150</v>
      </c>
      <c r="AB846" s="25">
        <v>0</v>
      </c>
      <c r="AC846" s="25">
        <v>0</v>
      </c>
      <c r="AD846" s="25">
        <v>0</v>
      </c>
      <c r="AE846" s="25">
        <f t="shared" si="149"/>
        <v>248</v>
      </c>
      <c r="AF846" s="25">
        <f t="shared" si="150"/>
        <v>248</v>
      </c>
      <c r="AG846" s="25">
        <v>0</v>
      </c>
      <c r="AH846" s="25">
        <f t="shared" si="151"/>
        <v>550</v>
      </c>
      <c r="AI846" s="25">
        <f t="shared" si="152"/>
        <v>6</v>
      </c>
      <c r="AJ846" s="25">
        <v>1</v>
      </c>
      <c r="AK846" s="25">
        <v>1000</v>
      </c>
      <c r="AL846" s="25">
        <v>100</v>
      </c>
      <c r="AM846" s="26">
        <v>10</v>
      </c>
      <c r="AN846" s="26">
        <v>10</v>
      </c>
      <c r="AO846" s="22" t="s">
        <v>2211</v>
      </c>
      <c r="AP846" s="26">
        <v>0</v>
      </c>
      <c r="AQ846" s="26">
        <f t="shared" si="153"/>
        <v>140</v>
      </c>
      <c r="AR846" s="18" t="str">
        <f ca="1">CONCATENATE(OFFSET(Sheet1!$A$2,RANDBETWEEN(2,500),0,1,1),OFFSET(Sheet1!$A$2,RANDBETWEEN(2,500),RANDBETWEEN(1,5),1,1))</f>
        <v>科弗代尔</v>
      </c>
      <c r="AS846">
        <f>SUMPRODUCT(P846:AI846,Sheet2!$B$3:$U$3)</f>
        <v>41541</v>
      </c>
    </row>
    <row r="847" spans="1:45" x14ac:dyDescent="0.15">
      <c r="A847" s="23">
        <v>846</v>
      </c>
      <c r="B847" s="18" t="s">
        <v>2146</v>
      </c>
      <c r="C847" s="18">
        <f t="shared" si="143"/>
        <v>124</v>
      </c>
      <c r="D847" s="19">
        <f t="shared" si="144"/>
        <v>2</v>
      </c>
      <c r="E847" s="19">
        <f>VLOOKUP(MOD(A847,4),各职业基础配置!C$32:D$35,2,FALSE)</f>
        <v>6</v>
      </c>
      <c r="F847" s="19">
        <f>IF(A847&lt;900,INDEX(各职业基础配置!C$23:C$28,MOD(ROW(A847),4)+1),0)</f>
        <v>16</v>
      </c>
      <c r="G847" s="19">
        <f t="shared" si="145"/>
        <v>3</v>
      </c>
      <c r="H847" s="27">
        <f t="shared" si="146"/>
        <v>1</v>
      </c>
      <c r="I847" s="6" t="s">
        <v>164</v>
      </c>
      <c r="J847" s="23" t="str">
        <f>VLOOKUP(E847,各职业基础配置!$B$9:$C$12,2,FALSE)</f>
        <v>111|112|113|4201|115</v>
      </c>
      <c r="K847" s="18" t="str">
        <f>VLOOKUP(E847,各职业基础配置!$B$15:$C$18,2,FALSE)</f>
        <v>32|33|34</v>
      </c>
      <c r="L847" s="18" t="str">
        <f>VLOOKUP(E847,各职业基础配置!B:C,2,FALSE)</f>
        <v>[{32,1,1},{33,1,1},{34,1,1},{35,1,1},{7,1,1},{8,1,1},{9,1,1}]</v>
      </c>
      <c r="M847" s="18">
        <v>0</v>
      </c>
      <c r="N847" s="18">
        <f t="shared" si="147"/>
        <v>7</v>
      </c>
      <c r="O847" s="18">
        <f>SUMPRODUCT(P847:AI847,Sheet2!$B$3:$U$3)</f>
        <v>41516</v>
      </c>
      <c r="P847" s="18">
        <f>CEILING(INDEX([1]系统模型!$VD:$VD,MATCH(C847,[1]系统模型!$A:$A,0))*POWER(C847/220,3.8)-50+(1000-A847),1)</f>
        <v>488</v>
      </c>
      <c r="Q847" s="18">
        <f>CEILING(INDEX([1]系统模型!$VE:$VE,MATCH(C847,[1]系统模型!$A:$A,0))*POWER(C847/220,4),1)</f>
        <v>39</v>
      </c>
      <c r="R847" s="18">
        <f>INT(INDEX([1]系统模型!$VF:$VF,MATCH(C847,[1]系统模型!$A:$A,0))*MAX(POWER(C847/180,4),0.5))</f>
        <v>6791</v>
      </c>
      <c r="S847" s="5">
        <v>1000</v>
      </c>
      <c r="T847" s="25">
        <v>0</v>
      </c>
      <c r="U847" s="25">
        <v>0</v>
      </c>
      <c r="V847" s="25">
        <v>0</v>
      </c>
      <c r="W847" s="25">
        <v>0</v>
      </c>
      <c r="X847" s="25">
        <f t="shared" si="148"/>
        <v>339</v>
      </c>
      <c r="Y847" s="12">
        <v>0</v>
      </c>
      <c r="Z847" s="25">
        <v>100</v>
      </c>
      <c r="AA847" s="25">
        <v>150</v>
      </c>
      <c r="AB847" s="25">
        <v>0</v>
      </c>
      <c r="AC847" s="25">
        <v>0</v>
      </c>
      <c r="AD847" s="25">
        <v>0</v>
      </c>
      <c r="AE847" s="25">
        <f t="shared" si="149"/>
        <v>248</v>
      </c>
      <c r="AF847" s="25">
        <f t="shared" si="150"/>
        <v>248</v>
      </c>
      <c r="AG847" s="25">
        <v>0</v>
      </c>
      <c r="AH847" s="25">
        <f t="shared" si="151"/>
        <v>550</v>
      </c>
      <c r="AI847" s="25">
        <f t="shared" si="152"/>
        <v>6</v>
      </c>
      <c r="AJ847" s="25">
        <v>1</v>
      </c>
      <c r="AK847" s="25">
        <v>1000</v>
      </c>
      <c r="AL847" s="25">
        <v>100</v>
      </c>
      <c r="AM847" s="26">
        <v>10</v>
      </c>
      <c r="AN847" s="26">
        <v>10</v>
      </c>
      <c r="AO847" s="22" t="s">
        <v>2211</v>
      </c>
      <c r="AP847" s="26">
        <v>0</v>
      </c>
      <c r="AQ847" s="26">
        <f t="shared" si="153"/>
        <v>140</v>
      </c>
      <c r="AR847" s="18" t="str">
        <f ca="1">CONCATENATE(OFFSET(Sheet1!$A$2,RANDBETWEEN(2,500),0,1,1),OFFSET(Sheet1!$A$2,RANDBETWEEN(2,500),RANDBETWEEN(1,5),1,1))</f>
        <v>多利</v>
      </c>
      <c r="AS847">
        <f>SUMPRODUCT(P847:AI847,Sheet2!$B$3:$U$3)</f>
        <v>41516</v>
      </c>
    </row>
    <row r="848" spans="1:45" x14ac:dyDescent="0.15">
      <c r="A848" s="18">
        <v>847</v>
      </c>
      <c r="B848" s="18" t="s">
        <v>1362</v>
      </c>
      <c r="C848" s="18">
        <f t="shared" si="143"/>
        <v>124</v>
      </c>
      <c r="D848" s="19">
        <f t="shared" si="144"/>
        <v>3</v>
      </c>
      <c r="E848" s="19">
        <f>VLOOKUP(MOD(A848,4),各职业基础配置!C$32:D$35,2,FALSE)</f>
        <v>9</v>
      </c>
      <c r="F848" s="19">
        <f>IF(A848&lt;900,INDEX(各职业基础配置!C$23:C$28,MOD(ROW(A848),4)+1),0)</f>
        <v>8</v>
      </c>
      <c r="G848" s="19">
        <f t="shared" si="145"/>
        <v>3</v>
      </c>
      <c r="H848" s="27">
        <f t="shared" si="146"/>
        <v>1</v>
      </c>
      <c r="I848" s="6" t="s">
        <v>164</v>
      </c>
      <c r="J848" s="23" t="str">
        <f>VLOOKUP(E848,各职业基础配置!$B$9:$C$12,2,FALSE)</f>
        <v>116|117|118|4201|120</v>
      </c>
      <c r="K848" s="18" t="str">
        <f>VLOOKUP(E848,各职业基础配置!$B$15:$C$18,2,FALSE)</f>
        <v>28|29|30|31</v>
      </c>
      <c r="L848" s="18" t="str">
        <f>VLOOKUP(E848,各职业基础配置!B:C,2,FALSE)</f>
        <v>[{28,1,1},{29,1,1},{30,1,1},{31,1,1},{10,1,1},{11,1,1},{12,1,1}]</v>
      </c>
      <c r="M848" s="18">
        <v>0</v>
      </c>
      <c r="N848" s="18">
        <f t="shared" si="147"/>
        <v>3</v>
      </c>
      <c r="O848" s="18">
        <f>SUMPRODUCT(P848:AI848,Sheet2!$B$3:$U$3)</f>
        <v>41491</v>
      </c>
      <c r="P848" s="18">
        <f>CEILING(INDEX([1]系统模型!$VD:$VD,MATCH(C848,[1]系统模型!$A:$A,0))*POWER(C848/220,3.8)-50+(1000-A848),1)</f>
        <v>487</v>
      </c>
      <c r="Q848" s="18">
        <f>CEILING(INDEX([1]系统模型!$VE:$VE,MATCH(C848,[1]系统模型!$A:$A,0))*POWER(C848/220,4),1)</f>
        <v>39</v>
      </c>
      <c r="R848" s="18">
        <f>INT(INDEX([1]系统模型!$VF:$VF,MATCH(C848,[1]系统模型!$A:$A,0))*MAX(POWER(C848/180,4),0.5))</f>
        <v>6791</v>
      </c>
      <c r="S848" s="5">
        <v>1000</v>
      </c>
      <c r="T848" s="25">
        <v>0</v>
      </c>
      <c r="U848" s="25">
        <v>0</v>
      </c>
      <c r="V848" s="25">
        <v>0</v>
      </c>
      <c r="W848" s="25">
        <v>0</v>
      </c>
      <c r="X848" s="25">
        <f t="shared" si="148"/>
        <v>339</v>
      </c>
      <c r="Y848" s="12">
        <v>0</v>
      </c>
      <c r="Z848" s="25">
        <v>100</v>
      </c>
      <c r="AA848" s="25">
        <v>150</v>
      </c>
      <c r="AB848" s="25">
        <v>0</v>
      </c>
      <c r="AC848" s="25">
        <v>0</v>
      </c>
      <c r="AD848" s="25">
        <v>0</v>
      </c>
      <c r="AE848" s="25">
        <f t="shared" si="149"/>
        <v>248</v>
      </c>
      <c r="AF848" s="25">
        <f t="shared" si="150"/>
        <v>248</v>
      </c>
      <c r="AG848" s="25">
        <v>0</v>
      </c>
      <c r="AH848" s="25">
        <f t="shared" si="151"/>
        <v>550</v>
      </c>
      <c r="AI848" s="25">
        <f t="shared" si="152"/>
        <v>6</v>
      </c>
      <c r="AJ848" s="25">
        <v>1</v>
      </c>
      <c r="AK848" s="25">
        <v>1000</v>
      </c>
      <c r="AL848" s="25">
        <v>100</v>
      </c>
      <c r="AM848" s="26">
        <v>10</v>
      </c>
      <c r="AN848" s="26">
        <v>10</v>
      </c>
      <c r="AO848" s="22" t="s">
        <v>2211</v>
      </c>
      <c r="AP848" s="26">
        <v>0</v>
      </c>
      <c r="AQ848" s="26">
        <f t="shared" si="153"/>
        <v>140</v>
      </c>
      <c r="AR848" s="18" t="str">
        <f ca="1">CONCATENATE(OFFSET(Sheet1!$A$2,RANDBETWEEN(2,500),0,1,1),OFFSET(Sheet1!$A$2,RANDBETWEEN(2,500),RANDBETWEEN(1,5),1,1))</f>
        <v>考珀</v>
      </c>
      <c r="AS848">
        <f>SUMPRODUCT(P848:AI848,Sheet2!$B$3:$U$3)</f>
        <v>41491</v>
      </c>
    </row>
    <row r="849" spans="1:45" x14ac:dyDescent="0.15">
      <c r="A849" s="18">
        <v>848</v>
      </c>
      <c r="B849" s="18" t="s">
        <v>485</v>
      </c>
      <c r="C849" s="18">
        <f t="shared" si="143"/>
        <v>124</v>
      </c>
      <c r="D849" s="19">
        <f t="shared" si="144"/>
        <v>2</v>
      </c>
      <c r="E849" s="19">
        <f>VLOOKUP(MOD(A849,4),各职业基础配置!C$32:D$35,2,FALSE)</f>
        <v>1</v>
      </c>
      <c r="F849" s="19">
        <f>IF(A849&lt;900,INDEX(各职业基础配置!C$23:C$28,MOD(ROW(A849),4)+1),0)</f>
        <v>13</v>
      </c>
      <c r="G849" s="19">
        <f t="shared" si="145"/>
        <v>3</v>
      </c>
      <c r="H849" s="27">
        <f t="shared" si="146"/>
        <v>1</v>
      </c>
      <c r="I849" s="6" t="s">
        <v>164</v>
      </c>
      <c r="J849" s="23" t="str">
        <f>VLOOKUP(E849,各职业基础配置!$B$9:$C$12,2,FALSE)</f>
        <v>101|102|103|4201|105</v>
      </c>
      <c r="K849" s="18" t="str">
        <f>VLOOKUP(E849,各职业基础配置!$B$15:$C$18,2,FALSE)</f>
        <v>24|25|26|27</v>
      </c>
      <c r="L849" s="18" t="str">
        <f>VLOOKUP(E849,各职业基础配置!B:C,2,FALSE)</f>
        <v>[{24,1,1},{25,1,1},{26,1,1},{27,1,1},{1,1,1},{2,1,1},{3,1,1}]</v>
      </c>
      <c r="M849" s="18">
        <v>0</v>
      </c>
      <c r="N849" s="18">
        <f t="shared" si="147"/>
        <v>3</v>
      </c>
      <c r="O849" s="18">
        <f>SUMPRODUCT(P849:AI849,Sheet2!$B$3:$U$3)</f>
        <v>41466</v>
      </c>
      <c r="P849" s="18">
        <f>CEILING(INDEX([1]系统模型!$VD:$VD,MATCH(C849,[1]系统模型!$A:$A,0))*POWER(C849/220,3.8)-50+(1000-A849),1)</f>
        <v>486</v>
      </c>
      <c r="Q849" s="18">
        <f>CEILING(INDEX([1]系统模型!$VE:$VE,MATCH(C849,[1]系统模型!$A:$A,0))*POWER(C849/220,4),1)</f>
        <v>39</v>
      </c>
      <c r="R849" s="18">
        <f>INT(INDEX([1]系统模型!$VF:$VF,MATCH(C849,[1]系统模型!$A:$A,0))*MAX(POWER(C849/180,4),0.5))</f>
        <v>6791</v>
      </c>
      <c r="S849" s="5">
        <v>1000</v>
      </c>
      <c r="T849" s="25">
        <v>0</v>
      </c>
      <c r="U849" s="25">
        <v>0</v>
      </c>
      <c r="V849" s="25">
        <v>0</v>
      </c>
      <c r="W849" s="25">
        <v>0</v>
      </c>
      <c r="X849" s="25">
        <f t="shared" si="148"/>
        <v>339</v>
      </c>
      <c r="Y849" s="12">
        <v>0</v>
      </c>
      <c r="Z849" s="25">
        <v>100</v>
      </c>
      <c r="AA849" s="25">
        <v>150</v>
      </c>
      <c r="AB849" s="25">
        <v>0</v>
      </c>
      <c r="AC849" s="25">
        <v>0</v>
      </c>
      <c r="AD849" s="25">
        <v>0</v>
      </c>
      <c r="AE849" s="25">
        <f t="shared" si="149"/>
        <v>248</v>
      </c>
      <c r="AF849" s="25">
        <f t="shared" si="150"/>
        <v>248</v>
      </c>
      <c r="AG849" s="25">
        <v>0</v>
      </c>
      <c r="AH849" s="25">
        <f t="shared" si="151"/>
        <v>550</v>
      </c>
      <c r="AI849" s="25">
        <f t="shared" si="152"/>
        <v>6</v>
      </c>
      <c r="AJ849" s="25">
        <v>1</v>
      </c>
      <c r="AK849" s="25">
        <v>1000</v>
      </c>
      <c r="AL849" s="25">
        <v>100</v>
      </c>
      <c r="AM849" s="26">
        <v>10</v>
      </c>
      <c r="AN849" s="26">
        <v>10</v>
      </c>
      <c r="AO849" s="22" t="s">
        <v>2211</v>
      </c>
      <c r="AP849" s="26">
        <v>0</v>
      </c>
      <c r="AQ849" s="26">
        <f t="shared" si="153"/>
        <v>140</v>
      </c>
      <c r="AR849" s="18" t="str">
        <f ca="1">CONCATENATE(OFFSET(Sheet1!$A$2,RANDBETWEEN(2,500),0,1,1),OFFSET(Sheet1!$A$2,RANDBETWEEN(2,500),RANDBETWEEN(1,5),1,1))</f>
        <v>康斯坦斯</v>
      </c>
      <c r="AS849">
        <f>SUMPRODUCT(P849:AI849,Sheet2!$B$3:$U$3)</f>
        <v>41466</v>
      </c>
    </row>
    <row r="850" spans="1:45" x14ac:dyDescent="0.15">
      <c r="A850" s="23">
        <v>849</v>
      </c>
      <c r="B850" s="18" t="s">
        <v>441</v>
      </c>
      <c r="C850" s="18">
        <f t="shared" si="143"/>
        <v>124</v>
      </c>
      <c r="D850" s="19">
        <f t="shared" si="144"/>
        <v>3</v>
      </c>
      <c r="E850" s="19">
        <f>VLOOKUP(MOD(A850,4),各职业基础配置!C$32:D$35,2,FALSE)</f>
        <v>3</v>
      </c>
      <c r="F850" s="19">
        <f>IF(A850&lt;900,INDEX(各职业基础配置!C$23:C$28,MOD(ROW(A850),4)+1),0)</f>
        <v>14</v>
      </c>
      <c r="G850" s="19">
        <f t="shared" si="145"/>
        <v>3</v>
      </c>
      <c r="H850" s="27">
        <f t="shared" si="146"/>
        <v>1</v>
      </c>
      <c r="I850" s="6" t="s">
        <v>164</v>
      </c>
      <c r="J850" s="23" t="str">
        <f>VLOOKUP(E850,各职业基础配置!$B$9:$C$12,2,FALSE)</f>
        <v>106|107|108|4201|110</v>
      </c>
      <c r="K850" s="18" t="str">
        <f>VLOOKUP(E850,各职业基础配置!$B$15:$C$18,2,FALSE)</f>
        <v>20|21|22|23</v>
      </c>
      <c r="L850" s="18" t="str">
        <f>VLOOKUP(E850,各职业基础配置!B:C,2,FALSE)</f>
        <v>[{20,1,1},{21,1,1},{22,1,1},{23,1,1},{4,1,1},{5,1,1},{6,1,1}]</v>
      </c>
      <c r="M850" s="18">
        <v>0</v>
      </c>
      <c r="N850" s="18">
        <f t="shared" si="147"/>
        <v>7</v>
      </c>
      <c r="O850" s="18">
        <f>SUMPRODUCT(P850:AI850,Sheet2!$B$3:$U$3)</f>
        <v>41441</v>
      </c>
      <c r="P850" s="18">
        <f>CEILING(INDEX([1]系统模型!$VD:$VD,MATCH(C850,[1]系统模型!$A:$A,0))*POWER(C850/220,3.8)-50+(1000-A850),1)</f>
        <v>485</v>
      </c>
      <c r="Q850" s="18">
        <f>CEILING(INDEX([1]系统模型!$VE:$VE,MATCH(C850,[1]系统模型!$A:$A,0))*POWER(C850/220,4),1)</f>
        <v>39</v>
      </c>
      <c r="R850" s="18">
        <f>INT(INDEX([1]系统模型!$VF:$VF,MATCH(C850,[1]系统模型!$A:$A,0))*MAX(POWER(C850/180,4),0.5))</f>
        <v>6791</v>
      </c>
      <c r="S850" s="5">
        <v>1000</v>
      </c>
      <c r="T850" s="25">
        <v>0</v>
      </c>
      <c r="U850" s="25">
        <v>0</v>
      </c>
      <c r="V850" s="25">
        <v>0</v>
      </c>
      <c r="W850" s="25">
        <v>0</v>
      </c>
      <c r="X850" s="25">
        <f t="shared" si="148"/>
        <v>339</v>
      </c>
      <c r="Y850" s="12">
        <v>0</v>
      </c>
      <c r="Z850" s="25">
        <v>100</v>
      </c>
      <c r="AA850" s="25">
        <v>150</v>
      </c>
      <c r="AB850" s="25">
        <v>0</v>
      </c>
      <c r="AC850" s="25">
        <v>0</v>
      </c>
      <c r="AD850" s="25">
        <v>0</v>
      </c>
      <c r="AE850" s="25">
        <f t="shared" si="149"/>
        <v>248</v>
      </c>
      <c r="AF850" s="25">
        <f t="shared" si="150"/>
        <v>248</v>
      </c>
      <c r="AG850" s="25">
        <v>0</v>
      </c>
      <c r="AH850" s="25">
        <f t="shared" si="151"/>
        <v>550</v>
      </c>
      <c r="AI850" s="25">
        <f t="shared" si="152"/>
        <v>6</v>
      </c>
      <c r="AJ850" s="25">
        <v>1</v>
      </c>
      <c r="AK850" s="25">
        <v>1000</v>
      </c>
      <c r="AL850" s="25">
        <v>100</v>
      </c>
      <c r="AM850" s="26">
        <v>10</v>
      </c>
      <c r="AN850" s="26">
        <v>10</v>
      </c>
      <c r="AO850" s="22" t="s">
        <v>2211</v>
      </c>
      <c r="AP850" s="26">
        <v>0</v>
      </c>
      <c r="AQ850" s="26">
        <f t="shared" si="153"/>
        <v>140</v>
      </c>
      <c r="AR850" s="18" t="str">
        <f ca="1">CONCATENATE(OFFSET(Sheet1!$A$2,RANDBETWEEN(2,500),0,1,1),OFFSET(Sheet1!$A$2,RANDBETWEEN(2,500),RANDBETWEEN(1,5),1,1))</f>
        <v>布劳</v>
      </c>
      <c r="AS850">
        <f>SUMPRODUCT(P850:AI850,Sheet2!$B$3:$U$3)</f>
        <v>41441</v>
      </c>
    </row>
    <row r="851" spans="1:45" x14ac:dyDescent="0.15">
      <c r="A851" s="18">
        <v>850</v>
      </c>
      <c r="B851" s="18" t="s">
        <v>1352</v>
      </c>
      <c r="C851" s="18">
        <f t="shared" si="143"/>
        <v>124</v>
      </c>
      <c r="D851" s="19">
        <f t="shared" si="144"/>
        <v>2</v>
      </c>
      <c r="E851" s="19">
        <f>VLOOKUP(MOD(A851,4),各职业基础配置!C$32:D$35,2,FALSE)</f>
        <v>6</v>
      </c>
      <c r="F851" s="19">
        <f>IF(A851&lt;900,INDEX(各职业基础配置!C$23:C$28,MOD(ROW(A851),4)+1),0)</f>
        <v>16</v>
      </c>
      <c r="G851" s="19">
        <f t="shared" si="145"/>
        <v>3</v>
      </c>
      <c r="H851" s="27">
        <f t="shared" si="146"/>
        <v>1</v>
      </c>
      <c r="I851" s="6" t="s">
        <v>164</v>
      </c>
      <c r="J851" s="23" t="str">
        <f>VLOOKUP(E851,各职业基础配置!$B$9:$C$12,2,FALSE)</f>
        <v>111|112|113|4201|115</v>
      </c>
      <c r="K851" s="18" t="str">
        <f>VLOOKUP(E851,各职业基础配置!$B$15:$C$18,2,FALSE)</f>
        <v>32|33|34</v>
      </c>
      <c r="L851" s="18" t="str">
        <f>VLOOKUP(E851,各职业基础配置!B:C,2,FALSE)</f>
        <v>[{32,1,1},{33,1,1},{34,1,1},{35,1,1},{7,1,1},{8,1,1},{9,1,1}]</v>
      </c>
      <c r="M851" s="18">
        <v>0</v>
      </c>
      <c r="N851" s="18">
        <f t="shared" si="147"/>
        <v>7</v>
      </c>
      <c r="O851" s="18">
        <f>SUMPRODUCT(P851:AI851,Sheet2!$B$3:$U$3)</f>
        <v>41416</v>
      </c>
      <c r="P851" s="18">
        <f>CEILING(INDEX([1]系统模型!$VD:$VD,MATCH(C851,[1]系统模型!$A:$A,0))*POWER(C851/220,3.8)-50+(1000-A851),1)</f>
        <v>484</v>
      </c>
      <c r="Q851" s="18">
        <f>CEILING(INDEX([1]系统模型!$VE:$VE,MATCH(C851,[1]系统模型!$A:$A,0))*POWER(C851/220,4),1)</f>
        <v>39</v>
      </c>
      <c r="R851" s="18">
        <f>INT(INDEX([1]系统模型!$VF:$VF,MATCH(C851,[1]系统模型!$A:$A,0))*MAX(POWER(C851/180,4),0.5))</f>
        <v>6791</v>
      </c>
      <c r="S851" s="5">
        <v>1000</v>
      </c>
      <c r="T851" s="25">
        <v>0</v>
      </c>
      <c r="U851" s="25">
        <v>0</v>
      </c>
      <c r="V851" s="25">
        <v>0</v>
      </c>
      <c r="W851" s="25">
        <v>0</v>
      </c>
      <c r="X851" s="25">
        <f t="shared" si="148"/>
        <v>339</v>
      </c>
      <c r="Y851" s="12">
        <v>0</v>
      </c>
      <c r="Z851" s="25">
        <v>100</v>
      </c>
      <c r="AA851" s="25">
        <v>150</v>
      </c>
      <c r="AB851" s="25">
        <v>0</v>
      </c>
      <c r="AC851" s="25">
        <v>0</v>
      </c>
      <c r="AD851" s="25">
        <v>0</v>
      </c>
      <c r="AE851" s="25">
        <f t="shared" si="149"/>
        <v>248</v>
      </c>
      <c r="AF851" s="25">
        <f t="shared" si="150"/>
        <v>248</v>
      </c>
      <c r="AG851" s="25">
        <v>0</v>
      </c>
      <c r="AH851" s="25">
        <f t="shared" si="151"/>
        <v>550</v>
      </c>
      <c r="AI851" s="25">
        <f t="shared" si="152"/>
        <v>6</v>
      </c>
      <c r="AJ851" s="25">
        <v>1</v>
      </c>
      <c r="AK851" s="25">
        <v>1000</v>
      </c>
      <c r="AL851" s="25">
        <v>100</v>
      </c>
      <c r="AM851" s="26">
        <v>10</v>
      </c>
      <c r="AN851" s="26">
        <v>10</v>
      </c>
      <c r="AO851" s="22" t="s">
        <v>2211</v>
      </c>
      <c r="AP851" s="26">
        <v>0</v>
      </c>
      <c r="AQ851" s="26">
        <f t="shared" si="153"/>
        <v>140</v>
      </c>
      <c r="AR851" s="18" t="str">
        <f ca="1">CONCATENATE(OFFSET(Sheet1!$A$2,RANDBETWEEN(2,500),0,1,1),OFFSET(Sheet1!$A$2,RANDBETWEEN(2,500),RANDBETWEEN(1,5),1,1))</f>
        <v>道格拉斯希拉</v>
      </c>
      <c r="AS851">
        <f>SUMPRODUCT(P851:AI851,Sheet2!$B$3:$U$3)</f>
        <v>41416</v>
      </c>
    </row>
    <row r="852" spans="1:45" x14ac:dyDescent="0.15">
      <c r="A852" s="18">
        <v>851</v>
      </c>
      <c r="B852" s="18" t="s">
        <v>347</v>
      </c>
      <c r="C852" s="18">
        <f t="shared" si="143"/>
        <v>124</v>
      </c>
      <c r="D852" s="19">
        <f t="shared" si="144"/>
        <v>3</v>
      </c>
      <c r="E852" s="19">
        <f>VLOOKUP(MOD(A852,4),各职业基础配置!C$32:D$35,2,FALSE)</f>
        <v>9</v>
      </c>
      <c r="F852" s="19">
        <f>IF(A852&lt;900,INDEX(各职业基础配置!C$23:C$28,MOD(ROW(A852),4)+1),0)</f>
        <v>8</v>
      </c>
      <c r="G852" s="19">
        <f t="shared" si="145"/>
        <v>3</v>
      </c>
      <c r="H852" s="27">
        <f t="shared" si="146"/>
        <v>1</v>
      </c>
      <c r="I852" s="6" t="s">
        <v>164</v>
      </c>
      <c r="J852" s="23" t="str">
        <f>VLOOKUP(E852,各职业基础配置!$B$9:$C$12,2,FALSE)</f>
        <v>116|117|118|4201|120</v>
      </c>
      <c r="K852" s="18" t="str">
        <f>VLOOKUP(E852,各职业基础配置!$B$15:$C$18,2,FALSE)</f>
        <v>28|29|30|31</v>
      </c>
      <c r="L852" s="18" t="str">
        <f>VLOOKUP(E852,各职业基础配置!B:C,2,FALSE)</f>
        <v>[{28,1,1},{29,1,1},{30,1,1},{31,1,1},{10,1,1},{11,1,1},{12,1,1}]</v>
      </c>
      <c r="M852" s="18">
        <v>0</v>
      </c>
      <c r="N852" s="18">
        <f t="shared" si="147"/>
        <v>3</v>
      </c>
      <c r="O852" s="18">
        <f>SUMPRODUCT(P852:AI852,Sheet2!$B$3:$U$3)</f>
        <v>41391</v>
      </c>
      <c r="P852" s="18">
        <f>CEILING(INDEX([1]系统模型!$VD:$VD,MATCH(C852,[1]系统模型!$A:$A,0))*POWER(C852/220,3.8)-50+(1000-A852),1)</f>
        <v>483</v>
      </c>
      <c r="Q852" s="18">
        <f>CEILING(INDEX([1]系统模型!$VE:$VE,MATCH(C852,[1]系统模型!$A:$A,0))*POWER(C852/220,4),1)</f>
        <v>39</v>
      </c>
      <c r="R852" s="18">
        <f>INT(INDEX([1]系统模型!$VF:$VF,MATCH(C852,[1]系统模型!$A:$A,0))*MAX(POWER(C852/180,4),0.5))</f>
        <v>6791</v>
      </c>
      <c r="S852" s="5">
        <v>1000</v>
      </c>
      <c r="T852" s="25">
        <v>0</v>
      </c>
      <c r="U852" s="25">
        <v>0</v>
      </c>
      <c r="V852" s="25">
        <v>0</v>
      </c>
      <c r="W852" s="25">
        <v>0</v>
      </c>
      <c r="X852" s="25">
        <f t="shared" si="148"/>
        <v>339</v>
      </c>
      <c r="Y852" s="12">
        <v>0</v>
      </c>
      <c r="Z852" s="25">
        <v>100</v>
      </c>
      <c r="AA852" s="25">
        <v>150</v>
      </c>
      <c r="AB852" s="25">
        <v>0</v>
      </c>
      <c r="AC852" s="25">
        <v>0</v>
      </c>
      <c r="AD852" s="25">
        <v>0</v>
      </c>
      <c r="AE852" s="25">
        <f t="shared" si="149"/>
        <v>248</v>
      </c>
      <c r="AF852" s="25">
        <f t="shared" si="150"/>
        <v>248</v>
      </c>
      <c r="AG852" s="25">
        <v>0</v>
      </c>
      <c r="AH852" s="25">
        <f t="shared" si="151"/>
        <v>550</v>
      </c>
      <c r="AI852" s="25">
        <f t="shared" si="152"/>
        <v>6</v>
      </c>
      <c r="AJ852" s="25">
        <v>1</v>
      </c>
      <c r="AK852" s="25">
        <v>1000</v>
      </c>
      <c r="AL852" s="25">
        <v>100</v>
      </c>
      <c r="AM852" s="26">
        <v>10</v>
      </c>
      <c r="AN852" s="26">
        <v>10</v>
      </c>
      <c r="AO852" s="22" t="s">
        <v>2211</v>
      </c>
      <c r="AP852" s="26">
        <v>0</v>
      </c>
      <c r="AQ852" s="26">
        <f t="shared" si="153"/>
        <v>140</v>
      </c>
      <c r="AR852" s="18" t="str">
        <f ca="1">CONCATENATE(OFFSET(Sheet1!$A$2,RANDBETWEEN(2,500),0,1,1),OFFSET(Sheet1!$A$2,RANDBETWEEN(2,500),RANDBETWEEN(1,5),1,1))</f>
        <v>休</v>
      </c>
      <c r="AS852">
        <f>SUMPRODUCT(P852:AI852,Sheet2!$B$3:$U$3)</f>
        <v>41391</v>
      </c>
    </row>
    <row r="853" spans="1:45" x14ac:dyDescent="0.15">
      <c r="A853" s="23">
        <v>852</v>
      </c>
      <c r="B853" s="18" t="s">
        <v>356</v>
      </c>
      <c r="C853" s="18">
        <f t="shared" si="143"/>
        <v>123</v>
      </c>
      <c r="D853" s="19">
        <f t="shared" si="144"/>
        <v>2</v>
      </c>
      <c r="E853" s="19">
        <f>VLOOKUP(MOD(A853,4),各职业基础配置!C$32:D$35,2,FALSE)</f>
        <v>1</v>
      </c>
      <c r="F853" s="19">
        <f>IF(A853&lt;900,INDEX(各职业基础配置!C$23:C$28,MOD(ROW(A853),4)+1),0)</f>
        <v>13</v>
      </c>
      <c r="G853" s="19">
        <f t="shared" si="145"/>
        <v>3</v>
      </c>
      <c r="H853" s="27">
        <f t="shared" si="146"/>
        <v>1</v>
      </c>
      <c r="I853" s="6" t="s">
        <v>164</v>
      </c>
      <c r="J853" s="23" t="str">
        <f>VLOOKUP(E853,各职业基础配置!$B$9:$C$12,2,FALSE)</f>
        <v>101|102|103|4201|105</v>
      </c>
      <c r="K853" s="18" t="str">
        <f>VLOOKUP(E853,各职业基础配置!$B$15:$C$18,2,FALSE)</f>
        <v>24|25|26|27</v>
      </c>
      <c r="L853" s="18" t="str">
        <f>VLOOKUP(E853,各职业基础配置!B:C,2,FALSE)</f>
        <v>[{24,1,1},{25,1,1},{26,1,1},{27,1,1},{1,1,1},{2,1,1},{3,1,1}]</v>
      </c>
      <c r="M853" s="18">
        <v>0</v>
      </c>
      <c r="N853" s="18">
        <f t="shared" si="147"/>
        <v>3</v>
      </c>
      <c r="O853" s="18">
        <f>SUMPRODUCT(P853:AI853,Sheet2!$B$3:$U$3)</f>
        <v>40385</v>
      </c>
      <c r="P853" s="18">
        <f>CEILING(INDEX([1]系统模型!$VD:$VD,MATCH(C853,[1]系统模型!$A:$A,0))*POWER(C853/220,3.8)-50+(1000-A853),1)</f>
        <v>467</v>
      </c>
      <c r="Q853" s="18">
        <f>CEILING(INDEX([1]系统模型!$VE:$VE,MATCH(C853,[1]系统模型!$A:$A,0))*POWER(C853/220,4),1)</f>
        <v>37</v>
      </c>
      <c r="R853" s="18">
        <f>INT(INDEX([1]系统模型!$VF:$VF,MATCH(C853,[1]系统模型!$A:$A,0))*MAX(POWER(C853/180,4),0.5))</f>
        <v>6710</v>
      </c>
      <c r="S853" s="5">
        <v>1000</v>
      </c>
      <c r="T853" s="25">
        <v>0</v>
      </c>
      <c r="U853" s="25">
        <v>0</v>
      </c>
      <c r="V853" s="25">
        <v>0</v>
      </c>
      <c r="W853" s="25">
        <v>0</v>
      </c>
      <c r="X853" s="25">
        <f t="shared" si="148"/>
        <v>335</v>
      </c>
      <c r="Y853" s="12">
        <v>0</v>
      </c>
      <c r="Z853" s="25">
        <v>100</v>
      </c>
      <c r="AA853" s="25">
        <v>150</v>
      </c>
      <c r="AB853" s="25">
        <v>0</v>
      </c>
      <c r="AC853" s="25">
        <v>0</v>
      </c>
      <c r="AD853" s="25">
        <v>0</v>
      </c>
      <c r="AE853" s="25">
        <f t="shared" si="149"/>
        <v>246</v>
      </c>
      <c r="AF853" s="25">
        <f t="shared" si="150"/>
        <v>246</v>
      </c>
      <c r="AG853" s="25">
        <v>0</v>
      </c>
      <c r="AH853" s="25">
        <f t="shared" si="151"/>
        <v>475</v>
      </c>
      <c r="AI853" s="25">
        <f t="shared" si="152"/>
        <v>6</v>
      </c>
      <c r="AJ853" s="25">
        <v>1</v>
      </c>
      <c r="AK853" s="25">
        <v>1000</v>
      </c>
      <c r="AL853" s="25">
        <v>100</v>
      </c>
      <c r="AM853" s="26">
        <v>10</v>
      </c>
      <c r="AN853" s="26">
        <v>10</v>
      </c>
      <c r="AO853" s="22" t="s">
        <v>2211</v>
      </c>
      <c r="AP853" s="26">
        <v>0</v>
      </c>
      <c r="AQ853" s="26">
        <f t="shared" si="153"/>
        <v>140</v>
      </c>
      <c r="AR853" s="18" t="str">
        <f ca="1">CONCATENATE(OFFSET(Sheet1!$A$2,RANDBETWEEN(2,500),0,1,1),OFFSET(Sheet1!$A$2,RANDBETWEEN(2,500),RANDBETWEEN(1,5),1,1))</f>
        <v>安德森</v>
      </c>
      <c r="AS853">
        <f>SUMPRODUCT(P853:AI853,Sheet2!$B$3:$U$3)</f>
        <v>40385</v>
      </c>
    </row>
    <row r="854" spans="1:45" x14ac:dyDescent="0.15">
      <c r="A854" s="18">
        <v>853</v>
      </c>
      <c r="B854" s="18" t="s">
        <v>2147</v>
      </c>
      <c r="C854" s="18">
        <f t="shared" si="143"/>
        <v>123</v>
      </c>
      <c r="D854" s="19">
        <f t="shared" si="144"/>
        <v>3</v>
      </c>
      <c r="E854" s="19">
        <f>VLOOKUP(MOD(A854,4),各职业基础配置!C$32:D$35,2,FALSE)</f>
        <v>3</v>
      </c>
      <c r="F854" s="19">
        <f>IF(A854&lt;900,INDEX(各职业基础配置!C$23:C$28,MOD(ROW(A854),4)+1),0)</f>
        <v>14</v>
      </c>
      <c r="G854" s="19">
        <f t="shared" si="145"/>
        <v>3</v>
      </c>
      <c r="H854" s="27">
        <f t="shared" si="146"/>
        <v>1</v>
      </c>
      <c r="I854" s="6" t="s">
        <v>164</v>
      </c>
      <c r="J854" s="23" t="str">
        <f>VLOOKUP(E854,各职业基础配置!$B$9:$C$12,2,FALSE)</f>
        <v>106|107|108|4201|110</v>
      </c>
      <c r="K854" s="18" t="str">
        <f>VLOOKUP(E854,各职业基础配置!$B$15:$C$18,2,FALSE)</f>
        <v>20|21|22|23</v>
      </c>
      <c r="L854" s="18" t="str">
        <f>VLOOKUP(E854,各职业基础配置!B:C,2,FALSE)</f>
        <v>[{20,1,1},{21,1,1},{22,1,1},{23,1,1},{4,1,1},{5,1,1},{6,1,1}]</v>
      </c>
      <c r="M854" s="18">
        <v>0</v>
      </c>
      <c r="N854" s="18">
        <f t="shared" si="147"/>
        <v>7</v>
      </c>
      <c r="O854" s="18">
        <f>SUMPRODUCT(P854:AI854,Sheet2!$B$3:$U$3)</f>
        <v>40360</v>
      </c>
      <c r="P854" s="18">
        <f>CEILING(INDEX([1]系统模型!$VD:$VD,MATCH(C854,[1]系统模型!$A:$A,0))*POWER(C854/220,3.8)-50+(1000-A854),1)</f>
        <v>466</v>
      </c>
      <c r="Q854" s="18">
        <f>CEILING(INDEX([1]系统模型!$VE:$VE,MATCH(C854,[1]系统模型!$A:$A,0))*POWER(C854/220,4),1)</f>
        <v>37</v>
      </c>
      <c r="R854" s="18">
        <f>INT(INDEX([1]系统模型!$VF:$VF,MATCH(C854,[1]系统模型!$A:$A,0))*MAX(POWER(C854/180,4),0.5))</f>
        <v>6710</v>
      </c>
      <c r="S854" s="5">
        <v>1000</v>
      </c>
      <c r="T854" s="25">
        <v>0</v>
      </c>
      <c r="U854" s="25">
        <v>0</v>
      </c>
      <c r="V854" s="25">
        <v>0</v>
      </c>
      <c r="W854" s="25">
        <v>0</v>
      </c>
      <c r="X854" s="25">
        <f t="shared" si="148"/>
        <v>335</v>
      </c>
      <c r="Y854" s="12">
        <v>0</v>
      </c>
      <c r="Z854" s="25">
        <v>100</v>
      </c>
      <c r="AA854" s="25">
        <v>150</v>
      </c>
      <c r="AB854" s="25">
        <v>0</v>
      </c>
      <c r="AC854" s="25">
        <v>0</v>
      </c>
      <c r="AD854" s="25">
        <v>0</v>
      </c>
      <c r="AE854" s="25">
        <f t="shared" si="149"/>
        <v>246</v>
      </c>
      <c r="AF854" s="25">
        <f t="shared" si="150"/>
        <v>246</v>
      </c>
      <c r="AG854" s="25">
        <v>0</v>
      </c>
      <c r="AH854" s="25">
        <f t="shared" si="151"/>
        <v>475</v>
      </c>
      <c r="AI854" s="25">
        <f t="shared" si="152"/>
        <v>6</v>
      </c>
      <c r="AJ854" s="25">
        <v>1</v>
      </c>
      <c r="AK854" s="25">
        <v>1000</v>
      </c>
      <c r="AL854" s="25">
        <v>100</v>
      </c>
      <c r="AM854" s="26">
        <v>10</v>
      </c>
      <c r="AN854" s="26">
        <v>10</v>
      </c>
      <c r="AO854" s="22" t="s">
        <v>2211</v>
      </c>
      <c r="AP854" s="26">
        <v>0</v>
      </c>
      <c r="AQ854" s="26">
        <f t="shared" si="153"/>
        <v>130</v>
      </c>
      <c r="AR854" s="18" t="str">
        <f ca="1">CONCATENATE(OFFSET(Sheet1!$A$2,RANDBETWEEN(2,500),0,1,1),OFFSET(Sheet1!$A$2,RANDBETWEEN(2,500),RANDBETWEEN(1,5),1,1))</f>
        <v>埃丝特龙之</v>
      </c>
      <c r="AS854">
        <f>SUMPRODUCT(P854:AI854,Sheet2!$B$3:$U$3)</f>
        <v>40360</v>
      </c>
    </row>
    <row r="855" spans="1:45" x14ac:dyDescent="0.15">
      <c r="A855" s="18">
        <v>854</v>
      </c>
      <c r="B855" s="18" t="s">
        <v>323</v>
      </c>
      <c r="C855" s="18">
        <f t="shared" si="143"/>
        <v>123</v>
      </c>
      <c r="D855" s="19">
        <f t="shared" si="144"/>
        <v>2</v>
      </c>
      <c r="E855" s="19">
        <f>VLOOKUP(MOD(A855,4),各职业基础配置!C$32:D$35,2,FALSE)</f>
        <v>6</v>
      </c>
      <c r="F855" s="19">
        <f>IF(A855&lt;900,INDEX(各职业基础配置!C$23:C$28,MOD(ROW(A855),4)+1),0)</f>
        <v>16</v>
      </c>
      <c r="G855" s="19">
        <f t="shared" si="145"/>
        <v>3</v>
      </c>
      <c r="H855" s="27">
        <f t="shared" si="146"/>
        <v>1</v>
      </c>
      <c r="I855" s="6" t="s">
        <v>164</v>
      </c>
      <c r="J855" s="23" t="str">
        <f>VLOOKUP(E855,各职业基础配置!$B$9:$C$12,2,FALSE)</f>
        <v>111|112|113|4201|115</v>
      </c>
      <c r="K855" s="18" t="str">
        <f>VLOOKUP(E855,各职业基础配置!$B$15:$C$18,2,FALSE)</f>
        <v>32|33|34</v>
      </c>
      <c r="L855" s="18" t="str">
        <f>VLOOKUP(E855,各职业基础配置!B:C,2,FALSE)</f>
        <v>[{32,1,1},{33,1,1},{34,1,1},{35,1,1},{7,1,1},{8,1,1},{9,1,1}]</v>
      </c>
      <c r="M855" s="18">
        <v>0</v>
      </c>
      <c r="N855" s="18">
        <f t="shared" si="147"/>
        <v>7</v>
      </c>
      <c r="O855" s="18">
        <f>SUMPRODUCT(P855:AI855,Sheet2!$B$3:$U$3)</f>
        <v>40335</v>
      </c>
      <c r="P855" s="18">
        <f>CEILING(INDEX([1]系统模型!$VD:$VD,MATCH(C855,[1]系统模型!$A:$A,0))*POWER(C855/220,3.8)-50+(1000-A855),1)</f>
        <v>465</v>
      </c>
      <c r="Q855" s="18">
        <f>CEILING(INDEX([1]系统模型!$VE:$VE,MATCH(C855,[1]系统模型!$A:$A,0))*POWER(C855/220,4),1)</f>
        <v>37</v>
      </c>
      <c r="R855" s="18">
        <f>INT(INDEX([1]系统模型!$VF:$VF,MATCH(C855,[1]系统模型!$A:$A,0))*MAX(POWER(C855/180,4),0.5))</f>
        <v>6710</v>
      </c>
      <c r="S855" s="5">
        <v>1000</v>
      </c>
      <c r="T855" s="25">
        <v>0</v>
      </c>
      <c r="U855" s="25">
        <v>0</v>
      </c>
      <c r="V855" s="25">
        <v>0</v>
      </c>
      <c r="W855" s="25">
        <v>0</v>
      </c>
      <c r="X855" s="25">
        <f t="shared" si="148"/>
        <v>335</v>
      </c>
      <c r="Y855" s="12">
        <v>0</v>
      </c>
      <c r="Z855" s="25">
        <v>100</v>
      </c>
      <c r="AA855" s="25">
        <v>150</v>
      </c>
      <c r="AB855" s="25">
        <v>0</v>
      </c>
      <c r="AC855" s="25">
        <v>0</v>
      </c>
      <c r="AD855" s="25">
        <v>0</v>
      </c>
      <c r="AE855" s="25">
        <f t="shared" si="149"/>
        <v>246</v>
      </c>
      <c r="AF855" s="25">
        <f t="shared" si="150"/>
        <v>246</v>
      </c>
      <c r="AG855" s="25">
        <v>0</v>
      </c>
      <c r="AH855" s="25">
        <f t="shared" si="151"/>
        <v>475</v>
      </c>
      <c r="AI855" s="25">
        <f t="shared" si="152"/>
        <v>6</v>
      </c>
      <c r="AJ855" s="25">
        <v>1</v>
      </c>
      <c r="AK855" s="25">
        <v>1000</v>
      </c>
      <c r="AL855" s="25">
        <v>100</v>
      </c>
      <c r="AM855" s="26">
        <v>10</v>
      </c>
      <c r="AN855" s="26">
        <v>10</v>
      </c>
      <c r="AO855" s="22" t="s">
        <v>2211</v>
      </c>
      <c r="AP855" s="26">
        <v>0</v>
      </c>
      <c r="AQ855" s="26">
        <f t="shared" si="153"/>
        <v>130</v>
      </c>
      <c r="AR855" s="18" t="str">
        <f ca="1">CONCATENATE(OFFSET(Sheet1!$A$2,RANDBETWEEN(2,500),0,1,1),OFFSET(Sheet1!$A$2,RANDBETWEEN(2,500),RANDBETWEEN(1,5),1,1))</f>
        <v>杰罗姆</v>
      </c>
      <c r="AS855">
        <f>SUMPRODUCT(P855:AI855,Sheet2!$B$3:$U$3)</f>
        <v>40335</v>
      </c>
    </row>
    <row r="856" spans="1:45" x14ac:dyDescent="0.15">
      <c r="A856" s="23">
        <v>855</v>
      </c>
      <c r="B856" s="18" t="s">
        <v>898</v>
      </c>
      <c r="C856" s="18">
        <f t="shared" si="143"/>
        <v>123</v>
      </c>
      <c r="D856" s="19">
        <f t="shared" si="144"/>
        <v>3</v>
      </c>
      <c r="E856" s="19">
        <f>VLOOKUP(MOD(A856,4),各职业基础配置!C$32:D$35,2,FALSE)</f>
        <v>9</v>
      </c>
      <c r="F856" s="19">
        <f>IF(A856&lt;900,INDEX(各职业基础配置!C$23:C$28,MOD(ROW(A856),4)+1),0)</f>
        <v>8</v>
      </c>
      <c r="G856" s="19">
        <f t="shared" si="145"/>
        <v>3</v>
      </c>
      <c r="H856" s="27">
        <f t="shared" si="146"/>
        <v>1</v>
      </c>
      <c r="I856" s="6" t="s">
        <v>164</v>
      </c>
      <c r="J856" s="23" t="str">
        <f>VLOOKUP(E856,各职业基础配置!$B$9:$C$12,2,FALSE)</f>
        <v>116|117|118|4201|120</v>
      </c>
      <c r="K856" s="18" t="str">
        <f>VLOOKUP(E856,各职业基础配置!$B$15:$C$18,2,FALSE)</f>
        <v>28|29|30|31</v>
      </c>
      <c r="L856" s="18" t="str">
        <f>VLOOKUP(E856,各职业基础配置!B:C,2,FALSE)</f>
        <v>[{28,1,1},{29,1,1},{30,1,1},{31,1,1},{10,1,1},{11,1,1},{12,1,1}]</v>
      </c>
      <c r="M856" s="18">
        <v>0</v>
      </c>
      <c r="N856" s="18">
        <f t="shared" si="147"/>
        <v>3</v>
      </c>
      <c r="O856" s="18">
        <f>SUMPRODUCT(P856:AI856,Sheet2!$B$3:$U$3)</f>
        <v>40310</v>
      </c>
      <c r="P856" s="18">
        <f>CEILING(INDEX([1]系统模型!$VD:$VD,MATCH(C856,[1]系统模型!$A:$A,0))*POWER(C856/220,3.8)-50+(1000-A856),1)</f>
        <v>464</v>
      </c>
      <c r="Q856" s="18">
        <f>CEILING(INDEX([1]系统模型!$VE:$VE,MATCH(C856,[1]系统模型!$A:$A,0))*POWER(C856/220,4),1)</f>
        <v>37</v>
      </c>
      <c r="R856" s="18">
        <f>INT(INDEX([1]系统模型!$VF:$VF,MATCH(C856,[1]系统模型!$A:$A,0))*MAX(POWER(C856/180,4),0.5))</f>
        <v>6710</v>
      </c>
      <c r="S856" s="5">
        <v>1000</v>
      </c>
      <c r="T856" s="25">
        <v>0</v>
      </c>
      <c r="U856" s="25">
        <v>0</v>
      </c>
      <c r="V856" s="25">
        <v>0</v>
      </c>
      <c r="W856" s="25">
        <v>0</v>
      </c>
      <c r="X856" s="25">
        <f t="shared" si="148"/>
        <v>335</v>
      </c>
      <c r="Y856" s="12">
        <v>0</v>
      </c>
      <c r="Z856" s="25">
        <v>100</v>
      </c>
      <c r="AA856" s="25">
        <v>150</v>
      </c>
      <c r="AB856" s="25">
        <v>0</v>
      </c>
      <c r="AC856" s="25">
        <v>0</v>
      </c>
      <c r="AD856" s="25">
        <v>0</v>
      </c>
      <c r="AE856" s="25">
        <f t="shared" si="149"/>
        <v>246</v>
      </c>
      <c r="AF856" s="25">
        <f t="shared" si="150"/>
        <v>246</v>
      </c>
      <c r="AG856" s="25">
        <v>0</v>
      </c>
      <c r="AH856" s="25">
        <f t="shared" si="151"/>
        <v>475</v>
      </c>
      <c r="AI856" s="25">
        <f t="shared" si="152"/>
        <v>6</v>
      </c>
      <c r="AJ856" s="25">
        <v>1</v>
      </c>
      <c r="AK856" s="25">
        <v>1000</v>
      </c>
      <c r="AL856" s="25">
        <v>100</v>
      </c>
      <c r="AM856" s="26">
        <v>10</v>
      </c>
      <c r="AN856" s="26">
        <v>10</v>
      </c>
      <c r="AO856" s="22" t="s">
        <v>2211</v>
      </c>
      <c r="AP856" s="26">
        <v>0</v>
      </c>
      <c r="AQ856" s="26">
        <f t="shared" si="153"/>
        <v>130</v>
      </c>
      <c r="AR856" s="18" t="str">
        <f ca="1">CONCATENATE(OFFSET(Sheet1!$A$2,RANDBETWEEN(2,500),0,1,1),OFFSET(Sheet1!$A$2,RANDBETWEEN(2,500),RANDBETWEEN(1,5),1,1))</f>
        <v>布朗海棠</v>
      </c>
      <c r="AS856">
        <f>SUMPRODUCT(P856:AI856,Sheet2!$B$3:$U$3)</f>
        <v>40310</v>
      </c>
    </row>
    <row r="857" spans="1:45" x14ac:dyDescent="0.15">
      <c r="A857" s="18">
        <v>856</v>
      </c>
      <c r="B857" s="18" t="s">
        <v>1241</v>
      </c>
      <c r="C857" s="18">
        <f t="shared" si="143"/>
        <v>123</v>
      </c>
      <c r="D857" s="19">
        <f t="shared" si="144"/>
        <v>2</v>
      </c>
      <c r="E857" s="19">
        <f>VLOOKUP(MOD(A857,4),各职业基础配置!C$32:D$35,2,FALSE)</f>
        <v>1</v>
      </c>
      <c r="F857" s="19">
        <f>IF(A857&lt;900,INDEX(各职业基础配置!C$23:C$28,MOD(ROW(A857),4)+1),0)</f>
        <v>13</v>
      </c>
      <c r="G857" s="19">
        <f t="shared" si="145"/>
        <v>3</v>
      </c>
      <c r="H857" s="27">
        <f t="shared" si="146"/>
        <v>1</v>
      </c>
      <c r="I857" s="6" t="s">
        <v>164</v>
      </c>
      <c r="J857" s="23" t="str">
        <f>VLOOKUP(E857,各职业基础配置!$B$9:$C$12,2,FALSE)</f>
        <v>101|102|103|4201|105</v>
      </c>
      <c r="K857" s="18" t="str">
        <f>VLOOKUP(E857,各职业基础配置!$B$15:$C$18,2,FALSE)</f>
        <v>24|25|26|27</v>
      </c>
      <c r="L857" s="18" t="str">
        <f>VLOOKUP(E857,各职业基础配置!B:C,2,FALSE)</f>
        <v>[{24,1,1},{25,1,1},{26,1,1},{27,1,1},{1,1,1},{2,1,1},{3,1,1}]</v>
      </c>
      <c r="M857" s="18">
        <v>0</v>
      </c>
      <c r="N857" s="18">
        <f t="shared" si="147"/>
        <v>3</v>
      </c>
      <c r="O857" s="18">
        <f>SUMPRODUCT(P857:AI857,Sheet2!$B$3:$U$3)</f>
        <v>40285</v>
      </c>
      <c r="P857" s="18">
        <f>CEILING(INDEX([1]系统模型!$VD:$VD,MATCH(C857,[1]系统模型!$A:$A,0))*POWER(C857/220,3.8)-50+(1000-A857),1)</f>
        <v>463</v>
      </c>
      <c r="Q857" s="18">
        <f>CEILING(INDEX([1]系统模型!$VE:$VE,MATCH(C857,[1]系统模型!$A:$A,0))*POWER(C857/220,4),1)</f>
        <v>37</v>
      </c>
      <c r="R857" s="18">
        <f>INT(INDEX([1]系统模型!$VF:$VF,MATCH(C857,[1]系统模型!$A:$A,0))*MAX(POWER(C857/180,4),0.5))</f>
        <v>6710</v>
      </c>
      <c r="S857" s="5">
        <v>1000</v>
      </c>
      <c r="T857" s="25">
        <v>0</v>
      </c>
      <c r="U857" s="25">
        <v>0</v>
      </c>
      <c r="V857" s="25">
        <v>0</v>
      </c>
      <c r="W857" s="25">
        <v>0</v>
      </c>
      <c r="X857" s="25">
        <f t="shared" si="148"/>
        <v>335</v>
      </c>
      <c r="Y857" s="12">
        <v>0</v>
      </c>
      <c r="Z857" s="25">
        <v>100</v>
      </c>
      <c r="AA857" s="25">
        <v>150</v>
      </c>
      <c r="AB857" s="25">
        <v>0</v>
      </c>
      <c r="AC857" s="25">
        <v>0</v>
      </c>
      <c r="AD857" s="25">
        <v>0</v>
      </c>
      <c r="AE857" s="25">
        <f t="shared" si="149"/>
        <v>246</v>
      </c>
      <c r="AF857" s="25">
        <f t="shared" si="150"/>
        <v>246</v>
      </c>
      <c r="AG857" s="25">
        <v>0</v>
      </c>
      <c r="AH857" s="25">
        <f t="shared" si="151"/>
        <v>475</v>
      </c>
      <c r="AI857" s="25">
        <f t="shared" si="152"/>
        <v>6</v>
      </c>
      <c r="AJ857" s="25">
        <v>1</v>
      </c>
      <c r="AK857" s="25">
        <v>1000</v>
      </c>
      <c r="AL857" s="25">
        <v>100</v>
      </c>
      <c r="AM857" s="26">
        <v>10</v>
      </c>
      <c r="AN857" s="26">
        <v>10</v>
      </c>
      <c r="AO857" s="22" t="s">
        <v>2211</v>
      </c>
      <c r="AP857" s="26">
        <v>0</v>
      </c>
      <c r="AQ857" s="26">
        <f t="shared" si="153"/>
        <v>130</v>
      </c>
      <c r="AR857" s="18" t="str">
        <f ca="1">CONCATENATE(OFFSET(Sheet1!$A$2,RANDBETWEEN(2,500),0,1,1),OFFSET(Sheet1!$A$2,RANDBETWEEN(2,500),RANDBETWEEN(1,5),1,1))</f>
        <v>艾奇逊</v>
      </c>
      <c r="AS857">
        <f>SUMPRODUCT(P857:AI857,Sheet2!$B$3:$U$3)</f>
        <v>40285</v>
      </c>
    </row>
    <row r="858" spans="1:45" x14ac:dyDescent="0.15">
      <c r="A858" s="18">
        <v>857</v>
      </c>
      <c r="B858" s="18" t="s">
        <v>2148</v>
      </c>
      <c r="C858" s="18">
        <f t="shared" si="143"/>
        <v>123</v>
      </c>
      <c r="D858" s="19">
        <f t="shared" si="144"/>
        <v>3</v>
      </c>
      <c r="E858" s="19">
        <f>VLOOKUP(MOD(A858,4),各职业基础配置!C$32:D$35,2,FALSE)</f>
        <v>3</v>
      </c>
      <c r="F858" s="19">
        <f>IF(A858&lt;900,INDEX(各职业基础配置!C$23:C$28,MOD(ROW(A858),4)+1),0)</f>
        <v>14</v>
      </c>
      <c r="G858" s="19">
        <f t="shared" si="145"/>
        <v>3</v>
      </c>
      <c r="H858" s="27">
        <f t="shared" si="146"/>
        <v>1</v>
      </c>
      <c r="I858" s="6" t="s">
        <v>164</v>
      </c>
      <c r="J858" s="23" t="str">
        <f>VLOOKUP(E858,各职业基础配置!$B$9:$C$12,2,FALSE)</f>
        <v>106|107|108|4201|110</v>
      </c>
      <c r="K858" s="18" t="str">
        <f>VLOOKUP(E858,各职业基础配置!$B$15:$C$18,2,FALSE)</f>
        <v>20|21|22|23</v>
      </c>
      <c r="L858" s="18" t="str">
        <f>VLOOKUP(E858,各职业基础配置!B:C,2,FALSE)</f>
        <v>[{20,1,1},{21,1,1},{22,1,1},{23,1,1},{4,1,1},{5,1,1},{6,1,1}]</v>
      </c>
      <c r="M858" s="18">
        <v>0</v>
      </c>
      <c r="N858" s="18">
        <f t="shared" si="147"/>
        <v>7</v>
      </c>
      <c r="O858" s="18">
        <f>SUMPRODUCT(P858:AI858,Sheet2!$B$3:$U$3)</f>
        <v>40260</v>
      </c>
      <c r="P858" s="18">
        <f>CEILING(INDEX([1]系统模型!$VD:$VD,MATCH(C858,[1]系统模型!$A:$A,0))*POWER(C858/220,3.8)-50+(1000-A858),1)</f>
        <v>462</v>
      </c>
      <c r="Q858" s="18">
        <f>CEILING(INDEX([1]系统模型!$VE:$VE,MATCH(C858,[1]系统模型!$A:$A,0))*POWER(C858/220,4),1)</f>
        <v>37</v>
      </c>
      <c r="R858" s="18">
        <f>INT(INDEX([1]系统模型!$VF:$VF,MATCH(C858,[1]系统模型!$A:$A,0))*MAX(POWER(C858/180,4),0.5))</f>
        <v>6710</v>
      </c>
      <c r="S858" s="5">
        <v>1000</v>
      </c>
      <c r="T858" s="25">
        <v>0</v>
      </c>
      <c r="U858" s="25">
        <v>0</v>
      </c>
      <c r="V858" s="25">
        <v>0</v>
      </c>
      <c r="W858" s="25">
        <v>0</v>
      </c>
      <c r="X858" s="25">
        <f t="shared" si="148"/>
        <v>335</v>
      </c>
      <c r="Y858" s="12">
        <v>0</v>
      </c>
      <c r="Z858" s="25">
        <v>100</v>
      </c>
      <c r="AA858" s="25">
        <v>150</v>
      </c>
      <c r="AB858" s="25">
        <v>0</v>
      </c>
      <c r="AC858" s="25">
        <v>0</v>
      </c>
      <c r="AD858" s="25">
        <v>0</v>
      </c>
      <c r="AE858" s="25">
        <f t="shared" si="149"/>
        <v>246</v>
      </c>
      <c r="AF858" s="25">
        <f t="shared" si="150"/>
        <v>246</v>
      </c>
      <c r="AG858" s="25">
        <v>0</v>
      </c>
      <c r="AH858" s="25">
        <f t="shared" si="151"/>
        <v>475</v>
      </c>
      <c r="AI858" s="25">
        <f t="shared" si="152"/>
        <v>6</v>
      </c>
      <c r="AJ858" s="25">
        <v>1</v>
      </c>
      <c r="AK858" s="25">
        <v>1000</v>
      </c>
      <c r="AL858" s="25">
        <v>100</v>
      </c>
      <c r="AM858" s="26">
        <v>10</v>
      </c>
      <c r="AN858" s="26">
        <v>10</v>
      </c>
      <c r="AO858" s="22" t="s">
        <v>2211</v>
      </c>
      <c r="AP858" s="26">
        <v>0</v>
      </c>
      <c r="AQ858" s="26">
        <f t="shared" si="153"/>
        <v>130</v>
      </c>
      <c r="AR858" s="18" t="str">
        <f ca="1">CONCATENATE(OFFSET(Sheet1!$A$2,RANDBETWEEN(2,500),0,1,1),OFFSET(Sheet1!$A$2,RANDBETWEEN(2,500),RANDBETWEEN(1,5),1,1))</f>
        <v>安德森</v>
      </c>
      <c r="AS858">
        <f>SUMPRODUCT(P858:AI858,Sheet2!$B$3:$U$3)</f>
        <v>40260</v>
      </c>
    </row>
    <row r="859" spans="1:45" x14ac:dyDescent="0.15">
      <c r="A859" s="23">
        <v>858</v>
      </c>
      <c r="B859" s="18" t="s">
        <v>1346</v>
      </c>
      <c r="C859" s="18">
        <f t="shared" si="143"/>
        <v>123</v>
      </c>
      <c r="D859" s="19">
        <f t="shared" si="144"/>
        <v>2</v>
      </c>
      <c r="E859" s="19">
        <f>VLOOKUP(MOD(A859,4),各职业基础配置!C$32:D$35,2,FALSE)</f>
        <v>6</v>
      </c>
      <c r="F859" s="19">
        <f>IF(A859&lt;900,INDEX(各职业基础配置!C$23:C$28,MOD(ROW(A859),4)+1),0)</f>
        <v>16</v>
      </c>
      <c r="G859" s="19">
        <f t="shared" si="145"/>
        <v>3</v>
      </c>
      <c r="H859" s="27">
        <f t="shared" si="146"/>
        <v>1</v>
      </c>
      <c r="I859" s="6" t="s">
        <v>164</v>
      </c>
      <c r="J859" s="23" t="str">
        <f>VLOOKUP(E859,各职业基础配置!$B$9:$C$12,2,FALSE)</f>
        <v>111|112|113|4201|115</v>
      </c>
      <c r="K859" s="18" t="str">
        <f>VLOOKUP(E859,各职业基础配置!$B$15:$C$18,2,FALSE)</f>
        <v>32|33|34</v>
      </c>
      <c r="L859" s="18" t="str">
        <f>VLOOKUP(E859,各职业基础配置!B:C,2,FALSE)</f>
        <v>[{32,1,1},{33,1,1},{34,1,1},{35,1,1},{7,1,1},{8,1,1},{9,1,1}]</v>
      </c>
      <c r="M859" s="18">
        <v>0</v>
      </c>
      <c r="N859" s="18">
        <f t="shared" si="147"/>
        <v>7</v>
      </c>
      <c r="O859" s="18">
        <f>SUMPRODUCT(P859:AI859,Sheet2!$B$3:$U$3)</f>
        <v>40235</v>
      </c>
      <c r="P859" s="18">
        <f>CEILING(INDEX([1]系统模型!$VD:$VD,MATCH(C859,[1]系统模型!$A:$A,0))*POWER(C859/220,3.8)-50+(1000-A859),1)</f>
        <v>461</v>
      </c>
      <c r="Q859" s="18">
        <f>CEILING(INDEX([1]系统模型!$VE:$VE,MATCH(C859,[1]系统模型!$A:$A,0))*POWER(C859/220,4),1)</f>
        <v>37</v>
      </c>
      <c r="R859" s="18">
        <f>INT(INDEX([1]系统模型!$VF:$VF,MATCH(C859,[1]系统模型!$A:$A,0))*MAX(POWER(C859/180,4),0.5))</f>
        <v>6710</v>
      </c>
      <c r="S859" s="5">
        <v>1000</v>
      </c>
      <c r="T859" s="25">
        <v>0</v>
      </c>
      <c r="U859" s="25">
        <v>0</v>
      </c>
      <c r="V859" s="25">
        <v>0</v>
      </c>
      <c r="W859" s="25">
        <v>0</v>
      </c>
      <c r="X859" s="25">
        <f t="shared" si="148"/>
        <v>335</v>
      </c>
      <c r="Y859" s="12">
        <v>0</v>
      </c>
      <c r="Z859" s="25">
        <v>100</v>
      </c>
      <c r="AA859" s="25">
        <v>150</v>
      </c>
      <c r="AB859" s="25">
        <v>0</v>
      </c>
      <c r="AC859" s="25">
        <v>0</v>
      </c>
      <c r="AD859" s="25">
        <v>0</v>
      </c>
      <c r="AE859" s="25">
        <f t="shared" si="149"/>
        <v>246</v>
      </c>
      <c r="AF859" s="25">
        <f t="shared" si="150"/>
        <v>246</v>
      </c>
      <c r="AG859" s="25">
        <v>0</v>
      </c>
      <c r="AH859" s="25">
        <f t="shared" si="151"/>
        <v>475</v>
      </c>
      <c r="AI859" s="25">
        <f t="shared" si="152"/>
        <v>6</v>
      </c>
      <c r="AJ859" s="25">
        <v>1</v>
      </c>
      <c r="AK859" s="25">
        <v>1000</v>
      </c>
      <c r="AL859" s="25">
        <v>100</v>
      </c>
      <c r="AM859" s="26">
        <v>10</v>
      </c>
      <c r="AN859" s="26">
        <v>10</v>
      </c>
      <c r="AO859" s="22" t="s">
        <v>2211</v>
      </c>
      <c r="AP859" s="26">
        <v>0</v>
      </c>
      <c r="AQ859" s="26">
        <f t="shared" si="153"/>
        <v>130</v>
      </c>
      <c r="AR859" s="18" t="str">
        <f ca="1">CONCATENATE(OFFSET(Sheet1!$A$2,RANDBETWEEN(2,500),0,1,1),OFFSET(Sheet1!$A$2,RANDBETWEEN(2,500),RANDBETWEEN(1,5),1,1))</f>
        <v>弗格森</v>
      </c>
      <c r="AS859">
        <f>SUMPRODUCT(P859:AI859,Sheet2!$B$3:$U$3)</f>
        <v>40235</v>
      </c>
    </row>
    <row r="860" spans="1:45" x14ac:dyDescent="0.15">
      <c r="A860" s="18">
        <v>859</v>
      </c>
      <c r="B860" s="18" t="s">
        <v>2149</v>
      </c>
      <c r="C860" s="18">
        <f t="shared" si="143"/>
        <v>122</v>
      </c>
      <c r="D860" s="19">
        <f t="shared" si="144"/>
        <v>3</v>
      </c>
      <c r="E860" s="19">
        <f>VLOOKUP(MOD(A860,4),各职业基础配置!C$32:D$35,2,FALSE)</f>
        <v>9</v>
      </c>
      <c r="F860" s="19">
        <f>IF(A860&lt;900,INDEX(各职业基础配置!C$23:C$28,MOD(ROW(A860),4)+1),0)</f>
        <v>8</v>
      </c>
      <c r="G860" s="19">
        <f t="shared" si="145"/>
        <v>3</v>
      </c>
      <c r="H860" s="27">
        <f t="shared" si="146"/>
        <v>1</v>
      </c>
      <c r="I860" s="6" t="s">
        <v>164</v>
      </c>
      <c r="J860" s="23" t="str">
        <f>VLOOKUP(E860,各职业基础配置!$B$9:$C$12,2,FALSE)</f>
        <v>116|117|118|4201|120</v>
      </c>
      <c r="K860" s="18" t="str">
        <f>VLOOKUP(E860,各职业基础配置!$B$15:$C$18,2,FALSE)</f>
        <v>28|29|30|31</v>
      </c>
      <c r="L860" s="18" t="str">
        <f>VLOOKUP(E860,各职业基础配置!B:C,2,FALSE)</f>
        <v>[{28,1,1},{29,1,1},{30,1,1},{31,1,1},{10,1,1},{11,1,1},{12,1,1}]</v>
      </c>
      <c r="M860" s="18">
        <v>0</v>
      </c>
      <c r="N860" s="18">
        <f t="shared" si="147"/>
        <v>3</v>
      </c>
      <c r="O860" s="18">
        <f>SUMPRODUCT(P860:AI860,Sheet2!$B$3:$U$3)</f>
        <v>39146</v>
      </c>
      <c r="P860" s="18">
        <f>CEILING(INDEX([1]系统模型!$VD:$VD,MATCH(C860,[1]系统模型!$A:$A,0))*POWER(C860/220,3.8)-50+(1000-A860),1)</f>
        <v>443</v>
      </c>
      <c r="Q860" s="18">
        <f>CEILING(INDEX([1]系统模型!$VE:$VE,MATCH(C860,[1]系统模型!$A:$A,0))*POWER(C860/220,4),1)</f>
        <v>35</v>
      </c>
      <c r="R860" s="18">
        <f>INT(INDEX([1]系统模型!$VF:$VF,MATCH(C860,[1]系统模型!$A:$A,0))*MAX(POWER(C860/180,4),0.5))</f>
        <v>6621</v>
      </c>
      <c r="S860" s="5">
        <v>1000</v>
      </c>
      <c r="T860" s="25">
        <v>0</v>
      </c>
      <c r="U860" s="25">
        <v>0</v>
      </c>
      <c r="V860" s="25">
        <v>0</v>
      </c>
      <c r="W860" s="25">
        <v>0</v>
      </c>
      <c r="X860" s="25">
        <f t="shared" si="148"/>
        <v>331</v>
      </c>
      <c r="Y860" s="12">
        <v>0</v>
      </c>
      <c r="Z860" s="25">
        <v>100</v>
      </c>
      <c r="AA860" s="25">
        <v>150</v>
      </c>
      <c r="AB860" s="25">
        <v>0</v>
      </c>
      <c r="AC860" s="25">
        <v>0</v>
      </c>
      <c r="AD860" s="25">
        <v>0</v>
      </c>
      <c r="AE860" s="25">
        <f t="shared" si="149"/>
        <v>244</v>
      </c>
      <c r="AF860" s="25">
        <f t="shared" si="150"/>
        <v>244</v>
      </c>
      <c r="AG860" s="25">
        <v>0</v>
      </c>
      <c r="AH860" s="25">
        <f t="shared" si="151"/>
        <v>400</v>
      </c>
      <c r="AI860" s="25">
        <f t="shared" si="152"/>
        <v>5</v>
      </c>
      <c r="AJ860" s="25">
        <v>1</v>
      </c>
      <c r="AK860" s="25">
        <v>1000</v>
      </c>
      <c r="AL860" s="25">
        <v>100</v>
      </c>
      <c r="AM860" s="26">
        <v>10</v>
      </c>
      <c r="AN860" s="26">
        <v>10</v>
      </c>
      <c r="AO860" s="22" t="s">
        <v>2211</v>
      </c>
      <c r="AP860" s="26">
        <v>0</v>
      </c>
      <c r="AQ860" s="26">
        <f t="shared" si="153"/>
        <v>130</v>
      </c>
      <c r="AR860" s="18" t="str">
        <f ca="1">CONCATENATE(OFFSET(Sheet1!$A$2,RANDBETWEEN(2,500),0,1,1),OFFSET(Sheet1!$A$2,RANDBETWEEN(2,500),RANDBETWEEN(1,5),1,1))</f>
        <v>克拉丽莎</v>
      </c>
      <c r="AS860">
        <f>SUMPRODUCT(P860:AI860,Sheet2!$B$3:$U$3)</f>
        <v>39146</v>
      </c>
    </row>
    <row r="861" spans="1:45" x14ac:dyDescent="0.15">
      <c r="A861" s="18">
        <v>860</v>
      </c>
      <c r="B861" s="18" t="s">
        <v>2150</v>
      </c>
      <c r="C861" s="18">
        <f t="shared" si="143"/>
        <v>122</v>
      </c>
      <c r="D861" s="19">
        <f t="shared" si="144"/>
        <v>2</v>
      </c>
      <c r="E861" s="19">
        <f>VLOOKUP(MOD(A861,4),各职业基础配置!C$32:D$35,2,FALSE)</f>
        <v>1</v>
      </c>
      <c r="F861" s="19">
        <f>IF(A861&lt;900,INDEX(各职业基础配置!C$23:C$28,MOD(ROW(A861),4)+1),0)</f>
        <v>13</v>
      </c>
      <c r="G861" s="19">
        <f t="shared" si="145"/>
        <v>3</v>
      </c>
      <c r="H861" s="27">
        <f t="shared" si="146"/>
        <v>1</v>
      </c>
      <c r="I861" s="6" t="s">
        <v>164</v>
      </c>
      <c r="J861" s="23" t="str">
        <f>VLOOKUP(E861,各职业基础配置!$B$9:$C$12,2,FALSE)</f>
        <v>101|102|103|4201|105</v>
      </c>
      <c r="K861" s="18" t="str">
        <f>VLOOKUP(E861,各职业基础配置!$B$15:$C$18,2,FALSE)</f>
        <v>24|25|26|27</v>
      </c>
      <c r="L861" s="18" t="str">
        <f>VLOOKUP(E861,各职业基础配置!B:C,2,FALSE)</f>
        <v>[{24,1,1},{25,1,1},{26,1,1},{27,1,1},{1,1,1},{2,1,1},{3,1,1}]</v>
      </c>
      <c r="M861" s="18">
        <v>0</v>
      </c>
      <c r="N861" s="18">
        <f t="shared" si="147"/>
        <v>3</v>
      </c>
      <c r="O861" s="18">
        <f>SUMPRODUCT(P861:AI861,Sheet2!$B$3:$U$3)</f>
        <v>39121</v>
      </c>
      <c r="P861" s="18">
        <f>CEILING(INDEX([1]系统模型!$VD:$VD,MATCH(C861,[1]系统模型!$A:$A,0))*POWER(C861/220,3.8)-50+(1000-A861),1)</f>
        <v>442</v>
      </c>
      <c r="Q861" s="18">
        <f>CEILING(INDEX([1]系统模型!$VE:$VE,MATCH(C861,[1]系统模型!$A:$A,0))*POWER(C861/220,4),1)</f>
        <v>35</v>
      </c>
      <c r="R861" s="18">
        <f>INT(INDEX([1]系统模型!$VF:$VF,MATCH(C861,[1]系统模型!$A:$A,0))*MAX(POWER(C861/180,4),0.5))</f>
        <v>6621</v>
      </c>
      <c r="S861" s="5">
        <v>1000</v>
      </c>
      <c r="T861" s="25">
        <v>0</v>
      </c>
      <c r="U861" s="25">
        <v>0</v>
      </c>
      <c r="V861" s="25">
        <v>0</v>
      </c>
      <c r="W861" s="25">
        <v>0</v>
      </c>
      <c r="X861" s="25">
        <f t="shared" si="148"/>
        <v>331</v>
      </c>
      <c r="Y861" s="12">
        <v>0</v>
      </c>
      <c r="Z861" s="25">
        <v>100</v>
      </c>
      <c r="AA861" s="25">
        <v>150</v>
      </c>
      <c r="AB861" s="25">
        <v>0</v>
      </c>
      <c r="AC861" s="25">
        <v>0</v>
      </c>
      <c r="AD861" s="25">
        <v>0</v>
      </c>
      <c r="AE861" s="25">
        <f t="shared" si="149"/>
        <v>244</v>
      </c>
      <c r="AF861" s="25">
        <f t="shared" si="150"/>
        <v>244</v>
      </c>
      <c r="AG861" s="25">
        <v>0</v>
      </c>
      <c r="AH861" s="25">
        <f t="shared" si="151"/>
        <v>400</v>
      </c>
      <c r="AI861" s="25">
        <f t="shared" si="152"/>
        <v>5</v>
      </c>
      <c r="AJ861" s="25">
        <v>1</v>
      </c>
      <c r="AK861" s="25">
        <v>1000</v>
      </c>
      <c r="AL861" s="25">
        <v>100</v>
      </c>
      <c r="AM861" s="26">
        <v>10</v>
      </c>
      <c r="AN861" s="26">
        <v>10</v>
      </c>
      <c r="AO861" s="22" t="s">
        <v>2211</v>
      </c>
      <c r="AP861" s="26">
        <v>0</v>
      </c>
      <c r="AQ861" s="26">
        <f t="shared" si="153"/>
        <v>130</v>
      </c>
      <c r="AR861" s="18" t="str">
        <f ca="1">CONCATENATE(OFFSET(Sheet1!$A$2,RANDBETWEEN(2,500),0,1,1),OFFSET(Sheet1!$A$2,RANDBETWEEN(2,500),RANDBETWEEN(1,5),1,1))</f>
        <v>迪福罗丝</v>
      </c>
      <c r="AS861">
        <f>SUMPRODUCT(P861:AI861,Sheet2!$B$3:$U$3)</f>
        <v>39121</v>
      </c>
    </row>
    <row r="862" spans="1:45" x14ac:dyDescent="0.15">
      <c r="A862" s="23">
        <v>861</v>
      </c>
      <c r="B862" s="18" t="s">
        <v>1349</v>
      </c>
      <c r="C862" s="18">
        <f t="shared" si="143"/>
        <v>122</v>
      </c>
      <c r="D862" s="19">
        <f t="shared" si="144"/>
        <v>3</v>
      </c>
      <c r="E862" s="19">
        <f>VLOOKUP(MOD(A862,4),各职业基础配置!C$32:D$35,2,FALSE)</f>
        <v>3</v>
      </c>
      <c r="F862" s="19">
        <f>IF(A862&lt;900,INDEX(各职业基础配置!C$23:C$28,MOD(ROW(A862),4)+1),0)</f>
        <v>14</v>
      </c>
      <c r="G862" s="19">
        <f t="shared" si="145"/>
        <v>3</v>
      </c>
      <c r="H862" s="27">
        <f t="shared" si="146"/>
        <v>1</v>
      </c>
      <c r="I862" s="6" t="s">
        <v>164</v>
      </c>
      <c r="J862" s="23" t="str">
        <f>VLOOKUP(E862,各职业基础配置!$B$9:$C$12,2,FALSE)</f>
        <v>106|107|108|4201|110</v>
      </c>
      <c r="K862" s="18" t="str">
        <f>VLOOKUP(E862,各职业基础配置!$B$15:$C$18,2,FALSE)</f>
        <v>20|21|22|23</v>
      </c>
      <c r="L862" s="18" t="str">
        <f>VLOOKUP(E862,各职业基础配置!B:C,2,FALSE)</f>
        <v>[{20,1,1},{21,1,1},{22,1,1},{23,1,1},{4,1,1},{5,1,1},{6,1,1}]</v>
      </c>
      <c r="M862" s="18">
        <v>0</v>
      </c>
      <c r="N862" s="18">
        <f t="shared" si="147"/>
        <v>7</v>
      </c>
      <c r="O862" s="18">
        <f>SUMPRODUCT(P862:AI862,Sheet2!$B$3:$U$3)</f>
        <v>39096</v>
      </c>
      <c r="P862" s="18">
        <f>CEILING(INDEX([1]系统模型!$VD:$VD,MATCH(C862,[1]系统模型!$A:$A,0))*POWER(C862/220,3.8)-50+(1000-A862),1)</f>
        <v>441</v>
      </c>
      <c r="Q862" s="18">
        <f>CEILING(INDEX([1]系统模型!$VE:$VE,MATCH(C862,[1]系统模型!$A:$A,0))*POWER(C862/220,4),1)</f>
        <v>35</v>
      </c>
      <c r="R862" s="18">
        <f>INT(INDEX([1]系统模型!$VF:$VF,MATCH(C862,[1]系统模型!$A:$A,0))*MAX(POWER(C862/180,4),0.5))</f>
        <v>6621</v>
      </c>
      <c r="S862" s="5">
        <v>1000</v>
      </c>
      <c r="T862" s="25">
        <v>0</v>
      </c>
      <c r="U862" s="25">
        <v>0</v>
      </c>
      <c r="V862" s="25">
        <v>0</v>
      </c>
      <c r="W862" s="25">
        <v>0</v>
      </c>
      <c r="X862" s="25">
        <f t="shared" si="148"/>
        <v>331</v>
      </c>
      <c r="Y862" s="12">
        <v>0</v>
      </c>
      <c r="Z862" s="25">
        <v>100</v>
      </c>
      <c r="AA862" s="25">
        <v>150</v>
      </c>
      <c r="AB862" s="25">
        <v>0</v>
      </c>
      <c r="AC862" s="25">
        <v>0</v>
      </c>
      <c r="AD862" s="25">
        <v>0</v>
      </c>
      <c r="AE862" s="25">
        <f t="shared" si="149"/>
        <v>244</v>
      </c>
      <c r="AF862" s="25">
        <f t="shared" si="150"/>
        <v>244</v>
      </c>
      <c r="AG862" s="25">
        <v>0</v>
      </c>
      <c r="AH862" s="25">
        <f t="shared" si="151"/>
        <v>400</v>
      </c>
      <c r="AI862" s="25">
        <f t="shared" si="152"/>
        <v>5</v>
      </c>
      <c r="AJ862" s="25">
        <v>1</v>
      </c>
      <c r="AK862" s="25">
        <v>1000</v>
      </c>
      <c r="AL862" s="25">
        <v>100</v>
      </c>
      <c r="AM862" s="26">
        <v>10</v>
      </c>
      <c r="AN862" s="26">
        <v>10</v>
      </c>
      <c r="AO862" s="22" t="s">
        <v>2211</v>
      </c>
      <c r="AP862" s="26">
        <v>0</v>
      </c>
      <c r="AQ862" s="26">
        <f t="shared" si="153"/>
        <v>130</v>
      </c>
      <c r="AR862" s="18" t="str">
        <f ca="1">CONCATENATE(OFFSET(Sheet1!$A$2,RANDBETWEEN(2,500),0,1,1),OFFSET(Sheet1!$A$2,RANDBETWEEN(2,500),RANDBETWEEN(1,5),1,1))</f>
        <v>波义耳</v>
      </c>
      <c r="AS862">
        <f>SUMPRODUCT(P862:AI862,Sheet2!$B$3:$U$3)</f>
        <v>39096</v>
      </c>
    </row>
    <row r="863" spans="1:45" x14ac:dyDescent="0.15">
      <c r="A863" s="18">
        <v>862</v>
      </c>
      <c r="B863" s="18" t="s">
        <v>2151</v>
      </c>
      <c r="C863" s="18">
        <f t="shared" si="143"/>
        <v>122</v>
      </c>
      <c r="D863" s="19">
        <f t="shared" si="144"/>
        <v>2</v>
      </c>
      <c r="E863" s="19">
        <f>VLOOKUP(MOD(A863,4),各职业基础配置!C$32:D$35,2,FALSE)</f>
        <v>6</v>
      </c>
      <c r="F863" s="19">
        <f>IF(A863&lt;900,INDEX(各职业基础配置!C$23:C$28,MOD(ROW(A863),4)+1),0)</f>
        <v>16</v>
      </c>
      <c r="G863" s="19">
        <f t="shared" si="145"/>
        <v>3</v>
      </c>
      <c r="H863" s="27">
        <f t="shared" si="146"/>
        <v>1</v>
      </c>
      <c r="I863" s="6" t="s">
        <v>164</v>
      </c>
      <c r="J863" s="23" t="str">
        <f>VLOOKUP(E863,各职业基础配置!$B$9:$C$12,2,FALSE)</f>
        <v>111|112|113|4201|115</v>
      </c>
      <c r="K863" s="18" t="str">
        <f>VLOOKUP(E863,各职业基础配置!$B$15:$C$18,2,FALSE)</f>
        <v>32|33|34</v>
      </c>
      <c r="L863" s="18" t="str">
        <f>VLOOKUP(E863,各职业基础配置!B:C,2,FALSE)</f>
        <v>[{32,1,1},{33,1,1},{34,1,1},{35,1,1},{7,1,1},{8,1,1},{9,1,1}]</v>
      </c>
      <c r="M863" s="18">
        <v>0</v>
      </c>
      <c r="N863" s="18">
        <f t="shared" si="147"/>
        <v>7</v>
      </c>
      <c r="O863" s="18">
        <f>SUMPRODUCT(P863:AI863,Sheet2!$B$3:$U$3)</f>
        <v>39071</v>
      </c>
      <c r="P863" s="18">
        <f>CEILING(INDEX([1]系统模型!$VD:$VD,MATCH(C863,[1]系统模型!$A:$A,0))*POWER(C863/220,3.8)-50+(1000-A863),1)</f>
        <v>440</v>
      </c>
      <c r="Q863" s="18">
        <f>CEILING(INDEX([1]系统模型!$VE:$VE,MATCH(C863,[1]系统模型!$A:$A,0))*POWER(C863/220,4),1)</f>
        <v>35</v>
      </c>
      <c r="R863" s="18">
        <f>INT(INDEX([1]系统模型!$VF:$VF,MATCH(C863,[1]系统模型!$A:$A,0))*MAX(POWER(C863/180,4),0.5))</f>
        <v>6621</v>
      </c>
      <c r="S863" s="5">
        <v>1000</v>
      </c>
      <c r="T863" s="25">
        <v>0</v>
      </c>
      <c r="U863" s="25">
        <v>0</v>
      </c>
      <c r="V863" s="25">
        <v>0</v>
      </c>
      <c r="W863" s="25">
        <v>0</v>
      </c>
      <c r="X863" s="25">
        <f t="shared" si="148"/>
        <v>331</v>
      </c>
      <c r="Y863" s="12">
        <v>0</v>
      </c>
      <c r="Z863" s="25">
        <v>100</v>
      </c>
      <c r="AA863" s="25">
        <v>150</v>
      </c>
      <c r="AB863" s="25">
        <v>0</v>
      </c>
      <c r="AC863" s="25">
        <v>0</v>
      </c>
      <c r="AD863" s="25">
        <v>0</v>
      </c>
      <c r="AE863" s="25">
        <f t="shared" si="149"/>
        <v>244</v>
      </c>
      <c r="AF863" s="25">
        <f t="shared" si="150"/>
        <v>244</v>
      </c>
      <c r="AG863" s="25">
        <v>0</v>
      </c>
      <c r="AH863" s="25">
        <f t="shared" si="151"/>
        <v>400</v>
      </c>
      <c r="AI863" s="25">
        <f t="shared" si="152"/>
        <v>5</v>
      </c>
      <c r="AJ863" s="25">
        <v>1</v>
      </c>
      <c r="AK863" s="25">
        <v>1000</v>
      </c>
      <c r="AL863" s="25">
        <v>100</v>
      </c>
      <c r="AM863" s="26">
        <v>10</v>
      </c>
      <c r="AN863" s="26">
        <v>10</v>
      </c>
      <c r="AO863" s="22" t="s">
        <v>2211</v>
      </c>
      <c r="AP863" s="26">
        <v>0</v>
      </c>
      <c r="AQ863" s="26">
        <f t="shared" si="153"/>
        <v>130</v>
      </c>
      <c r="AR863" s="18" t="str">
        <f ca="1">CONCATENATE(OFFSET(Sheet1!$A$2,RANDBETWEEN(2,500),0,1,1),OFFSET(Sheet1!$A$2,RANDBETWEEN(2,500),RANDBETWEEN(1,5),1,1))</f>
        <v>霍奇森</v>
      </c>
      <c r="AS863">
        <f>SUMPRODUCT(P863:AI863,Sheet2!$B$3:$U$3)</f>
        <v>39071</v>
      </c>
    </row>
    <row r="864" spans="1:45" x14ac:dyDescent="0.15">
      <c r="A864" s="18">
        <v>863</v>
      </c>
      <c r="B864" s="18" t="s">
        <v>1290</v>
      </c>
      <c r="C864" s="18">
        <f t="shared" si="143"/>
        <v>122</v>
      </c>
      <c r="D864" s="19">
        <f t="shared" si="144"/>
        <v>3</v>
      </c>
      <c r="E864" s="19">
        <f>VLOOKUP(MOD(A864,4),各职业基础配置!C$32:D$35,2,FALSE)</f>
        <v>9</v>
      </c>
      <c r="F864" s="19">
        <f>IF(A864&lt;900,INDEX(各职业基础配置!C$23:C$28,MOD(ROW(A864),4)+1),0)</f>
        <v>8</v>
      </c>
      <c r="G864" s="19">
        <f t="shared" si="145"/>
        <v>3</v>
      </c>
      <c r="H864" s="27">
        <f t="shared" si="146"/>
        <v>1</v>
      </c>
      <c r="I864" s="6" t="s">
        <v>164</v>
      </c>
      <c r="J864" s="23" t="str">
        <f>VLOOKUP(E864,各职业基础配置!$B$9:$C$12,2,FALSE)</f>
        <v>116|117|118|4201|120</v>
      </c>
      <c r="K864" s="18" t="str">
        <f>VLOOKUP(E864,各职业基础配置!$B$15:$C$18,2,FALSE)</f>
        <v>28|29|30|31</v>
      </c>
      <c r="L864" s="18" t="str">
        <f>VLOOKUP(E864,各职业基础配置!B:C,2,FALSE)</f>
        <v>[{28,1,1},{29,1,1},{30,1,1},{31,1,1},{10,1,1},{11,1,1},{12,1,1}]</v>
      </c>
      <c r="M864" s="18">
        <v>0</v>
      </c>
      <c r="N864" s="18">
        <f t="shared" si="147"/>
        <v>3</v>
      </c>
      <c r="O864" s="18">
        <f>SUMPRODUCT(P864:AI864,Sheet2!$B$3:$U$3)</f>
        <v>39046</v>
      </c>
      <c r="P864" s="18">
        <f>CEILING(INDEX([1]系统模型!$VD:$VD,MATCH(C864,[1]系统模型!$A:$A,0))*POWER(C864/220,3.8)-50+(1000-A864),1)</f>
        <v>439</v>
      </c>
      <c r="Q864" s="18">
        <f>CEILING(INDEX([1]系统模型!$VE:$VE,MATCH(C864,[1]系统模型!$A:$A,0))*POWER(C864/220,4),1)</f>
        <v>35</v>
      </c>
      <c r="R864" s="18">
        <f>INT(INDEX([1]系统模型!$VF:$VF,MATCH(C864,[1]系统模型!$A:$A,0))*MAX(POWER(C864/180,4),0.5))</f>
        <v>6621</v>
      </c>
      <c r="S864" s="5">
        <v>1000</v>
      </c>
      <c r="T864" s="25">
        <v>0</v>
      </c>
      <c r="U864" s="25">
        <v>0</v>
      </c>
      <c r="V864" s="25">
        <v>0</v>
      </c>
      <c r="W864" s="25">
        <v>0</v>
      </c>
      <c r="X864" s="25">
        <f t="shared" si="148"/>
        <v>331</v>
      </c>
      <c r="Y864" s="12">
        <v>0</v>
      </c>
      <c r="Z864" s="25">
        <v>100</v>
      </c>
      <c r="AA864" s="25">
        <v>150</v>
      </c>
      <c r="AB864" s="25">
        <v>0</v>
      </c>
      <c r="AC864" s="25">
        <v>0</v>
      </c>
      <c r="AD864" s="25">
        <v>0</v>
      </c>
      <c r="AE864" s="25">
        <f t="shared" si="149"/>
        <v>244</v>
      </c>
      <c r="AF864" s="25">
        <f t="shared" si="150"/>
        <v>244</v>
      </c>
      <c r="AG864" s="25">
        <v>0</v>
      </c>
      <c r="AH864" s="25">
        <f t="shared" si="151"/>
        <v>400</v>
      </c>
      <c r="AI864" s="25">
        <f t="shared" si="152"/>
        <v>5</v>
      </c>
      <c r="AJ864" s="25">
        <v>1</v>
      </c>
      <c r="AK864" s="25">
        <v>1000</v>
      </c>
      <c r="AL864" s="25">
        <v>100</v>
      </c>
      <c r="AM864" s="26">
        <v>10</v>
      </c>
      <c r="AN864" s="26">
        <v>10</v>
      </c>
      <c r="AO864" s="22" t="s">
        <v>2211</v>
      </c>
      <c r="AP864" s="26">
        <v>0</v>
      </c>
      <c r="AQ864" s="26">
        <f t="shared" si="153"/>
        <v>120</v>
      </c>
      <c r="AR864" s="18" t="str">
        <f ca="1">CONCATENATE(OFFSET(Sheet1!$A$2,RANDBETWEEN(2,500),0,1,1),OFFSET(Sheet1!$A$2,RANDBETWEEN(2,500),RANDBETWEEN(1,5),1,1))</f>
        <v>博斯韦尔卑弥呼</v>
      </c>
      <c r="AS864">
        <f>SUMPRODUCT(P864:AI864,Sheet2!$B$3:$U$3)</f>
        <v>39046</v>
      </c>
    </row>
    <row r="865" spans="1:45" x14ac:dyDescent="0.15">
      <c r="A865" s="23">
        <v>864</v>
      </c>
      <c r="B865" s="18" t="s">
        <v>2152</v>
      </c>
      <c r="C865" s="18">
        <f t="shared" si="143"/>
        <v>122</v>
      </c>
      <c r="D865" s="19">
        <f t="shared" si="144"/>
        <v>2</v>
      </c>
      <c r="E865" s="19">
        <f>VLOOKUP(MOD(A865,4),各职业基础配置!C$32:D$35,2,FALSE)</f>
        <v>1</v>
      </c>
      <c r="F865" s="19">
        <f>IF(A865&lt;900,INDEX(各职业基础配置!C$23:C$28,MOD(ROW(A865),4)+1),0)</f>
        <v>13</v>
      </c>
      <c r="G865" s="19">
        <f t="shared" si="145"/>
        <v>3</v>
      </c>
      <c r="H865" s="27">
        <f t="shared" si="146"/>
        <v>1</v>
      </c>
      <c r="I865" s="6" t="s">
        <v>164</v>
      </c>
      <c r="J865" s="23" t="str">
        <f>VLOOKUP(E865,各职业基础配置!$B$9:$C$12,2,FALSE)</f>
        <v>101|102|103|4201|105</v>
      </c>
      <c r="K865" s="18" t="str">
        <f>VLOOKUP(E865,各职业基础配置!$B$15:$C$18,2,FALSE)</f>
        <v>24|25|26|27</v>
      </c>
      <c r="L865" s="18" t="str">
        <f>VLOOKUP(E865,各职业基础配置!B:C,2,FALSE)</f>
        <v>[{24,1,1},{25,1,1},{26,1,1},{27,1,1},{1,1,1},{2,1,1},{3,1,1}]</v>
      </c>
      <c r="M865" s="18">
        <v>0</v>
      </c>
      <c r="N865" s="18">
        <f t="shared" si="147"/>
        <v>3</v>
      </c>
      <c r="O865" s="18">
        <f>SUMPRODUCT(P865:AI865,Sheet2!$B$3:$U$3)</f>
        <v>39021</v>
      </c>
      <c r="P865" s="18">
        <f>CEILING(INDEX([1]系统模型!$VD:$VD,MATCH(C865,[1]系统模型!$A:$A,0))*POWER(C865/220,3.8)-50+(1000-A865),1)</f>
        <v>438</v>
      </c>
      <c r="Q865" s="18">
        <f>CEILING(INDEX([1]系统模型!$VE:$VE,MATCH(C865,[1]系统模型!$A:$A,0))*POWER(C865/220,4),1)</f>
        <v>35</v>
      </c>
      <c r="R865" s="18">
        <f>INT(INDEX([1]系统模型!$VF:$VF,MATCH(C865,[1]系统模型!$A:$A,0))*MAX(POWER(C865/180,4),0.5))</f>
        <v>6621</v>
      </c>
      <c r="S865" s="5">
        <v>1000</v>
      </c>
      <c r="T865" s="25">
        <v>0</v>
      </c>
      <c r="U865" s="25">
        <v>0</v>
      </c>
      <c r="V865" s="25">
        <v>0</v>
      </c>
      <c r="W865" s="25">
        <v>0</v>
      </c>
      <c r="X865" s="25">
        <f t="shared" si="148"/>
        <v>331</v>
      </c>
      <c r="Y865" s="12">
        <v>0</v>
      </c>
      <c r="Z865" s="25">
        <v>100</v>
      </c>
      <c r="AA865" s="25">
        <v>150</v>
      </c>
      <c r="AB865" s="25">
        <v>0</v>
      </c>
      <c r="AC865" s="25">
        <v>0</v>
      </c>
      <c r="AD865" s="25">
        <v>0</v>
      </c>
      <c r="AE865" s="25">
        <f t="shared" si="149"/>
        <v>244</v>
      </c>
      <c r="AF865" s="25">
        <f t="shared" si="150"/>
        <v>244</v>
      </c>
      <c r="AG865" s="25">
        <v>0</v>
      </c>
      <c r="AH865" s="25">
        <f t="shared" si="151"/>
        <v>400</v>
      </c>
      <c r="AI865" s="25">
        <f t="shared" si="152"/>
        <v>5</v>
      </c>
      <c r="AJ865" s="25">
        <v>1</v>
      </c>
      <c r="AK865" s="25">
        <v>1000</v>
      </c>
      <c r="AL865" s="25">
        <v>100</v>
      </c>
      <c r="AM865" s="26">
        <v>10</v>
      </c>
      <c r="AN865" s="26">
        <v>10</v>
      </c>
      <c r="AO865" s="22" t="s">
        <v>2211</v>
      </c>
      <c r="AP865" s="26">
        <v>0</v>
      </c>
      <c r="AQ865" s="26">
        <f t="shared" si="153"/>
        <v>120</v>
      </c>
      <c r="AR865" s="18" t="str">
        <f ca="1">CONCATENATE(OFFSET(Sheet1!$A$2,RANDBETWEEN(2,500),0,1,1),OFFSET(Sheet1!$A$2,RANDBETWEEN(2,500),RANDBETWEEN(1,5),1,1))</f>
        <v>巴顿</v>
      </c>
      <c r="AS865">
        <f>SUMPRODUCT(P865:AI865,Sheet2!$B$3:$U$3)</f>
        <v>39021</v>
      </c>
    </row>
    <row r="866" spans="1:45" x14ac:dyDescent="0.15">
      <c r="A866" s="18">
        <v>865</v>
      </c>
      <c r="B866" s="18" t="s">
        <v>1151</v>
      </c>
      <c r="C866" s="18">
        <f t="shared" si="143"/>
        <v>121</v>
      </c>
      <c r="D866" s="19">
        <f t="shared" si="144"/>
        <v>3</v>
      </c>
      <c r="E866" s="19">
        <f>VLOOKUP(MOD(A866,4),各职业基础配置!C$32:D$35,2,FALSE)</f>
        <v>3</v>
      </c>
      <c r="F866" s="19">
        <f>IF(A866&lt;900,INDEX(各职业基础配置!C$23:C$28,MOD(ROW(A866),4)+1),0)</f>
        <v>14</v>
      </c>
      <c r="G866" s="19">
        <f t="shared" si="145"/>
        <v>3</v>
      </c>
      <c r="H866" s="27">
        <f t="shared" si="146"/>
        <v>1</v>
      </c>
      <c r="I866" s="6" t="s">
        <v>164</v>
      </c>
      <c r="J866" s="23" t="str">
        <f>VLOOKUP(E866,各职业基础配置!$B$9:$C$12,2,FALSE)</f>
        <v>106|107|108|4201|110</v>
      </c>
      <c r="K866" s="18" t="str">
        <f>VLOOKUP(E866,各职业基础配置!$B$15:$C$18,2,FALSE)</f>
        <v>20|21|22|23</v>
      </c>
      <c r="L866" s="18" t="str">
        <f>VLOOKUP(E866,各职业基础配置!B:C,2,FALSE)</f>
        <v>[{20,1,1},{21,1,1},{22,1,1},{23,1,1},{4,1,1},{5,1,1},{6,1,1}]</v>
      </c>
      <c r="M866" s="18">
        <v>0</v>
      </c>
      <c r="N866" s="18">
        <f t="shared" si="147"/>
        <v>7</v>
      </c>
      <c r="O866" s="18">
        <f>SUMPRODUCT(P866:AI866,Sheet2!$B$3:$U$3)</f>
        <v>38089</v>
      </c>
      <c r="P866" s="18">
        <f>CEILING(INDEX([1]系统模型!$VD:$VD,MATCH(C866,[1]系统模型!$A:$A,0))*POWER(C866/220,3.8)-50+(1000-A866),1)</f>
        <v>423</v>
      </c>
      <c r="Q866" s="18">
        <f>CEILING(INDEX([1]系统模型!$VE:$VE,MATCH(C866,[1]系统模型!$A:$A,0))*POWER(C866/220,4),1)</f>
        <v>34</v>
      </c>
      <c r="R866" s="18">
        <f>INT(INDEX([1]系统模型!$VF:$VF,MATCH(C866,[1]系统模型!$A:$A,0))*MAX(POWER(C866/180,4),0.5))</f>
        <v>6564</v>
      </c>
      <c r="S866" s="5">
        <v>1000</v>
      </c>
      <c r="T866" s="25">
        <v>0</v>
      </c>
      <c r="U866" s="25">
        <v>0</v>
      </c>
      <c r="V866" s="25">
        <v>0</v>
      </c>
      <c r="W866" s="25">
        <v>0</v>
      </c>
      <c r="X866" s="25">
        <f t="shared" si="148"/>
        <v>328</v>
      </c>
      <c r="Y866" s="12">
        <v>0</v>
      </c>
      <c r="Z866" s="25">
        <v>100</v>
      </c>
      <c r="AA866" s="25">
        <v>150</v>
      </c>
      <c r="AB866" s="25">
        <v>0</v>
      </c>
      <c r="AC866" s="25">
        <v>0</v>
      </c>
      <c r="AD866" s="25">
        <v>0</v>
      </c>
      <c r="AE866" s="25">
        <f t="shared" si="149"/>
        <v>242</v>
      </c>
      <c r="AF866" s="25">
        <f t="shared" si="150"/>
        <v>242</v>
      </c>
      <c r="AG866" s="25">
        <v>0</v>
      </c>
      <c r="AH866" s="25">
        <f t="shared" si="151"/>
        <v>325</v>
      </c>
      <c r="AI866" s="25">
        <f t="shared" si="152"/>
        <v>5</v>
      </c>
      <c r="AJ866" s="25">
        <v>1</v>
      </c>
      <c r="AK866" s="25">
        <v>1000</v>
      </c>
      <c r="AL866" s="25">
        <v>100</v>
      </c>
      <c r="AM866" s="26">
        <v>10</v>
      </c>
      <c r="AN866" s="26">
        <v>10</v>
      </c>
      <c r="AO866" s="22" t="s">
        <v>2211</v>
      </c>
      <c r="AP866" s="26">
        <v>0</v>
      </c>
      <c r="AQ866" s="26">
        <f t="shared" si="153"/>
        <v>120</v>
      </c>
      <c r="AR866" s="18" t="str">
        <f ca="1">CONCATENATE(OFFSET(Sheet1!$A$2,RANDBETWEEN(2,500),0,1,1),OFFSET(Sheet1!$A$2,RANDBETWEEN(2,500),RANDBETWEEN(1,5),1,1))</f>
        <v>查利午夜</v>
      </c>
      <c r="AS866">
        <f>SUMPRODUCT(P866:AI866,Sheet2!$B$3:$U$3)</f>
        <v>38089</v>
      </c>
    </row>
    <row r="867" spans="1:45" x14ac:dyDescent="0.15">
      <c r="A867" s="18">
        <v>866</v>
      </c>
      <c r="B867" s="18" t="s">
        <v>2153</v>
      </c>
      <c r="C867" s="18">
        <f t="shared" si="143"/>
        <v>121</v>
      </c>
      <c r="D867" s="19">
        <f t="shared" si="144"/>
        <v>2</v>
      </c>
      <c r="E867" s="19">
        <f>VLOOKUP(MOD(A867,4),各职业基础配置!C$32:D$35,2,FALSE)</f>
        <v>6</v>
      </c>
      <c r="F867" s="19">
        <f>IF(A867&lt;900,INDEX(各职业基础配置!C$23:C$28,MOD(ROW(A867),4)+1),0)</f>
        <v>16</v>
      </c>
      <c r="G867" s="19">
        <f t="shared" si="145"/>
        <v>3</v>
      </c>
      <c r="H867" s="27">
        <f t="shared" si="146"/>
        <v>1</v>
      </c>
      <c r="I867" s="6" t="s">
        <v>164</v>
      </c>
      <c r="J867" s="23" t="str">
        <f>VLOOKUP(E867,各职业基础配置!$B$9:$C$12,2,FALSE)</f>
        <v>111|112|113|4201|115</v>
      </c>
      <c r="K867" s="18" t="str">
        <f>VLOOKUP(E867,各职业基础配置!$B$15:$C$18,2,FALSE)</f>
        <v>32|33|34</v>
      </c>
      <c r="L867" s="18" t="str">
        <f>VLOOKUP(E867,各职业基础配置!B:C,2,FALSE)</f>
        <v>[{32,1,1},{33,1,1},{34,1,1},{35,1,1},{7,1,1},{8,1,1},{9,1,1}]</v>
      </c>
      <c r="M867" s="18">
        <v>0</v>
      </c>
      <c r="N867" s="18">
        <f t="shared" si="147"/>
        <v>7</v>
      </c>
      <c r="O867" s="18">
        <f>SUMPRODUCT(P867:AI867,Sheet2!$B$3:$U$3)</f>
        <v>38064</v>
      </c>
      <c r="P867" s="18">
        <f>CEILING(INDEX([1]系统模型!$VD:$VD,MATCH(C867,[1]系统模型!$A:$A,0))*POWER(C867/220,3.8)-50+(1000-A867),1)</f>
        <v>422</v>
      </c>
      <c r="Q867" s="18">
        <f>CEILING(INDEX([1]系统模型!$VE:$VE,MATCH(C867,[1]系统模型!$A:$A,0))*POWER(C867/220,4),1)</f>
        <v>34</v>
      </c>
      <c r="R867" s="18">
        <f>INT(INDEX([1]系统模型!$VF:$VF,MATCH(C867,[1]系统模型!$A:$A,0))*MAX(POWER(C867/180,4),0.5))</f>
        <v>6564</v>
      </c>
      <c r="S867" s="5">
        <v>1000</v>
      </c>
      <c r="T867" s="25">
        <v>0</v>
      </c>
      <c r="U867" s="25">
        <v>0</v>
      </c>
      <c r="V867" s="25">
        <v>0</v>
      </c>
      <c r="W867" s="25">
        <v>0</v>
      </c>
      <c r="X867" s="25">
        <f t="shared" si="148"/>
        <v>328</v>
      </c>
      <c r="Y867" s="12">
        <v>0</v>
      </c>
      <c r="Z867" s="25">
        <v>100</v>
      </c>
      <c r="AA867" s="25">
        <v>150</v>
      </c>
      <c r="AB867" s="25">
        <v>0</v>
      </c>
      <c r="AC867" s="25">
        <v>0</v>
      </c>
      <c r="AD867" s="25">
        <v>0</v>
      </c>
      <c r="AE867" s="25">
        <f t="shared" si="149"/>
        <v>242</v>
      </c>
      <c r="AF867" s="25">
        <f t="shared" si="150"/>
        <v>242</v>
      </c>
      <c r="AG867" s="25">
        <v>0</v>
      </c>
      <c r="AH867" s="25">
        <f t="shared" si="151"/>
        <v>325</v>
      </c>
      <c r="AI867" s="25">
        <f t="shared" si="152"/>
        <v>5</v>
      </c>
      <c r="AJ867" s="25">
        <v>1</v>
      </c>
      <c r="AK867" s="25">
        <v>1000</v>
      </c>
      <c r="AL867" s="25">
        <v>100</v>
      </c>
      <c r="AM867" s="26">
        <v>10</v>
      </c>
      <c r="AN867" s="26">
        <v>10</v>
      </c>
      <c r="AO867" s="22" t="s">
        <v>2211</v>
      </c>
      <c r="AP867" s="26">
        <v>0</v>
      </c>
      <c r="AQ867" s="26">
        <f t="shared" si="153"/>
        <v>120</v>
      </c>
      <c r="AR867" s="18" t="str">
        <f ca="1">CONCATENATE(OFFSET(Sheet1!$A$2,RANDBETWEEN(2,500),0,1,1),OFFSET(Sheet1!$A$2,RANDBETWEEN(2,500),RANDBETWEEN(1,5),1,1))</f>
        <v>比彻</v>
      </c>
      <c r="AS867">
        <f>SUMPRODUCT(P867:AI867,Sheet2!$B$3:$U$3)</f>
        <v>38064</v>
      </c>
    </row>
    <row r="868" spans="1:45" x14ac:dyDescent="0.15">
      <c r="A868" s="23">
        <v>867</v>
      </c>
      <c r="B868" s="18" t="s">
        <v>1241</v>
      </c>
      <c r="C868" s="18">
        <f t="shared" si="143"/>
        <v>121</v>
      </c>
      <c r="D868" s="19">
        <f t="shared" si="144"/>
        <v>3</v>
      </c>
      <c r="E868" s="19">
        <f>VLOOKUP(MOD(A868,4),各职业基础配置!C$32:D$35,2,FALSE)</f>
        <v>9</v>
      </c>
      <c r="F868" s="19">
        <f>IF(A868&lt;900,INDEX(各职业基础配置!C$23:C$28,MOD(ROW(A868),4)+1),0)</f>
        <v>8</v>
      </c>
      <c r="G868" s="19">
        <f t="shared" si="145"/>
        <v>3</v>
      </c>
      <c r="H868" s="27">
        <f t="shared" si="146"/>
        <v>1</v>
      </c>
      <c r="I868" s="6" t="s">
        <v>164</v>
      </c>
      <c r="J868" s="23" t="str">
        <f>VLOOKUP(E868,各职业基础配置!$B$9:$C$12,2,FALSE)</f>
        <v>116|117|118|4201|120</v>
      </c>
      <c r="K868" s="18" t="str">
        <f>VLOOKUP(E868,各职业基础配置!$B$15:$C$18,2,FALSE)</f>
        <v>28|29|30|31</v>
      </c>
      <c r="L868" s="18" t="str">
        <f>VLOOKUP(E868,各职业基础配置!B:C,2,FALSE)</f>
        <v>[{28,1,1},{29,1,1},{30,1,1},{31,1,1},{10,1,1},{11,1,1},{12,1,1}]</v>
      </c>
      <c r="M868" s="18">
        <v>0</v>
      </c>
      <c r="N868" s="18">
        <f t="shared" si="147"/>
        <v>3</v>
      </c>
      <c r="O868" s="18">
        <f>SUMPRODUCT(P868:AI868,Sheet2!$B$3:$U$3)</f>
        <v>38039</v>
      </c>
      <c r="P868" s="18">
        <f>CEILING(INDEX([1]系统模型!$VD:$VD,MATCH(C868,[1]系统模型!$A:$A,0))*POWER(C868/220,3.8)-50+(1000-A868),1)</f>
        <v>421</v>
      </c>
      <c r="Q868" s="18">
        <f>CEILING(INDEX([1]系统模型!$VE:$VE,MATCH(C868,[1]系统模型!$A:$A,0))*POWER(C868/220,4),1)</f>
        <v>34</v>
      </c>
      <c r="R868" s="18">
        <f>INT(INDEX([1]系统模型!$VF:$VF,MATCH(C868,[1]系统模型!$A:$A,0))*MAX(POWER(C868/180,4),0.5))</f>
        <v>6564</v>
      </c>
      <c r="S868" s="5">
        <v>1000</v>
      </c>
      <c r="T868" s="25">
        <v>0</v>
      </c>
      <c r="U868" s="25">
        <v>0</v>
      </c>
      <c r="V868" s="25">
        <v>0</v>
      </c>
      <c r="W868" s="25">
        <v>0</v>
      </c>
      <c r="X868" s="25">
        <f t="shared" si="148"/>
        <v>328</v>
      </c>
      <c r="Y868" s="12">
        <v>0</v>
      </c>
      <c r="Z868" s="25">
        <v>100</v>
      </c>
      <c r="AA868" s="25">
        <v>150</v>
      </c>
      <c r="AB868" s="25">
        <v>0</v>
      </c>
      <c r="AC868" s="25">
        <v>0</v>
      </c>
      <c r="AD868" s="25">
        <v>0</v>
      </c>
      <c r="AE868" s="25">
        <f t="shared" si="149"/>
        <v>242</v>
      </c>
      <c r="AF868" s="25">
        <f t="shared" si="150"/>
        <v>242</v>
      </c>
      <c r="AG868" s="25">
        <v>0</v>
      </c>
      <c r="AH868" s="25">
        <f t="shared" si="151"/>
        <v>325</v>
      </c>
      <c r="AI868" s="25">
        <f t="shared" si="152"/>
        <v>5</v>
      </c>
      <c r="AJ868" s="25">
        <v>1</v>
      </c>
      <c r="AK868" s="25">
        <v>1000</v>
      </c>
      <c r="AL868" s="25">
        <v>100</v>
      </c>
      <c r="AM868" s="26">
        <v>10</v>
      </c>
      <c r="AN868" s="26">
        <v>10</v>
      </c>
      <c r="AO868" s="22" t="s">
        <v>2211</v>
      </c>
      <c r="AP868" s="26">
        <v>0</v>
      </c>
      <c r="AQ868" s="26">
        <f t="shared" si="153"/>
        <v>120</v>
      </c>
      <c r="AR868" s="18" t="str">
        <f ca="1">CONCATENATE(OFFSET(Sheet1!$A$2,RANDBETWEEN(2,500),0,1,1),OFFSET(Sheet1!$A$2,RANDBETWEEN(2,500),RANDBETWEEN(1,5),1,1))</f>
        <v>丘奇</v>
      </c>
      <c r="AS868">
        <f>SUMPRODUCT(P868:AI868,Sheet2!$B$3:$U$3)</f>
        <v>38039</v>
      </c>
    </row>
    <row r="869" spans="1:45" x14ac:dyDescent="0.15">
      <c r="A869" s="18">
        <v>868</v>
      </c>
      <c r="B869" s="18" t="s">
        <v>2154</v>
      </c>
      <c r="C869" s="18">
        <f t="shared" si="143"/>
        <v>121</v>
      </c>
      <c r="D869" s="19">
        <f t="shared" si="144"/>
        <v>2</v>
      </c>
      <c r="E869" s="19">
        <f>VLOOKUP(MOD(A869,4),各职业基础配置!C$32:D$35,2,FALSE)</f>
        <v>1</v>
      </c>
      <c r="F869" s="19">
        <f>IF(A869&lt;900,INDEX(各职业基础配置!C$23:C$28,MOD(ROW(A869),4)+1),0)</f>
        <v>13</v>
      </c>
      <c r="G869" s="19">
        <f t="shared" si="145"/>
        <v>3</v>
      </c>
      <c r="H869" s="27">
        <f t="shared" si="146"/>
        <v>1</v>
      </c>
      <c r="I869" s="6" t="s">
        <v>164</v>
      </c>
      <c r="J869" s="23" t="str">
        <f>VLOOKUP(E869,各职业基础配置!$B$9:$C$12,2,FALSE)</f>
        <v>101|102|103|4201|105</v>
      </c>
      <c r="K869" s="18" t="str">
        <f>VLOOKUP(E869,各职业基础配置!$B$15:$C$18,2,FALSE)</f>
        <v>24|25|26|27</v>
      </c>
      <c r="L869" s="18" t="str">
        <f>VLOOKUP(E869,各职业基础配置!B:C,2,FALSE)</f>
        <v>[{24,1,1},{25,1,1},{26,1,1},{27,1,1},{1,1,1},{2,1,1},{3,1,1}]</v>
      </c>
      <c r="M869" s="18">
        <v>0</v>
      </c>
      <c r="N869" s="18">
        <f t="shared" si="147"/>
        <v>3</v>
      </c>
      <c r="O869" s="18">
        <f>SUMPRODUCT(P869:AI869,Sheet2!$B$3:$U$3)</f>
        <v>38014</v>
      </c>
      <c r="P869" s="18">
        <f>CEILING(INDEX([1]系统模型!$VD:$VD,MATCH(C869,[1]系统模型!$A:$A,0))*POWER(C869/220,3.8)-50+(1000-A869),1)</f>
        <v>420</v>
      </c>
      <c r="Q869" s="18">
        <f>CEILING(INDEX([1]系统模型!$VE:$VE,MATCH(C869,[1]系统模型!$A:$A,0))*POWER(C869/220,4),1)</f>
        <v>34</v>
      </c>
      <c r="R869" s="18">
        <f>INT(INDEX([1]系统模型!$VF:$VF,MATCH(C869,[1]系统模型!$A:$A,0))*MAX(POWER(C869/180,4),0.5))</f>
        <v>6564</v>
      </c>
      <c r="S869" s="5">
        <v>1000</v>
      </c>
      <c r="T869" s="25">
        <v>0</v>
      </c>
      <c r="U869" s="25">
        <v>0</v>
      </c>
      <c r="V869" s="25">
        <v>0</v>
      </c>
      <c r="W869" s="25">
        <v>0</v>
      </c>
      <c r="X869" s="25">
        <f t="shared" si="148"/>
        <v>328</v>
      </c>
      <c r="Y869" s="12">
        <v>0</v>
      </c>
      <c r="Z869" s="25">
        <v>100</v>
      </c>
      <c r="AA869" s="25">
        <v>150</v>
      </c>
      <c r="AB869" s="25">
        <v>0</v>
      </c>
      <c r="AC869" s="25">
        <v>0</v>
      </c>
      <c r="AD869" s="25">
        <v>0</v>
      </c>
      <c r="AE869" s="25">
        <f t="shared" si="149"/>
        <v>242</v>
      </c>
      <c r="AF869" s="25">
        <f t="shared" si="150"/>
        <v>242</v>
      </c>
      <c r="AG869" s="25">
        <v>0</v>
      </c>
      <c r="AH869" s="25">
        <f t="shared" si="151"/>
        <v>325</v>
      </c>
      <c r="AI869" s="25">
        <f t="shared" si="152"/>
        <v>5</v>
      </c>
      <c r="AJ869" s="25">
        <v>1</v>
      </c>
      <c r="AK869" s="25">
        <v>1000</v>
      </c>
      <c r="AL869" s="25">
        <v>100</v>
      </c>
      <c r="AM869" s="26">
        <v>10</v>
      </c>
      <c r="AN869" s="26">
        <v>10</v>
      </c>
      <c r="AO869" s="22" t="s">
        <v>2211</v>
      </c>
      <c r="AP869" s="26">
        <v>0</v>
      </c>
      <c r="AQ869" s="26">
        <f t="shared" si="153"/>
        <v>120</v>
      </c>
      <c r="AR869" s="18" t="str">
        <f ca="1">CONCATENATE(OFFSET(Sheet1!$A$2,RANDBETWEEN(2,500),0,1,1),OFFSET(Sheet1!$A$2,RANDBETWEEN(2,500),RANDBETWEEN(1,5),1,1))</f>
        <v>迪尤尔漩涡</v>
      </c>
      <c r="AS869">
        <f>SUMPRODUCT(P869:AI869,Sheet2!$B$3:$U$3)</f>
        <v>38014</v>
      </c>
    </row>
    <row r="870" spans="1:45" x14ac:dyDescent="0.15">
      <c r="A870" s="18">
        <v>869</v>
      </c>
      <c r="B870" s="18" t="s">
        <v>2155</v>
      </c>
      <c r="C870" s="18">
        <f t="shared" si="143"/>
        <v>121</v>
      </c>
      <c r="D870" s="19">
        <f t="shared" si="144"/>
        <v>3</v>
      </c>
      <c r="E870" s="19">
        <f>VLOOKUP(MOD(A870,4),各职业基础配置!C$32:D$35,2,FALSE)</f>
        <v>3</v>
      </c>
      <c r="F870" s="19">
        <f>IF(A870&lt;900,INDEX(各职业基础配置!C$23:C$28,MOD(ROW(A870),4)+1),0)</f>
        <v>14</v>
      </c>
      <c r="G870" s="19">
        <f t="shared" si="145"/>
        <v>3</v>
      </c>
      <c r="H870" s="27">
        <f t="shared" si="146"/>
        <v>1</v>
      </c>
      <c r="I870" s="6" t="s">
        <v>164</v>
      </c>
      <c r="J870" s="23" t="str">
        <f>VLOOKUP(E870,各职业基础配置!$B$9:$C$12,2,FALSE)</f>
        <v>106|107|108|4201|110</v>
      </c>
      <c r="K870" s="18" t="str">
        <f>VLOOKUP(E870,各职业基础配置!$B$15:$C$18,2,FALSE)</f>
        <v>20|21|22|23</v>
      </c>
      <c r="L870" s="18" t="str">
        <f>VLOOKUP(E870,各职业基础配置!B:C,2,FALSE)</f>
        <v>[{20,1,1},{21,1,1},{22,1,1},{23,1,1},{4,1,1},{5,1,1},{6,1,1}]</v>
      </c>
      <c r="M870" s="18">
        <v>0</v>
      </c>
      <c r="N870" s="18">
        <f t="shared" si="147"/>
        <v>7</v>
      </c>
      <c r="O870" s="18">
        <f>SUMPRODUCT(P870:AI870,Sheet2!$B$3:$U$3)</f>
        <v>37989</v>
      </c>
      <c r="P870" s="18">
        <f>CEILING(INDEX([1]系统模型!$VD:$VD,MATCH(C870,[1]系统模型!$A:$A,0))*POWER(C870/220,3.8)-50+(1000-A870),1)</f>
        <v>419</v>
      </c>
      <c r="Q870" s="18">
        <f>CEILING(INDEX([1]系统模型!$VE:$VE,MATCH(C870,[1]系统模型!$A:$A,0))*POWER(C870/220,4),1)</f>
        <v>34</v>
      </c>
      <c r="R870" s="18">
        <f>INT(INDEX([1]系统模型!$VF:$VF,MATCH(C870,[1]系统模型!$A:$A,0))*MAX(POWER(C870/180,4),0.5))</f>
        <v>6564</v>
      </c>
      <c r="S870" s="5">
        <v>1000</v>
      </c>
      <c r="T870" s="25">
        <v>0</v>
      </c>
      <c r="U870" s="25">
        <v>0</v>
      </c>
      <c r="V870" s="25">
        <v>0</v>
      </c>
      <c r="W870" s="25">
        <v>0</v>
      </c>
      <c r="X870" s="25">
        <f t="shared" si="148"/>
        <v>328</v>
      </c>
      <c r="Y870" s="12">
        <v>0</v>
      </c>
      <c r="Z870" s="25">
        <v>100</v>
      </c>
      <c r="AA870" s="25">
        <v>150</v>
      </c>
      <c r="AB870" s="25">
        <v>0</v>
      </c>
      <c r="AC870" s="25">
        <v>0</v>
      </c>
      <c r="AD870" s="25">
        <v>0</v>
      </c>
      <c r="AE870" s="25">
        <f t="shared" si="149"/>
        <v>242</v>
      </c>
      <c r="AF870" s="25">
        <f t="shared" si="150"/>
        <v>242</v>
      </c>
      <c r="AG870" s="25">
        <v>0</v>
      </c>
      <c r="AH870" s="25">
        <f t="shared" si="151"/>
        <v>325</v>
      </c>
      <c r="AI870" s="25">
        <f t="shared" si="152"/>
        <v>5</v>
      </c>
      <c r="AJ870" s="25">
        <v>1</v>
      </c>
      <c r="AK870" s="25">
        <v>1000</v>
      </c>
      <c r="AL870" s="25">
        <v>100</v>
      </c>
      <c r="AM870" s="26">
        <v>10</v>
      </c>
      <c r="AN870" s="26">
        <v>10</v>
      </c>
      <c r="AO870" s="22" t="s">
        <v>2211</v>
      </c>
      <c r="AP870" s="26">
        <v>0</v>
      </c>
      <c r="AQ870" s="26">
        <f t="shared" si="153"/>
        <v>120</v>
      </c>
      <c r="AR870" s="18" t="str">
        <f ca="1">CONCATENATE(OFFSET(Sheet1!$A$2,RANDBETWEEN(2,500),0,1,1),OFFSET(Sheet1!$A$2,RANDBETWEEN(2,500),RANDBETWEEN(1,5),1,1))</f>
        <v>贝丝汉纳</v>
      </c>
      <c r="AS870">
        <f>SUMPRODUCT(P870:AI870,Sheet2!$B$3:$U$3)</f>
        <v>37989</v>
      </c>
    </row>
    <row r="871" spans="1:45" x14ac:dyDescent="0.15">
      <c r="A871" s="23">
        <v>870</v>
      </c>
      <c r="B871" s="18" t="s">
        <v>1353</v>
      </c>
      <c r="C871" s="18">
        <f t="shared" si="143"/>
        <v>121</v>
      </c>
      <c r="D871" s="19">
        <f t="shared" si="144"/>
        <v>2</v>
      </c>
      <c r="E871" s="19">
        <f>VLOOKUP(MOD(A871,4),各职业基础配置!C$32:D$35,2,FALSE)</f>
        <v>6</v>
      </c>
      <c r="F871" s="19">
        <f>IF(A871&lt;900,INDEX(各职业基础配置!C$23:C$28,MOD(ROW(A871),4)+1),0)</f>
        <v>16</v>
      </c>
      <c r="G871" s="19">
        <f t="shared" si="145"/>
        <v>3</v>
      </c>
      <c r="H871" s="27">
        <f t="shared" si="146"/>
        <v>1</v>
      </c>
      <c r="I871" s="6" t="s">
        <v>164</v>
      </c>
      <c r="J871" s="23" t="str">
        <f>VLOOKUP(E871,各职业基础配置!$B$9:$C$12,2,FALSE)</f>
        <v>111|112|113|4201|115</v>
      </c>
      <c r="K871" s="18" t="str">
        <f>VLOOKUP(E871,各职业基础配置!$B$15:$C$18,2,FALSE)</f>
        <v>32|33|34</v>
      </c>
      <c r="L871" s="18" t="str">
        <f>VLOOKUP(E871,各职业基础配置!B:C,2,FALSE)</f>
        <v>[{32,1,1},{33,1,1},{34,1,1},{35,1,1},{7,1,1},{8,1,1},{9,1,1}]</v>
      </c>
      <c r="M871" s="18">
        <v>0</v>
      </c>
      <c r="N871" s="18">
        <f t="shared" si="147"/>
        <v>7</v>
      </c>
      <c r="O871" s="18">
        <f>SUMPRODUCT(P871:AI871,Sheet2!$B$3:$U$3)</f>
        <v>37964</v>
      </c>
      <c r="P871" s="18">
        <f>CEILING(INDEX([1]系统模型!$VD:$VD,MATCH(C871,[1]系统模型!$A:$A,0))*POWER(C871/220,3.8)-50+(1000-A871),1)</f>
        <v>418</v>
      </c>
      <c r="Q871" s="18">
        <f>CEILING(INDEX([1]系统模型!$VE:$VE,MATCH(C871,[1]系统模型!$A:$A,0))*POWER(C871/220,4),1)</f>
        <v>34</v>
      </c>
      <c r="R871" s="18">
        <f>INT(INDEX([1]系统模型!$VF:$VF,MATCH(C871,[1]系统模型!$A:$A,0))*MAX(POWER(C871/180,4),0.5))</f>
        <v>6564</v>
      </c>
      <c r="S871" s="5">
        <v>1000</v>
      </c>
      <c r="T871" s="25">
        <v>0</v>
      </c>
      <c r="U871" s="25">
        <v>0</v>
      </c>
      <c r="V871" s="25">
        <v>0</v>
      </c>
      <c r="W871" s="25">
        <v>0</v>
      </c>
      <c r="X871" s="25">
        <f t="shared" si="148"/>
        <v>328</v>
      </c>
      <c r="Y871" s="12">
        <v>0</v>
      </c>
      <c r="Z871" s="25">
        <v>100</v>
      </c>
      <c r="AA871" s="25">
        <v>150</v>
      </c>
      <c r="AB871" s="25">
        <v>0</v>
      </c>
      <c r="AC871" s="25">
        <v>0</v>
      </c>
      <c r="AD871" s="25">
        <v>0</v>
      </c>
      <c r="AE871" s="25">
        <f t="shared" si="149"/>
        <v>242</v>
      </c>
      <c r="AF871" s="25">
        <f t="shared" si="150"/>
        <v>242</v>
      </c>
      <c r="AG871" s="25">
        <v>0</v>
      </c>
      <c r="AH871" s="25">
        <f t="shared" si="151"/>
        <v>325</v>
      </c>
      <c r="AI871" s="25">
        <f t="shared" si="152"/>
        <v>5</v>
      </c>
      <c r="AJ871" s="25">
        <v>1</v>
      </c>
      <c r="AK871" s="25">
        <v>1000</v>
      </c>
      <c r="AL871" s="25">
        <v>100</v>
      </c>
      <c r="AM871" s="26">
        <v>10</v>
      </c>
      <c r="AN871" s="26">
        <v>10</v>
      </c>
      <c r="AO871" s="22" t="s">
        <v>2211</v>
      </c>
      <c r="AP871" s="26">
        <v>0</v>
      </c>
      <c r="AQ871" s="26">
        <f t="shared" si="153"/>
        <v>120</v>
      </c>
      <c r="AR871" s="18" t="str">
        <f ca="1">CONCATENATE(OFFSET(Sheet1!$A$2,RANDBETWEEN(2,500),0,1,1),OFFSET(Sheet1!$A$2,RANDBETWEEN(2,500),RANDBETWEEN(1,5),1,1))</f>
        <v>哈里曼</v>
      </c>
      <c r="AS871">
        <f>SUMPRODUCT(P871:AI871,Sheet2!$B$3:$U$3)</f>
        <v>37964</v>
      </c>
    </row>
    <row r="872" spans="1:45" x14ac:dyDescent="0.15">
      <c r="A872" s="18">
        <v>871</v>
      </c>
      <c r="B872" s="18" t="s">
        <v>2156</v>
      </c>
      <c r="C872" s="18">
        <f t="shared" si="143"/>
        <v>121</v>
      </c>
      <c r="D872" s="19">
        <f t="shared" si="144"/>
        <v>3</v>
      </c>
      <c r="E872" s="19">
        <f>VLOOKUP(MOD(A872,4),各职业基础配置!C$32:D$35,2,FALSE)</f>
        <v>9</v>
      </c>
      <c r="F872" s="19">
        <f>IF(A872&lt;900,INDEX(各职业基础配置!C$23:C$28,MOD(ROW(A872),4)+1),0)</f>
        <v>8</v>
      </c>
      <c r="G872" s="19">
        <f t="shared" si="145"/>
        <v>3</v>
      </c>
      <c r="H872" s="27">
        <f t="shared" si="146"/>
        <v>1</v>
      </c>
      <c r="I872" s="6" t="s">
        <v>164</v>
      </c>
      <c r="J872" s="23" t="str">
        <f>VLOOKUP(E872,各职业基础配置!$B$9:$C$12,2,FALSE)</f>
        <v>116|117|118|4201|120</v>
      </c>
      <c r="K872" s="18" t="str">
        <f>VLOOKUP(E872,各职业基础配置!$B$15:$C$18,2,FALSE)</f>
        <v>28|29|30|31</v>
      </c>
      <c r="L872" s="18" t="str">
        <f>VLOOKUP(E872,各职业基础配置!B:C,2,FALSE)</f>
        <v>[{28,1,1},{29,1,1},{30,1,1},{31,1,1},{10,1,1},{11,1,1},{12,1,1}]</v>
      </c>
      <c r="M872" s="18">
        <v>0</v>
      </c>
      <c r="N872" s="18">
        <f t="shared" si="147"/>
        <v>3</v>
      </c>
      <c r="O872" s="18">
        <f>SUMPRODUCT(P872:AI872,Sheet2!$B$3:$U$3)</f>
        <v>37939</v>
      </c>
      <c r="P872" s="18">
        <f>CEILING(INDEX([1]系统模型!$VD:$VD,MATCH(C872,[1]系统模型!$A:$A,0))*POWER(C872/220,3.8)-50+(1000-A872),1)</f>
        <v>417</v>
      </c>
      <c r="Q872" s="18">
        <f>CEILING(INDEX([1]系统模型!$VE:$VE,MATCH(C872,[1]系统模型!$A:$A,0))*POWER(C872/220,4),1)</f>
        <v>34</v>
      </c>
      <c r="R872" s="18">
        <f>INT(INDEX([1]系统模型!$VF:$VF,MATCH(C872,[1]系统模型!$A:$A,0))*MAX(POWER(C872/180,4),0.5))</f>
        <v>6564</v>
      </c>
      <c r="S872" s="5">
        <v>1000</v>
      </c>
      <c r="T872" s="25">
        <v>0</v>
      </c>
      <c r="U872" s="25">
        <v>0</v>
      </c>
      <c r="V872" s="25">
        <v>0</v>
      </c>
      <c r="W872" s="25">
        <v>0</v>
      </c>
      <c r="X872" s="25">
        <f t="shared" si="148"/>
        <v>328</v>
      </c>
      <c r="Y872" s="12">
        <v>0</v>
      </c>
      <c r="Z872" s="25">
        <v>100</v>
      </c>
      <c r="AA872" s="25">
        <v>150</v>
      </c>
      <c r="AB872" s="25">
        <v>0</v>
      </c>
      <c r="AC872" s="25">
        <v>0</v>
      </c>
      <c r="AD872" s="25">
        <v>0</v>
      </c>
      <c r="AE872" s="25">
        <f t="shared" si="149"/>
        <v>242</v>
      </c>
      <c r="AF872" s="25">
        <f t="shared" si="150"/>
        <v>242</v>
      </c>
      <c r="AG872" s="25">
        <v>0</v>
      </c>
      <c r="AH872" s="25">
        <f t="shared" si="151"/>
        <v>325</v>
      </c>
      <c r="AI872" s="25">
        <f t="shared" si="152"/>
        <v>5</v>
      </c>
      <c r="AJ872" s="25">
        <v>1</v>
      </c>
      <c r="AK872" s="25">
        <v>1000</v>
      </c>
      <c r="AL872" s="25">
        <v>100</v>
      </c>
      <c r="AM872" s="26">
        <v>10</v>
      </c>
      <c r="AN872" s="26">
        <v>10</v>
      </c>
      <c r="AO872" s="22" t="s">
        <v>2211</v>
      </c>
      <c r="AP872" s="26">
        <v>0</v>
      </c>
      <c r="AQ872" s="26">
        <f t="shared" si="153"/>
        <v>120</v>
      </c>
      <c r="AR872" s="18" t="str">
        <f ca="1">CONCATENATE(OFFSET(Sheet1!$A$2,RANDBETWEEN(2,500),0,1,1),OFFSET(Sheet1!$A$2,RANDBETWEEN(2,500),RANDBETWEEN(1,5),1,1))</f>
        <v>克拉彭</v>
      </c>
      <c r="AS872">
        <f>SUMPRODUCT(P872:AI872,Sheet2!$B$3:$U$3)</f>
        <v>37939</v>
      </c>
    </row>
    <row r="873" spans="1:45" x14ac:dyDescent="0.15">
      <c r="A873" s="18">
        <v>872</v>
      </c>
      <c r="B873" s="18" t="s">
        <v>1369</v>
      </c>
      <c r="C873" s="18">
        <f t="shared" si="143"/>
        <v>120</v>
      </c>
      <c r="D873" s="19">
        <f t="shared" si="144"/>
        <v>2</v>
      </c>
      <c r="E873" s="19">
        <f>VLOOKUP(MOD(A873,4),各职业基础配置!C$32:D$35,2,FALSE)</f>
        <v>1</v>
      </c>
      <c r="F873" s="19">
        <f>IF(A873&lt;900,INDEX(各职业基础配置!C$23:C$28,MOD(ROW(A873),4)+1),0)</f>
        <v>13</v>
      </c>
      <c r="G873" s="19">
        <f t="shared" si="145"/>
        <v>3</v>
      </c>
      <c r="H873" s="27">
        <f t="shared" si="146"/>
        <v>1</v>
      </c>
      <c r="I873" s="6" t="s">
        <v>164</v>
      </c>
      <c r="J873" s="23" t="str">
        <f>VLOOKUP(E873,各职业基础配置!$B$9:$C$12,2,FALSE)</f>
        <v>101|102|103|4201|105</v>
      </c>
      <c r="K873" s="18" t="str">
        <f>VLOOKUP(E873,各职业基础配置!$B$15:$C$18,2,FALSE)</f>
        <v>24|25|26|27</v>
      </c>
      <c r="L873" s="18" t="str">
        <f>VLOOKUP(E873,各职业基础配置!B:C,2,FALSE)</f>
        <v>[{24,1,1},{25,1,1},{26,1,1},{27,1,1},{1,1,1},{2,1,1},{3,1,1}]</v>
      </c>
      <c r="M873" s="18">
        <v>0</v>
      </c>
      <c r="N873" s="18">
        <f t="shared" si="147"/>
        <v>3</v>
      </c>
      <c r="O873" s="18">
        <f>SUMPRODUCT(P873:AI873,Sheet2!$B$3:$U$3)</f>
        <v>36962</v>
      </c>
      <c r="P873" s="18">
        <f>CEILING(INDEX([1]系统模型!$VD:$VD,MATCH(C873,[1]系统模型!$A:$A,0))*POWER(C873/220,3.8)-50+(1000-A873),1)</f>
        <v>403</v>
      </c>
      <c r="Q873" s="18">
        <f>CEILING(INDEX([1]系统模型!$VE:$VE,MATCH(C873,[1]系统模型!$A:$A,0))*POWER(C873/220,4),1)</f>
        <v>32</v>
      </c>
      <c r="R873" s="18">
        <f>INT(INDEX([1]系统模型!$VF:$VF,MATCH(C873,[1]系统模型!$A:$A,0))*MAX(POWER(C873/180,4),0.5))</f>
        <v>6462</v>
      </c>
      <c r="S873" s="5">
        <v>1000</v>
      </c>
      <c r="T873" s="25">
        <v>0</v>
      </c>
      <c r="U873" s="25">
        <v>0</v>
      </c>
      <c r="V873" s="25">
        <v>0</v>
      </c>
      <c r="W873" s="25">
        <v>0</v>
      </c>
      <c r="X873" s="25">
        <f t="shared" si="148"/>
        <v>323</v>
      </c>
      <c r="Y873" s="12">
        <v>0</v>
      </c>
      <c r="Z873" s="25">
        <v>100</v>
      </c>
      <c r="AA873" s="25">
        <v>150</v>
      </c>
      <c r="AB873" s="25">
        <v>0</v>
      </c>
      <c r="AC873" s="25">
        <v>0</v>
      </c>
      <c r="AD873" s="25">
        <v>0</v>
      </c>
      <c r="AE873" s="25">
        <f t="shared" si="149"/>
        <v>240</v>
      </c>
      <c r="AF873" s="25">
        <f t="shared" si="150"/>
        <v>240</v>
      </c>
      <c r="AG873" s="25">
        <v>0</v>
      </c>
      <c r="AH873" s="25">
        <f t="shared" si="151"/>
        <v>250</v>
      </c>
      <c r="AI873" s="25">
        <f t="shared" si="152"/>
        <v>5</v>
      </c>
      <c r="AJ873" s="25">
        <v>1</v>
      </c>
      <c r="AK873" s="25">
        <v>1000</v>
      </c>
      <c r="AL873" s="25">
        <v>100</v>
      </c>
      <c r="AM873" s="26">
        <v>10</v>
      </c>
      <c r="AN873" s="26">
        <v>10</v>
      </c>
      <c r="AO873" s="22" t="s">
        <v>2211</v>
      </c>
      <c r="AP873" s="26">
        <v>0</v>
      </c>
      <c r="AQ873" s="26">
        <f t="shared" si="153"/>
        <v>120</v>
      </c>
      <c r="AR873" s="18" t="str">
        <f ca="1">CONCATENATE(OFFSET(Sheet1!$A$2,RANDBETWEEN(2,500),0,1,1),OFFSET(Sheet1!$A$2,RANDBETWEEN(2,500),RANDBETWEEN(1,5),1,1))</f>
        <v>豪厄尔</v>
      </c>
      <c r="AS873">
        <f>SUMPRODUCT(P873:AI873,Sheet2!$B$3:$U$3)</f>
        <v>36962</v>
      </c>
    </row>
    <row r="874" spans="1:45" x14ac:dyDescent="0.15">
      <c r="A874" s="23">
        <v>873</v>
      </c>
      <c r="B874" s="18" t="s">
        <v>477</v>
      </c>
      <c r="C874" s="18">
        <f t="shared" si="143"/>
        <v>120</v>
      </c>
      <c r="D874" s="19">
        <f t="shared" si="144"/>
        <v>3</v>
      </c>
      <c r="E874" s="19">
        <f>VLOOKUP(MOD(A874,4),各职业基础配置!C$32:D$35,2,FALSE)</f>
        <v>3</v>
      </c>
      <c r="F874" s="19">
        <f>IF(A874&lt;900,INDEX(各职业基础配置!C$23:C$28,MOD(ROW(A874),4)+1),0)</f>
        <v>14</v>
      </c>
      <c r="G874" s="19">
        <f t="shared" si="145"/>
        <v>3</v>
      </c>
      <c r="H874" s="27">
        <f t="shared" si="146"/>
        <v>1</v>
      </c>
      <c r="I874" s="6" t="s">
        <v>164</v>
      </c>
      <c r="J874" s="23" t="str">
        <f>VLOOKUP(E874,各职业基础配置!$B$9:$C$12,2,FALSE)</f>
        <v>106|107|108|4201|110</v>
      </c>
      <c r="K874" s="18" t="str">
        <f>VLOOKUP(E874,各职业基础配置!$B$15:$C$18,2,FALSE)</f>
        <v>20|21|22|23</v>
      </c>
      <c r="L874" s="18" t="str">
        <f>VLOOKUP(E874,各职业基础配置!B:C,2,FALSE)</f>
        <v>[{20,1,1},{21,1,1},{22,1,1},{23,1,1},{4,1,1},{5,1,1},{6,1,1}]</v>
      </c>
      <c r="M874" s="18">
        <v>0</v>
      </c>
      <c r="N874" s="18">
        <f t="shared" si="147"/>
        <v>7</v>
      </c>
      <c r="O874" s="18">
        <f>SUMPRODUCT(P874:AI874,Sheet2!$B$3:$U$3)</f>
        <v>36937</v>
      </c>
      <c r="P874" s="18">
        <f>CEILING(INDEX([1]系统模型!$VD:$VD,MATCH(C874,[1]系统模型!$A:$A,0))*POWER(C874/220,3.8)-50+(1000-A874),1)</f>
        <v>402</v>
      </c>
      <c r="Q874" s="18">
        <f>CEILING(INDEX([1]系统模型!$VE:$VE,MATCH(C874,[1]系统模型!$A:$A,0))*POWER(C874/220,4),1)</f>
        <v>32</v>
      </c>
      <c r="R874" s="18">
        <f>INT(INDEX([1]系统模型!$VF:$VF,MATCH(C874,[1]系统模型!$A:$A,0))*MAX(POWER(C874/180,4),0.5))</f>
        <v>6462</v>
      </c>
      <c r="S874" s="5">
        <v>1000</v>
      </c>
      <c r="T874" s="25">
        <v>0</v>
      </c>
      <c r="U874" s="25">
        <v>0</v>
      </c>
      <c r="V874" s="25">
        <v>0</v>
      </c>
      <c r="W874" s="25">
        <v>0</v>
      </c>
      <c r="X874" s="25">
        <f t="shared" si="148"/>
        <v>323</v>
      </c>
      <c r="Y874" s="12">
        <v>0</v>
      </c>
      <c r="Z874" s="25">
        <v>100</v>
      </c>
      <c r="AA874" s="25">
        <v>150</v>
      </c>
      <c r="AB874" s="25">
        <v>0</v>
      </c>
      <c r="AC874" s="25">
        <v>0</v>
      </c>
      <c r="AD874" s="25">
        <v>0</v>
      </c>
      <c r="AE874" s="25">
        <f t="shared" si="149"/>
        <v>240</v>
      </c>
      <c r="AF874" s="25">
        <f t="shared" si="150"/>
        <v>240</v>
      </c>
      <c r="AG874" s="25">
        <v>0</v>
      </c>
      <c r="AH874" s="25">
        <f t="shared" si="151"/>
        <v>250</v>
      </c>
      <c r="AI874" s="25">
        <f t="shared" si="152"/>
        <v>5</v>
      </c>
      <c r="AJ874" s="25">
        <v>1</v>
      </c>
      <c r="AK874" s="25">
        <v>1000</v>
      </c>
      <c r="AL874" s="25">
        <v>100</v>
      </c>
      <c r="AM874" s="26">
        <v>10</v>
      </c>
      <c r="AN874" s="26">
        <v>10</v>
      </c>
      <c r="AO874" s="22" t="s">
        <v>2211</v>
      </c>
      <c r="AP874" s="26">
        <v>0</v>
      </c>
      <c r="AQ874" s="26">
        <f t="shared" si="153"/>
        <v>110</v>
      </c>
      <c r="AR874" s="18" t="str">
        <f ca="1">CONCATENATE(OFFSET(Sheet1!$A$2,RANDBETWEEN(2,500),0,1,1),OFFSET(Sheet1!$A$2,RANDBETWEEN(2,500),RANDBETWEEN(1,5),1,1))</f>
        <v>乔叟</v>
      </c>
      <c r="AS874">
        <f>SUMPRODUCT(P874:AI874,Sheet2!$B$3:$U$3)</f>
        <v>36937</v>
      </c>
    </row>
    <row r="875" spans="1:45" x14ac:dyDescent="0.15">
      <c r="A875" s="18">
        <v>874</v>
      </c>
      <c r="B875" s="18" t="s">
        <v>1277</v>
      </c>
      <c r="C875" s="18">
        <f t="shared" si="143"/>
        <v>120</v>
      </c>
      <c r="D875" s="19">
        <f t="shared" si="144"/>
        <v>2</v>
      </c>
      <c r="E875" s="19">
        <f>VLOOKUP(MOD(A875,4),各职业基础配置!C$32:D$35,2,FALSE)</f>
        <v>6</v>
      </c>
      <c r="F875" s="19">
        <f>IF(A875&lt;900,INDEX(各职业基础配置!C$23:C$28,MOD(ROW(A875),4)+1),0)</f>
        <v>16</v>
      </c>
      <c r="G875" s="19">
        <f t="shared" si="145"/>
        <v>3</v>
      </c>
      <c r="H875" s="27">
        <f t="shared" si="146"/>
        <v>1</v>
      </c>
      <c r="I875" s="6" t="s">
        <v>164</v>
      </c>
      <c r="J875" s="23" t="str">
        <f>VLOOKUP(E875,各职业基础配置!$B$9:$C$12,2,FALSE)</f>
        <v>111|112|113|4201|115</v>
      </c>
      <c r="K875" s="18" t="str">
        <f>VLOOKUP(E875,各职业基础配置!$B$15:$C$18,2,FALSE)</f>
        <v>32|33|34</v>
      </c>
      <c r="L875" s="18" t="str">
        <f>VLOOKUP(E875,各职业基础配置!B:C,2,FALSE)</f>
        <v>[{32,1,1},{33,1,1},{34,1,1},{35,1,1},{7,1,1},{8,1,1},{9,1,1}]</v>
      </c>
      <c r="M875" s="18">
        <v>0</v>
      </c>
      <c r="N875" s="18">
        <f t="shared" si="147"/>
        <v>7</v>
      </c>
      <c r="O875" s="18">
        <f>SUMPRODUCT(P875:AI875,Sheet2!$B$3:$U$3)</f>
        <v>36912</v>
      </c>
      <c r="P875" s="18">
        <f>CEILING(INDEX([1]系统模型!$VD:$VD,MATCH(C875,[1]系统模型!$A:$A,0))*POWER(C875/220,3.8)-50+(1000-A875),1)</f>
        <v>401</v>
      </c>
      <c r="Q875" s="18">
        <f>CEILING(INDEX([1]系统模型!$VE:$VE,MATCH(C875,[1]系统模型!$A:$A,0))*POWER(C875/220,4),1)</f>
        <v>32</v>
      </c>
      <c r="R875" s="18">
        <f>INT(INDEX([1]系统模型!$VF:$VF,MATCH(C875,[1]系统模型!$A:$A,0))*MAX(POWER(C875/180,4),0.5))</f>
        <v>6462</v>
      </c>
      <c r="S875" s="5">
        <v>1000</v>
      </c>
      <c r="T875" s="25">
        <v>0</v>
      </c>
      <c r="U875" s="25">
        <v>0</v>
      </c>
      <c r="V875" s="25">
        <v>0</v>
      </c>
      <c r="W875" s="25">
        <v>0</v>
      </c>
      <c r="X875" s="25">
        <f t="shared" si="148"/>
        <v>323</v>
      </c>
      <c r="Y875" s="12">
        <v>0</v>
      </c>
      <c r="Z875" s="25">
        <v>100</v>
      </c>
      <c r="AA875" s="25">
        <v>150</v>
      </c>
      <c r="AB875" s="25">
        <v>0</v>
      </c>
      <c r="AC875" s="25">
        <v>0</v>
      </c>
      <c r="AD875" s="25">
        <v>0</v>
      </c>
      <c r="AE875" s="25">
        <f t="shared" si="149"/>
        <v>240</v>
      </c>
      <c r="AF875" s="25">
        <f t="shared" si="150"/>
        <v>240</v>
      </c>
      <c r="AG875" s="25">
        <v>0</v>
      </c>
      <c r="AH875" s="25">
        <f t="shared" si="151"/>
        <v>250</v>
      </c>
      <c r="AI875" s="25">
        <f t="shared" si="152"/>
        <v>5</v>
      </c>
      <c r="AJ875" s="25">
        <v>1</v>
      </c>
      <c r="AK875" s="25">
        <v>1000</v>
      </c>
      <c r="AL875" s="25">
        <v>100</v>
      </c>
      <c r="AM875" s="26">
        <v>10</v>
      </c>
      <c r="AN875" s="26">
        <v>10</v>
      </c>
      <c r="AO875" s="22" t="s">
        <v>2211</v>
      </c>
      <c r="AP875" s="26">
        <v>0</v>
      </c>
      <c r="AQ875" s="26">
        <f t="shared" si="153"/>
        <v>110</v>
      </c>
      <c r="AR875" s="18" t="str">
        <f ca="1">CONCATENATE(OFFSET(Sheet1!$A$2,RANDBETWEEN(2,500),0,1,1),OFFSET(Sheet1!$A$2,RANDBETWEEN(2,500),RANDBETWEEN(1,5),1,1))</f>
        <v>亚伯拉罕</v>
      </c>
      <c r="AS875">
        <f>SUMPRODUCT(P875:AI875,Sheet2!$B$3:$U$3)</f>
        <v>36912</v>
      </c>
    </row>
    <row r="876" spans="1:45" x14ac:dyDescent="0.15">
      <c r="A876" s="18">
        <v>875</v>
      </c>
      <c r="B876" s="18" t="s">
        <v>2157</v>
      </c>
      <c r="C876" s="18">
        <f t="shared" si="143"/>
        <v>120</v>
      </c>
      <c r="D876" s="19">
        <f t="shared" si="144"/>
        <v>3</v>
      </c>
      <c r="E876" s="19">
        <f>VLOOKUP(MOD(A876,4),各职业基础配置!C$32:D$35,2,FALSE)</f>
        <v>9</v>
      </c>
      <c r="F876" s="19">
        <f>IF(A876&lt;900,INDEX(各职业基础配置!C$23:C$28,MOD(ROW(A876),4)+1),0)</f>
        <v>8</v>
      </c>
      <c r="G876" s="19">
        <f t="shared" si="145"/>
        <v>3</v>
      </c>
      <c r="H876" s="27">
        <f t="shared" si="146"/>
        <v>1</v>
      </c>
      <c r="I876" s="6" t="s">
        <v>164</v>
      </c>
      <c r="J876" s="23" t="str">
        <f>VLOOKUP(E876,各职业基础配置!$B$9:$C$12,2,FALSE)</f>
        <v>116|117|118|4201|120</v>
      </c>
      <c r="K876" s="18" t="str">
        <f>VLOOKUP(E876,各职业基础配置!$B$15:$C$18,2,FALSE)</f>
        <v>28|29|30|31</v>
      </c>
      <c r="L876" s="18" t="str">
        <f>VLOOKUP(E876,各职业基础配置!B:C,2,FALSE)</f>
        <v>[{28,1,1},{29,1,1},{30,1,1},{31,1,1},{10,1,1},{11,1,1},{12,1,1}]</v>
      </c>
      <c r="M876" s="18">
        <v>0</v>
      </c>
      <c r="N876" s="18">
        <f t="shared" si="147"/>
        <v>3</v>
      </c>
      <c r="O876" s="18">
        <f>SUMPRODUCT(P876:AI876,Sheet2!$B$3:$U$3)</f>
        <v>36887</v>
      </c>
      <c r="P876" s="18">
        <f>CEILING(INDEX([1]系统模型!$VD:$VD,MATCH(C876,[1]系统模型!$A:$A,0))*POWER(C876/220,3.8)-50+(1000-A876),1)</f>
        <v>400</v>
      </c>
      <c r="Q876" s="18">
        <f>CEILING(INDEX([1]系统模型!$VE:$VE,MATCH(C876,[1]系统模型!$A:$A,0))*POWER(C876/220,4),1)</f>
        <v>32</v>
      </c>
      <c r="R876" s="18">
        <f>INT(INDEX([1]系统模型!$VF:$VF,MATCH(C876,[1]系统模型!$A:$A,0))*MAX(POWER(C876/180,4),0.5))</f>
        <v>6462</v>
      </c>
      <c r="S876" s="5">
        <v>1000</v>
      </c>
      <c r="T876" s="25">
        <v>0</v>
      </c>
      <c r="U876" s="25">
        <v>0</v>
      </c>
      <c r="V876" s="25">
        <v>0</v>
      </c>
      <c r="W876" s="25">
        <v>0</v>
      </c>
      <c r="X876" s="25">
        <f t="shared" si="148"/>
        <v>323</v>
      </c>
      <c r="Y876" s="12">
        <v>0</v>
      </c>
      <c r="Z876" s="25">
        <v>100</v>
      </c>
      <c r="AA876" s="25">
        <v>150</v>
      </c>
      <c r="AB876" s="25">
        <v>0</v>
      </c>
      <c r="AC876" s="25">
        <v>0</v>
      </c>
      <c r="AD876" s="25">
        <v>0</v>
      </c>
      <c r="AE876" s="25">
        <f t="shared" si="149"/>
        <v>240</v>
      </c>
      <c r="AF876" s="25">
        <f t="shared" si="150"/>
        <v>240</v>
      </c>
      <c r="AG876" s="25">
        <v>0</v>
      </c>
      <c r="AH876" s="25">
        <f t="shared" si="151"/>
        <v>250</v>
      </c>
      <c r="AI876" s="25">
        <f t="shared" si="152"/>
        <v>5</v>
      </c>
      <c r="AJ876" s="25">
        <v>1</v>
      </c>
      <c r="AK876" s="25">
        <v>1000</v>
      </c>
      <c r="AL876" s="25">
        <v>100</v>
      </c>
      <c r="AM876" s="26">
        <v>10</v>
      </c>
      <c r="AN876" s="26">
        <v>10</v>
      </c>
      <c r="AO876" s="22" t="s">
        <v>2211</v>
      </c>
      <c r="AP876" s="26">
        <v>0</v>
      </c>
      <c r="AQ876" s="26">
        <f t="shared" si="153"/>
        <v>110</v>
      </c>
      <c r="AR876" s="18" t="str">
        <f ca="1">CONCATENATE(OFFSET(Sheet1!$A$2,RANDBETWEEN(2,500),0,1,1),OFFSET(Sheet1!$A$2,RANDBETWEEN(2,500),RANDBETWEEN(1,5),1,1))</f>
        <v>约翰斯顿</v>
      </c>
      <c r="AS876">
        <f>SUMPRODUCT(P876:AI876,Sheet2!$B$3:$U$3)</f>
        <v>36887</v>
      </c>
    </row>
    <row r="877" spans="1:45" x14ac:dyDescent="0.15">
      <c r="A877" s="23">
        <v>876</v>
      </c>
      <c r="B877" s="18" t="s">
        <v>1078</v>
      </c>
      <c r="C877" s="18">
        <f t="shared" si="143"/>
        <v>120</v>
      </c>
      <c r="D877" s="19">
        <f t="shared" si="144"/>
        <v>2</v>
      </c>
      <c r="E877" s="19">
        <f>VLOOKUP(MOD(A877,4),各职业基础配置!C$32:D$35,2,FALSE)</f>
        <v>1</v>
      </c>
      <c r="F877" s="19">
        <f>IF(A877&lt;900,INDEX(各职业基础配置!C$23:C$28,MOD(ROW(A877),4)+1),0)</f>
        <v>13</v>
      </c>
      <c r="G877" s="19">
        <f t="shared" si="145"/>
        <v>3</v>
      </c>
      <c r="H877" s="27">
        <f t="shared" si="146"/>
        <v>1</v>
      </c>
      <c r="I877" s="6" t="s">
        <v>164</v>
      </c>
      <c r="J877" s="23" t="str">
        <f>VLOOKUP(E877,各职业基础配置!$B$9:$C$12,2,FALSE)</f>
        <v>101|102|103|4201|105</v>
      </c>
      <c r="K877" s="18" t="str">
        <f>VLOOKUP(E877,各职业基础配置!$B$15:$C$18,2,FALSE)</f>
        <v>24|25|26|27</v>
      </c>
      <c r="L877" s="18" t="str">
        <f>VLOOKUP(E877,各职业基础配置!B:C,2,FALSE)</f>
        <v>[{24,1,1},{25,1,1},{26,1,1},{27,1,1},{1,1,1},{2,1,1},{3,1,1}]</v>
      </c>
      <c r="M877" s="18">
        <v>0</v>
      </c>
      <c r="N877" s="18">
        <f t="shared" si="147"/>
        <v>3</v>
      </c>
      <c r="O877" s="18">
        <f>SUMPRODUCT(P877:AI877,Sheet2!$B$3:$U$3)</f>
        <v>36862</v>
      </c>
      <c r="P877" s="18">
        <f>CEILING(INDEX([1]系统模型!$VD:$VD,MATCH(C877,[1]系统模型!$A:$A,0))*POWER(C877/220,3.8)-50+(1000-A877),1)</f>
        <v>399</v>
      </c>
      <c r="Q877" s="18">
        <f>CEILING(INDEX([1]系统模型!$VE:$VE,MATCH(C877,[1]系统模型!$A:$A,0))*POWER(C877/220,4),1)</f>
        <v>32</v>
      </c>
      <c r="R877" s="18">
        <f>INT(INDEX([1]系统模型!$VF:$VF,MATCH(C877,[1]系统模型!$A:$A,0))*MAX(POWER(C877/180,4),0.5))</f>
        <v>6462</v>
      </c>
      <c r="S877" s="5">
        <v>1000</v>
      </c>
      <c r="T877" s="25">
        <v>0</v>
      </c>
      <c r="U877" s="25">
        <v>0</v>
      </c>
      <c r="V877" s="25">
        <v>0</v>
      </c>
      <c r="W877" s="25">
        <v>0</v>
      </c>
      <c r="X877" s="25">
        <f t="shared" si="148"/>
        <v>323</v>
      </c>
      <c r="Y877" s="12">
        <v>0</v>
      </c>
      <c r="Z877" s="25">
        <v>100</v>
      </c>
      <c r="AA877" s="25">
        <v>150</v>
      </c>
      <c r="AB877" s="25">
        <v>0</v>
      </c>
      <c r="AC877" s="25">
        <v>0</v>
      </c>
      <c r="AD877" s="25">
        <v>0</v>
      </c>
      <c r="AE877" s="25">
        <f t="shared" si="149"/>
        <v>240</v>
      </c>
      <c r="AF877" s="25">
        <f t="shared" si="150"/>
        <v>240</v>
      </c>
      <c r="AG877" s="25">
        <v>0</v>
      </c>
      <c r="AH877" s="25">
        <f t="shared" si="151"/>
        <v>250</v>
      </c>
      <c r="AI877" s="25">
        <f t="shared" si="152"/>
        <v>5</v>
      </c>
      <c r="AJ877" s="25">
        <v>1</v>
      </c>
      <c r="AK877" s="25">
        <v>1000</v>
      </c>
      <c r="AL877" s="25">
        <v>100</v>
      </c>
      <c r="AM877" s="26">
        <v>10</v>
      </c>
      <c r="AN877" s="26">
        <v>10</v>
      </c>
      <c r="AO877" s="22" t="s">
        <v>2211</v>
      </c>
      <c r="AP877" s="26">
        <v>0</v>
      </c>
      <c r="AQ877" s="26">
        <f t="shared" si="153"/>
        <v>110</v>
      </c>
      <c r="AR877" s="18" t="str">
        <f ca="1">CONCATENATE(OFFSET(Sheet1!$A$2,RANDBETWEEN(2,500),0,1,1),OFFSET(Sheet1!$A$2,RANDBETWEEN(2,500),RANDBETWEEN(1,5),1,1))</f>
        <v>康格里夫无忧</v>
      </c>
      <c r="AS877">
        <f>SUMPRODUCT(P877:AI877,Sheet2!$B$3:$U$3)</f>
        <v>36862</v>
      </c>
    </row>
    <row r="878" spans="1:45" x14ac:dyDescent="0.15">
      <c r="A878" s="18">
        <v>877</v>
      </c>
      <c r="B878" s="18" t="s">
        <v>964</v>
      </c>
      <c r="C878" s="18">
        <f t="shared" si="143"/>
        <v>120</v>
      </c>
      <c r="D878" s="19">
        <f t="shared" si="144"/>
        <v>3</v>
      </c>
      <c r="E878" s="19">
        <f>VLOOKUP(MOD(A878,4),各职业基础配置!C$32:D$35,2,FALSE)</f>
        <v>3</v>
      </c>
      <c r="F878" s="19">
        <f>IF(A878&lt;900,INDEX(各职业基础配置!C$23:C$28,MOD(ROW(A878),4)+1),0)</f>
        <v>14</v>
      </c>
      <c r="G878" s="19">
        <f t="shared" si="145"/>
        <v>3</v>
      </c>
      <c r="H878" s="27">
        <f t="shared" si="146"/>
        <v>1</v>
      </c>
      <c r="I878" s="6" t="s">
        <v>164</v>
      </c>
      <c r="J878" s="23" t="str">
        <f>VLOOKUP(E878,各职业基础配置!$B$9:$C$12,2,FALSE)</f>
        <v>106|107|108|4201|110</v>
      </c>
      <c r="K878" s="18" t="str">
        <f>VLOOKUP(E878,各职业基础配置!$B$15:$C$18,2,FALSE)</f>
        <v>20|21|22|23</v>
      </c>
      <c r="L878" s="18" t="str">
        <f>VLOOKUP(E878,各职业基础配置!B:C,2,FALSE)</f>
        <v>[{20,1,1},{21,1,1},{22,1,1},{23,1,1},{4,1,1},{5,1,1},{6,1,1}]</v>
      </c>
      <c r="M878" s="18">
        <v>0</v>
      </c>
      <c r="N878" s="18">
        <f t="shared" si="147"/>
        <v>7</v>
      </c>
      <c r="O878" s="18">
        <f>SUMPRODUCT(P878:AI878,Sheet2!$B$3:$U$3)</f>
        <v>36837</v>
      </c>
      <c r="P878" s="18">
        <f>CEILING(INDEX([1]系统模型!$VD:$VD,MATCH(C878,[1]系统模型!$A:$A,0))*POWER(C878/220,3.8)-50+(1000-A878),1)</f>
        <v>398</v>
      </c>
      <c r="Q878" s="18">
        <f>CEILING(INDEX([1]系统模型!$VE:$VE,MATCH(C878,[1]系统模型!$A:$A,0))*POWER(C878/220,4),1)</f>
        <v>32</v>
      </c>
      <c r="R878" s="18">
        <f>INT(INDEX([1]系统模型!$VF:$VF,MATCH(C878,[1]系统模型!$A:$A,0))*MAX(POWER(C878/180,4),0.5))</f>
        <v>6462</v>
      </c>
      <c r="S878" s="5">
        <v>1000</v>
      </c>
      <c r="T878" s="25">
        <v>0</v>
      </c>
      <c r="U878" s="25">
        <v>0</v>
      </c>
      <c r="V878" s="25">
        <v>0</v>
      </c>
      <c r="W878" s="25">
        <v>0</v>
      </c>
      <c r="X878" s="25">
        <f t="shared" si="148"/>
        <v>323</v>
      </c>
      <c r="Y878" s="12">
        <v>0</v>
      </c>
      <c r="Z878" s="25">
        <v>100</v>
      </c>
      <c r="AA878" s="25">
        <v>150</v>
      </c>
      <c r="AB878" s="25">
        <v>0</v>
      </c>
      <c r="AC878" s="25">
        <v>0</v>
      </c>
      <c r="AD878" s="25">
        <v>0</v>
      </c>
      <c r="AE878" s="25">
        <f t="shared" si="149"/>
        <v>240</v>
      </c>
      <c r="AF878" s="25">
        <f t="shared" si="150"/>
        <v>240</v>
      </c>
      <c r="AG878" s="25">
        <v>0</v>
      </c>
      <c r="AH878" s="25">
        <f t="shared" si="151"/>
        <v>250</v>
      </c>
      <c r="AI878" s="25">
        <f t="shared" si="152"/>
        <v>5</v>
      </c>
      <c r="AJ878" s="25">
        <v>1</v>
      </c>
      <c r="AK878" s="25">
        <v>1000</v>
      </c>
      <c r="AL878" s="25">
        <v>100</v>
      </c>
      <c r="AM878" s="26">
        <v>10</v>
      </c>
      <c r="AN878" s="26">
        <v>10</v>
      </c>
      <c r="AO878" s="22" t="s">
        <v>2211</v>
      </c>
      <c r="AP878" s="26">
        <v>0</v>
      </c>
      <c r="AQ878" s="26">
        <f t="shared" si="153"/>
        <v>110</v>
      </c>
      <c r="AR878" s="18" t="str">
        <f ca="1">CONCATENATE(OFFSET(Sheet1!$A$2,RANDBETWEEN(2,500),0,1,1),OFFSET(Sheet1!$A$2,RANDBETWEEN(2,500),RANDBETWEEN(1,5),1,1))</f>
        <v>阿利苏珊</v>
      </c>
      <c r="AS878">
        <f>SUMPRODUCT(P878:AI878,Sheet2!$B$3:$U$3)</f>
        <v>36837</v>
      </c>
    </row>
    <row r="879" spans="1:45" x14ac:dyDescent="0.15">
      <c r="A879" s="18">
        <v>878</v>
      </c>
      <c r="B879" s="18" t="s">
        <v>347</v>
      </c>
      <c r="C879" s="18">
        <f t="shared" si="143"/>
        <v>120</v>
      </c>
      <c r="D879" s="19">
        <f t="shared" si="144"/>
        <v>2</v>
      </c>
      <c r="E879" s="19">
        <f>VLOOKUP(MOD(A879,4),各职业基础配置!C$32:D$35,2,FALSE)</f>
        <v>6</v>
      </c>
      <c r="F879" s="19">
        <f>IF(A879&lt;900,INDEX(各职业基础配置!C$23:C$28,MOD(ROW(A879),4)+1),0)</f>
        <v>16</v>
      </c>
      <c r="G879" s="19">
        <f t="shared" si="145"/>
        <v>3</v>
      </c>
      <c r="H879" s="27">
        <f t="shared" si="146"/>
        <v>1</v>
      </c>
      <c r="I879" s="6" t="s">
        <v>164</v>
      </c>
      <c r="J879" s="23" t="str">
        <f>VLOOKUP(E879,各职业基础配置!$B$9:$C$12,2,FALSE)</f>
        <v>111|112|113|4201|115</v>
      </c>
      <c r="K879" s="18" t="str">
        <f>VLOOKUP(E879,各职业基础配置!$B$15:$C$18,2,FALSE)</f>
        <v>32|33|34</v>
      </c>
      <c r="L879" s="18" t="str">
        <f>VLOOKUP(E879,各职业基础配置!B:C,2,FALSE)</f>
        <v>[{32,1,1},{33,1,1},{34,1,1},{35,1,1},{7,1,1},{8,1,1},{9,1,1}]</v>
      </c>
      <c r="M879" s="18">
        <v>0</v>
      </c>
      <c r="N879" s="18">
        <f t="shared" si="147"/>
        <v>7</v>
      </c>
      <c r="O879" s="18">
        <f>SUMPRODUCT(P879:AI879,Sheet2!$B$3:$U$3)</f>
        <v>36812</v>
      </c>
      <c r="P879" s="18">
        <f>CEILING(INDEX([1]系统模型!$VD:$VD,MATCH(C879,[1]系统模型!$A:$A,0))*POWER(C879/220,3.8)-50+(1000-A879),1)</f>
        <v>397</v>
      </c>
      <c r="Q879" s="18">
        <f>CEILING(INDEX([1]系统模型!$VE:$VE,MATCH(C879,[1]系统模型!$A:$A,0))*POWER(C879/220,4),1)</f>
        <v>32</v>
      </c>
      <c r="R879" s="18">
        <f>INT(INDEX([1]系统模型!$VF:$VF,MATCH(C879,[1]系统模型!$A:$A,0))*MAX(POWER(C879/180,4),0.5))</f>
        <v>6462</v>
      </c>
      <c r="S879" s="5">
        <v>1000</v>
      </c>
      <c r="T879" s="25">
        <v>0</v>
      </c>
      <c r="U879" s="25">
        <v>0</v>
      </c>
      <c r="V879" s="25">
        <v>0</v>
      </c>
      <c r="W879" s="25">
        <v>0</v>
      </c>
      <c r="X879" s="25">
        <f t="shared" si="148"/>
        <v>323</v>
      </c>
      <c r="Y879" s="12">
        <v>0</v>
      </c>
      <c r="Z879" s="25">
        <v>100</v>
      </c>
      <c r="AA879" s="25">
        <v>150</v>
      </c>
      <c r="AB879" s="25">
        <v>0</v>
      </c>
      <c r="AC879" s="25">
        <v>0</v>
      </c>
      <c r="AD879" s="25">
        <v>0</v>
      </c>
      <c r="AE879" s="25">
        <f t="shared" si="149"/>
        <v>240</v>
      </c>
      <c r="AF879" s="25">
        <f t="shared" si="150"/>
        <v>240</v>
      </c>
      <c r="AG879" s="25">
        <v>0</v>
      </c>
      <c r="AH879" s="25">
        <f t="shared" si="151"/>
        <v>250</v>
      </c>
      <c r="AI879" s="25">
        <f t="shared" si="152"/>
        <v>5</v>
      </c>
      <c r="AJ879" s="25">
        <v>1</v>
      </c>
      <c r="AK879" s="25">
        <v>1000</v>
      </c>
      <c r="AL879" s="25">
        <v>100</v>
      </c>
      <c r="AM879" s="26">
        <v>10</v>
      </c>
      <c r="AN879" s="26">
        <v>10</v>
      </c>
      <c r="AO879" s="22" t="s">
        <v>2211</v>
      </c>
      <c r="AP879" s="26">
        <v>0</v>
      </c>
      <c r="AQ879" s="26">
        <f t="shared" si="153"/>
        <v>110</v>
      </c>
      <c r="AR879" s="18" t="str">
        <f ca="1">CONCATENATE(OFFSET(Sheet1!$A$2,RANDBETWEEN(2,500),0,1,1),OFFSET(Sheet1!$A$2,RANDBETWEEN(2,500),RANDBETWEEN(1,5),1,1))</f>
        <v>乔治</v>
      </c>
      <c r="AS879">
        <f>SUMPRODUCT(P879:AI879,Sheet2!$B$3:$U$3)</f>
        <v>36812</v>
      </c>
    </row>
    <row r="880" spans="1:45" x14ac:dyDescent="0.15">
      <c r="A880" s="23">
        <v>879</v>
      </c>
      <c r="B880" s="18" t="s">
        <v>2158</v>
      </c>
      <c r="C880" s="18">
        <f t="shared" si="143"/>
        <v>119</v>
      </c>
      <c r="D880" s="19">
        <f t="shared" si="144"/>
        <v>3</v>
      </c>
      <c r="E880" s="19">
        <f>VLOOKUP(MOD(A880,4),各职业基础配置!C$32:D$35,2,FALSE)</f>
        <v>9</v>
      </c>
      <c r="F880" s="19">
        <f>IF(A880&lt;900,INDEX(各职业基础配置!C$23:C$28,MOD(ROW(A880),4)+1),0)</f>
        <v>8</v>
      </c>
      <c r="G880" s="19">
        <f t="shared" si="145"/>
        <v>2</v>
      </c>
      <c r="H880" s="27">
        <f t="shared" si="146"/>
        <v>1</v>
      </c>
      <c r="I880" s="6" t="s">
        <v>164</v>
      </c>
      <c r="J880" s="23" t="str">
        <f>VLOOKUP(E880,各职业基础配置!$B$9:$C$12,2,FALSE)</f>
        <v>116|117|118|4201|120</v>
      </c>
      <c r="K880" s="18" t="str">
        <f>VLOOKUP(E880,各职业基础配置!$B$15:$C$18,2,FALSE)</f>
        <v>28|29|30|31</v>
      </c>
      <c r="L880" s="18" t="str">
        <f>VLOOKUP(E880,各职业基础配置!B:C,2,FALSE)</f>
        <v>[{28,1,1},{29,1,1},{30,1,1},{31,1,1},{10,1,1},{11,1,1},{12,1,1}]</v>
      </c>
      <c r="M880" s="18">
        <v>0</v>
      </c>
      <c r="N880" s="18">
        <f t="shared" si="147"/>
        <v>3</v>
      </c>
      <c r="O880" s="18">
        <f>SUMPRODUCT(P880:AI880,Sheet2!$B$3:$U$3)</f>
        <v>35805</v>
      </c>
      <c r="P880" s="18">
        <f>CEILING(INDEX([1]系统模型!$VD:$VD,MATCH(C880,[1]系统模型!$A:$A,0))*POWER(C880/220,3.8)-50+(1000-A880),1)</f>
        <v>383</v>
      </c>
      <c r="Q880" s="18">
        <f>CEILING(INDEX([1]系统模型!$VE:$VE,MATCH(C880,[1]系统模型!$A:$A,0))*POWER(C880/220,4),1)</f>
        <v>30</v>
      </c>
      <c r="R880" s="18">
        <f>INT(INDEX([1]系统模型!$VF:$VF,MATCH(C880,[1]系统模型!$A:$A,0))*MAX(POWER(C880/180,4),0.5))</f>
        <v>6330</v>
      </c>
      <c r="S880" s="5">
        <v>1000</v>
      </c>
      <c r="T880" s="25">
        <v>0</v>
      </c>
      <c r="U880" s="25">
        <v>0</v>
      </c>
      <c r="V880" s="25">
        <v>0</v>
      </c>
      <c r="W880" s="25">
        <v>0</v>
      </c>
      <c r="X880" s="25">
        <f t="shared" si="148"/>
        <v>316</v>
      </c>
      <c r="Y880" s="12">
        <v>0</v>
      </c>
      <c r="Z880" s="25">
        <v>100</v>
      </c>
      <c r="AA880" s="25">
        <v>150</v>
      </c>
      <c r="AB880" s="25">
        <v>0</v>
      </c>
      <c r="AC880" s="25">
        <v>0</v>
      </c>
      <c r="AD880" s="25">
        <v>0</v>
      </c>
      <c r="AE880" s="25">
        <f t="shared" si="149"/>
        <v>238</v>
      </c>
      <c r="AF880" s="25">
        <f t="shared" si="150"/>
        <v>238</v>
      </c>
      <c r="AG880" s="25">
        <v>0</v>
      </c>
      <c r="AH880" s="25">
        <f t="shared" si="151"/>
        <v>175</v>
      </c>
      <c r="AI880" s="25">
        <f t="shared" si="152"/>
        <v>5</v>
      </c>
      <c r="AJ880" s="25">
        <v>1</v>
      </c>
      <c r="AK880" s="25">
        <v>1000</v>
      </c>
      <c r="AL880" s="25">
        <v>100</v>
      </c>
      <c r="AM880" s="26">
        <v>10</v>
      </c>
      <c r="AN880" s="26">
        <v>10</v>
      </c>
      <c r="AO880" s="22" t="s">
        <v>2211</v>
      </c>
      <c r="AP880" s="26">
        <v>0</v>
      </c>
      <c r="AQ880" s="26">
        <f t="shared" si="153"/>
        <v>110</v>
      </c>
      <c r="AR880" s="18" t="str">
        <f ca="1">CONCATENATE(OFFSET(Sheet1!$A$2,RANDBETWEEN(2,500),0,1,1),OFFSET(Sheet1!$A$2,RANDBETWEEN(2,500),RANDBETWEEN(1,5),1,1))</f>
        <v>赫士列特</v>
      </c>
      <c r="AS880">
        <f>SUMPRODUCT(P880:AI880,Sheet2!$B$3:$U$3)</f>
        <v>35805</v>
      </c>
    </row>
    <row r="881" spans="1:45" x14ac:dyDescent="0.15">
      <c r="A881" s="18">
        <v>880</v>
      </c>
      <c r="B881" s="18" t="s">
        <v>1057</v>
      </c>
      <c r="C881" s="18">
        <f t="shared" si="143"/>
        <v>119</v>
      </c>
      <c r="D881" s="19">
        <f t="shared" si="144"/>
        <v>2</v>
      </c>
      <c r="E881" s="19">
        <f>VLOOKUP(MOD(A881,4),各职业基础配置!C$32:D$35,2,FALSE)</f>
        <v>1</v>
      </c>
      <c r="F881" s="19">
        <f>IF(A881&lt;900,INDEX(各职业基础配置!C$23:C$28,MOD(ROW(A881),4)+1),0)</f>
        <v>13</v>
      </c>
      <c r="G881" s="19">
        <f t="shared" si="145"/>
        <v>2</v>
      </c>
      <c r="H881" s="27">
        <f t="shared" si="146"/>
        <v>1</v>
      </c>
      <c r="I881" s="6" t="s">
        <v>164</v>
      </c>
      <c r="J881" s="23" t="str">
        <f>VLOOKUP(E881,各职业基础配置!$B$9:$C$12,2,FALSE)</f>
        <v>101|102|103|4201|105</v>
      </c>
      <c r="K881" s="18" t="str">
        <f>VLOOKUP(E881,各职业基础配置!$B$15:$C$18,2,FALSE)</f>
        <v>24|25|26|27</v>
      </c>
      <c r="L881" s="18" t="str">
        <f>VLOOKUP(E881,各职业基础配置!B:C,2,FALSE)</f>
        <v>[{24,1,1},{25,1,1},{26,1,1},{27,1,1},{1,1,1},{2,1,1},{3,1,1}]</v>
      </c>
      <c r="M881" s="18">
        <v>0</v>
      </c>
      <c r="N881" s="18">
        <f t="shared" si="147"/>
        <v>3</v>
      </c>
      <c r="O881" s="18">
        <f>SUMPRODUCT(P881:AI881,Sheet2!$B$3:$U$3)</f>
        <v>35780</v>
      </c>
      <c r="P881" s="18">
        <f>CEILING(INDEX([1]系统模型!$VD:$VD,MATCH(C881,[1]系统模型!$A:$A,0))*POWER(C881/220,3.8)-50+(1000-A881),1)</f>
        <v>382</v>
      </c>
      <c r="Q881" s="18">
        <f>CEILING(INDEX([1]系统模型!$VE:$VE,MATCH(C881,[1]系统模型!$A:$A,0))*POWER(C881/220,4),1)</f>
        <v>30</v>
      </c>
      <c r="R881" s="18">
        <f>INT(INDEX([1]系统模型!$VF:$VF,MATCH(C881,[1]系统模型!$A:$A,0))*MAX(POWER(C881/180,4),0.5))</f>
        <v>6330</v>
      </c>
      <c r="S881" s="5">
        <v>1000</v>
      </c>
      <c r="T881" s="25">
        <v>0</v>
      </c>
      <c r="U881" s="25">
        <v>0</v>
      </c>
      <c r="V881" s="25">
        <v>0</v>
      </c>
      <c r="W881" s="25">
        <v>0</v>
      </c>
      <c r="X881" s="25">
        <f t="shared" si="148"/>
        <v>316</v>
      </c>
      <c r="Y881" s="12">
        <v>0</v>
      </c>
      <c r="Z881" s="25">
        <v>100</v>
      </c>
      <c r="AA881" s="25">
        <v>150</v>
      </c>
      <c r="AB881" s="25">
        <v>0</v>
      </c>
      <c r="AC881" s="25">
        <v>0</v>
      </c>
      <c r="AD881" s="25">
        <v>0</v>
      </c>
      <c r="AE881" s="25">
        <f t="shared" si="149"/>
        <v>238</v>
      </c>
      <c r="AF881" s="25">
        <f t="shared" si="150"/>
        <v>238</v>
      </c>
      <c r="AG881" s="25">
        <v>0</v>
      </c>
      <c r="AH881" s="25">
        <f t="shared" si="151"/>
        <v>175</v>
      </c>
      <c r="AI881" s="25">
        <f t="shared" si="152"/>
        <v>5</v>
      </c>
      <c r="AJ881" s="25">
        <v>1</v>
      </c>
      <c r="AK881" s="25">
        <v>1000</v>
      </c>
      <c r="AL881" s="25">
        <v>100</v>
      </c>
      <c r="AM881" s="26">
        <v>10</v>
      </c>
      <c r="AN881" s="26">
        <v>10</v>
      </c>
      <c r="AO881" s="22" t="s">
        <v>2211</v>
      </c>
      <c r="AP881" s="26">
        <v>0</v>
      </c>
      <c r="AQ881" s="26">
        <f t="shared" si="153"/>
        <v>110</v>
      </c>
      <c r="AR881" s="18" t="str">
        <f ca="1">CONCATENATE(OFFSET(Sheet1!$A$2,RANDBETWEEN(2,500),0,1,1),OFFSET(Sheet1!$A$2,RANDBETWEEN(2,500),RANDBETWEEN(1,5),1,1))</f>
        <v>阿诺德</v>
      </c>
      <c r="AS881">
        <f>SUMPRODUCT(P881:AI881,Sheet2!$B$3:$U$3)</f>
        <v>35780</v>
      </c>
    </row>
    <row r="882" spans="1:45" x14ac:dyDescent="0.15">
      <c r="A882" s="18">
        <v>881</v>
      </c>
      <c r="B882" s="18" t="s">
        <v>1151</v>
      </c>
      <c r="C882" s="18">
        <f t="shared" si="143"/>
        <v>119</v>
      </c>
      <c r="D882" s="19">
        <f t="shared" si="144"/>
        <v>3</v>
      </c>
      <c r="E882" s="19">
        <f>VLOOKUP(MOD(A882,4),各职业基础配置!C$32:D$35,2,FALSE)</f>
        <v>3</v>
      </c>
      <c r="F882" s="19">
        <f>IF(A882&lt;900,INDEX(各职业基础配置!C$23:C$28,MOD(ROW(A882),4)+1),0)</f>
        <v>14</v>
      </c>
      <c r="G882" s="19">
        <f t="shared" si="145"/>
        <v>2</v>
      </c>
      <c r="H882" s="27">
        <f t="shared" si="146"/>
        <v>1</v>
      </c>
      <c r="I882" s="6" t="s">
        <v>164</v>
      </c>
      <c r="J882" s="23" t="str">
        <f>VLOOKUP(E882,各职业基础配置!$B$9:$C$12,2,FALSE)</f>
        <v>106|107|108|4201|110</v>
      </c>
      <c r="K882" s="18" t="str">
        <f>VLOOKUP(E882,各职业基础配置!$B$15:$C$18,2,FALSE)</f>
        <v>20|21|22|23</v>
      </c>
      <c r="L882" s="18" t="str">
        <f>VLOOKUP(E882,各职业基础配置!B:C,2,FALSE)</f>
        <v>[{20,1,1},{21,1,1},{22,1,1},{23,1,1},{4,1,1},{5,1,1},{6,1,1}]</v>
      </c>
      <c r="M882" s="18">
        <v>0</v>
      </c>
      <c r="N882" s="18">
        <f t="shared" si="147"/>
        <v>7</v>
      </c>
      <c r="O882" s="18">
        <f>SUMPRODUCT(P882:AI882,Sheet2!$B$3:$U$3)</f>
        <v>35755</v>
      </c>
      <c r="P882" s="18">
        <f>CEILING(INDEX([1]系统模型!$VD:$VD,MATCH(C882,[1]系统模型!$A:$A,0))*POWER(C882/220,3.8)-50+(1000-A882),1)</f>
        <v>381</v>
      </c>
      <c r="Q882" s="18">
        <f>CEILING(INDEX([1]系统模型!$VE:$VE,MATCH(C882,[1]系统模型!$A:$A,0))*POWER(C882/220,4),1)</f>
        <v>30</v>
      </c>
      <c r="R882" s="18">
        <f>INT(INDEX([1]系统模型!$VF:$VF,MATCH(C882,[1]系统模型!$A:$A,0))*MAX(POWER(C882/180,4),0.5))</f>
        <v>6330</v>
      </c>
      <c r="S882" s="5">
        <v>1000</v>
      </c>
      <c r="T882" s="25">
        <v>0</v>
      </c>
      <c r="U882" s="25">
        <v>0</v>
      </c>
      <c r="V882" s="25">
        <v>0</v>
      </c>
      <c r="W882" s="25">
        <v>0</v>
      </c>
      <c r="X882" s="25">
        <f t="shared" si="148"/>
        <v>316</v>
      </c>
      <c r="Y882" s="12">
        <v>0</v>
      </c>
      <c r="Z882" s="25">
        <v>100</v>
      </c>
      <c r="AA882" s="25">
        <v>150</v>
      </c>
      <c r="AB882" s="25">
        <v>0</v>
      </c>
      <c r="AC882" s="25">
        <v>0</v>
      </c>
      <c r="AD882" s="25">
        <v>0</v>
      </c>
      <c r="AE882" s="25">
        <f t="shared" si="149"/>
        <v>238</v>
      </c>
      <c r="AF882" s="25">
        <f t="shared" si="150"/>
        <v>238</v>
      </c>
      <c r="AG882" s="25">
        <v>0</v>
      </c>
      <c r="AH882" s="25">
        <f t="shared" si="151"/>
        <v>175</v>
      </c>
      <c r="AI882" s="25">
        <f t="shared" si="152"/>
        <v>5</v>
      </c>
      <c r="AJ882" s="25">
        <v>1</v>
      </c>
      <c r="AK882" s="25">
        <v>1000</v>
      </c>
      <c r="AL882" s="25">
        <v>100</v>
      </c>
      <c r="AM882" s="26">
        <v>10</v>
      </c>
      <c r="AN882" s="26">
        <v>10</v>
      </c>
      <c r="AO882" s="22" t="s">
        <v>2211</v>
      </c>
      <c r="AP882" s="26">
        <v>0</v>
      </c>
      <c r="AQ882" s="26">
        <f t="shared" si="153"/>
        <v>110</v>
      </c>
      <c r="AR882" s="18" t="str">
        <f ca="1">CONCATENATE(OFFSET(Sheet1!$A$2,RANDBETWEEN(2,500),0,1,1),OFFSET(Sheet1!$A$2,RANDBETWEEN(2,500),RANDBETWEEN(1,5),1,1))</f>
        <v>巴特</v>
      </c>
      <c r="AS882">
        <f>SUMPRODUCT(P882:AI882,Sheet2!$B$3:$U$3)</f>
        <v>35755</v>
      </c>
    </row>
    <row r="883" spans="1:45" x14ac:dyDescent="0.15">
      <c r="A883" s="23">
        <v>882</v>
      </c>
      <c r="B883" s="18" t="s">
        <v>370</v>
      </c>
      <c r="C883" s="18">
        <f t="shared" si="143"/>
        <v>119</v>
      </c>
      <c r="D883" s="19">
        <f t="shared" si="144"/>
        <v>2</v>
      </c>
      <c r="E883" s="19">
        <f>VLOOKUP(MOD(A883,4),各职业基础配置!C$32:D$35,2,FALSE)</f>
        <v>6</v>
      </c>
      <c r="F883" s="19">
        <f>IF(A883&lt;900,INDEX(各职业基础配置!C$23:C$28,MOD(ROW(A883),4)+1),0)</f>
        <v>16</v>
      </c>
      <c r="G883" s="19">
        <f t="shared" si="145"/>
        <v>2</v>
      </c>
      <c r="H883" s="27">
        <f t="shared" si="146"/>
        <v>1</v>
      </c>
      <c r="I883" s="6" t="s">
        <v>164</v>
      </c>
      <c r="J883" s="23" t="str">
        <f>VLOOKUP(E883,各职业基础配置!$B$9:$C$12,2,FALSE)</f>
        <v>111|112|113|4201|115</v>
      </c>
      <c r="K883" s="18" t="str">
        <f>VLOOKUP(E883,各职业基础配置!$B$15:$C$18,2,FALSE)</f>
        <v>32|33|34</v>
      </c>
      <c r="L883" s="18" t="str">
        <f>VLOOKUP(E883,各职业基础配置!B:C,2,FALSE)</f>
        <v>[{32,1,1},{33,1,1},{34,1,1},{35,1,1},{7,1,1},{8,1,1},{9,1,1}]</v>
      </c>
      <c r="M883" s="18">
        <v>0</v>
      </c>
      <c r="N883" s="18">
        <f t="shared" si="147"/>
        <v>7</v>
      </c>
      <c r="O883" s="18">
        <f>SUMPRODUCT(P883:AI883,Sheet2!$B$3:$U$3)</f>
        <v>35730</v>
      </c>
      <c r="P883" s="18">
        <f>CEILING(INDEX([1]系统模型!$VD:$VD,MATCH(C883,[1]系统模型!$A:$A,0))*POWER(C883/220,3.8)-50+(1000-A883),1)</f>
        <v>380</v>
      </c>
      <c r="Q883" s="18">
        <f>CEILING(INDEX([1]系统模型!$VE:$VE,MATCH(C883,[1]系统模型!$A:$A,0))*POWER(C883/220,4),1)</f>
        <v>30</v>
      </c>
      <c r="R883" s="18">
        <f>INT(INDEX([1]系统模型!$VF:$VF,MATCH(C883,[1]系统模型!$A:$A,0))*MAX(POWER(C883/180,4),0.5))</f>
        <v>6330</v>
      </c>
      <c r="S883" s="5">
        <v>1000</v>
      </c>
      <c r="T883" s="25">
        <v>0</v>
      </c>
      <c r="U883" s="25">
        <v>0</v>
      </c>
      <c r="V883" s="25">
        <v>0</v>
      </c>
      <c r="W883" s="25">
        <v>0</v>
      </c>
      <c r="X883" s="25">
        <f t="shared" si="148"/>
        <v>316</v>
      </c>
      <c r="Y883" s="12">
        <v>0</v>
      </c>
      <c r="Z883" s="25">
        <v>100</v>
      </c>
      <c r="AA883" s="25">
        <v>150</v>
      </c>
      <c r="AB883" s="25">
        <v>0</v>
      </c>
      <c r="AC883" s="25">
        <v>0</v>
      </c>
      <c r="AD883" s="25">
        <v>0</v>
      </c>
      <c r="AE883" s="25">
        <f t="shared" si="149"/>
        <v>238</v>
      </c>
      <c r="AF883" s="25">
        <f t="shared" si="150"/>
        <v>238</v>
      </c>
      <c r="AG883" s="25">
        <v>0</v>
      </c>
      <c r="AH883" s="25">
        <f t="shared" si="151"/>
        <v>175</v>
      </c>
      <c r="AI883" s="25">
        <f t="shared" si="152"/>
        <v>5</v>
      </c>
      <c r="AJ883" s="25">
        <v>1</v>
      </c>
      <c r="AK883" s="25">
        <v>1000</v>
      </c>
      <c r="AL883" s="25">
        <v>100</v>
      </c>
      <c r="AM883" s="26">
        <v>10</v>
      </c>
      <c r="AN883" s="26">
        <v>10</v>
      </c>
      <c r="AO883" s="22" t="s">
        <v>2211</v>
      </c>
      <c r="AP883" s="26">
        <v>0</v>
      </c>
      <c r="AQ883" s="26">
        <f t="shared" si="153"/>
        <v>110</v>
      </c>
      <c r="AR883" s="18" t="str">
        <f ca="1">CONCATENATE(OFFSET(Sheet1!$A$2,RANDBETWEEN(2,500),0,1,1),OFFSET(Sheet1!$A$2,RANDBETWEEN(2,500),RANDBETWEEN(1,5),1,1))</f>
        <v>伊莎贝尔</v>
      </c>
      <c r="AS883">
        <f>SUMPRODUCT(P883:AI883,Sheet2!$B$3:$U$3)</f>
        <v>35730</v>
      </c>
    </row>
    <row r="884" spans="1:45" x14ac:dyDescent="0.15">
      <c r="A884" s="18">
        <v>883</v>
      </c>
      <c r="B884" s="18" t="s">
        <v>2159</v>
      </c>
      <c r="C884" s="18">
        <f t="shared" si="143"/>
        <v>119</v>
      </c>
      <c r="D884" s="19">
        <f t="shared" si="144"/>
        <v>3</v>
      </c>
      <c r="E884" s="19">
        <f>VLOOKUP(MOD(A884,4),各职业基础配置!C$32:D$35,2,FALSE)</f>
        <v>9</v>
      </c>
      <c r="F884" s="19">
        <f>IF(A884&lt;900,INDEX(各职业基础配置!C$23:C$28,MOD(ROW(A884),4)+1),0)</f>
        <v>8</v>
      </c>
      <c r="G884" s="19">
        <f t="shared" si="145"/>
        <v>2</v>
      </c>
      <c r="H884" s="27">
        <f t="shared" si="146"/>
        <v>1</v>
      </c>
      <c r="I884" s="6" t="s">
        <v>164</v>
      </c>
      <c r="J884" s="23" t="str">
        <f>VLOOKUP(E884,各职业基础配置!$B$9:$C$12,2,FALSE)</f>
        <v>116|117|118|4201|120</v>
      </c>
      <c r="K884" s="18" t="str">
        <f>VLOOKUP(E884,各职业基础配置!$B$15:$C$18,2,FALSE)</f>
        <v>28|29|30|31</v>
      </c>
      <c r="L884" s="18" t="str">
        <f>VLOOKUP(E884,各职业基础配置!B:C,2,FALSE)</f>
        <v>[{28,1,1},{29,1,1},{30,1,1},{31,1,1},{10,1,1},{11,1,1},{12,1,1}]</v>
      </c>
      <c r="M884" s="18">
        <v>0</v>
      </c>
      <c r="N884" s="18">
        <f t="shared" si="147"/>
        <v>3</v>
      </c>
      <c r="O884" s="18">
        <f>SUMPRODUCT(P884:AI884,Sheet2!$B$3:$U$3)</f>
        <v>35705</v>
      </c>
      <c r="P884" s="18">
        <f>CEILING(INDEX([1]系统模型!$VD:$VD,MATCH(C884,[1]系统模型!$A:$A,0))*POWER(C884/220,3.8)-50+(1000-A884),1)</f>
        <v>379</v>
      </c>
      <c r="Q884" s="18">
        <f>CEILING(INDEX([1]系统模型!$VE:$VE,MATCH(C884,[1]系统模型!$A:$A,0))*POWER(C884/220,4),1)</f>
        <v>30</v>
      </c>
      <c r="R884" s="18">
        <f>INT(INDEX([1]系统模型!$VF:$VF,MATCH(C884,[1]系统模型!$A:$A,0))*MAX(POWER(C884/180,4),0.5))</f>
        <v>6330</v>
      </c>
      <c r="S884" s="5">
        <v>1000</v>
      </c>
      <c r="T884" s="25">
        <v>0</v>
      </c>
      <c r="U884" s="25">
        <v>0</v>
      </c>
      <c r="V884" s="25">
        <v>0</v>
      </c>
      <c r="W884" s="25">
        <v>0</v>
      </c>
      <c r="X884" s="25">
        <f t="shared" si="148"/>
        <v>316</v>
      </c>
      <c r="Y884" s="12">
        <v>0</v>
      </c>
      <c r="Z884" s="25">
        <v>100</v>
      </c>
      <c r="AA884" s="25">
        <v>150</v>
      </c>
      <c r="AB884" s="25">
        <v>0</v>
      </c>
      <c r="AC884" s="25">
        <v>0</v>
      </c>
      <c r="AD884" s="25">
        <v>0</v>
      </c>
      <c r="AE884" s="25">
        <f t="shared" si="149"/>
        <v>238</v>
      </c>
      <c r="AF884" s="25">
        <f t="shared" si="150"/>
        <v>238</v>
      </c>
      <c r="AG884" s="25">
        <v>0</v>
      </c>
      <c r="AH884" s="25">
        <f t="shared" si="151"/>
        <v>175</v>
      </c>
      <c r="AI884" s="25">
        <f t="shared" si="152"/>
        <v>5</v>
      </c>
      <c r="AJ884" s="25">
        <v>1</v>
      </c>
      <c r="AK884" s="25">
        <v>1000</v>
      </c>
      <c r="AL884" s="25">
        <v>100</v>
      </c>
      <c r="AM884" s="26">
        <v>10</v>
      </c>
      <c r="AN884" s="26">
        <v>10</v>
      </c>
      <c r="AO884" s="22" t="s">
        <v>2211</v>
      </c>
      <c r="AP884" s="26">
        <v>0</v>
      </c>
      <c r="AQ884" s="26">
        <f t="shared" si="153"/>
        <v>100</v>
      </c>
      <c r="AR884" s="18" t="str">
        <f ca="1">CONCATENATE(OFFSET(Sheet1!$A$2,RANDBETWEEN(2,500),0,1,1),OFFSET(Sheet1!$A$2,RANDBETWEEN(2,500),RANDBETWEEN(1,5),1,1))</f>
        <v>安德鲁</v>
      </c>
      <c r="AS884">
        <f>SUMPRODUCT(P884:AI884,Sheet2!$B$3:$U$3)</f>
        <v>35705</v>
      </c>
    </row>
    <row r="885" spans="1:45" x14ac:dyDescent="0.15">
      <c r="A885" s="18">
        <v>884</v>
      </c>
      <c r="B885" s="18" t="s">
        <v>950</v>
      </c>
      <c r="C885" s="18">
        <f t="shared" si="143"/>
        <v>119</v>
      </c>
      <c r="D885" s="19">
        <f t="shared" si="144"/>
        <v>2</v>
      </c>
      <c r="E885" s="19">
        <f>VLOOKUP(MOD(A885,4),各职业基础配置!C$32:D$35,2,FALSE)</f>
        <v>1</v>
      </c>
      <c r="F885" s="19">
        <f>IF(A885&lt;900,INDEX(各职业基础配置!C$23:C$28,MOD(ROW(A885),4)+1),0)</f>
        <v>13</v>
      </c>
      <c r="G885" s="19">
        <f t="shared" si="145"/>
        <v>2</v>
      </c>
      <c r="H885" s="27">
        <f t="shared" si="146"/>
        <v>1</v>
      </c>
      <c r="I885" s="6" t="s">
        <v>164</v>
      </c>
      <c r="J885" s="23" t="str">
        <f>VLOOKUP(E885,各职业基础配置!$B$9:$C$12,2,FALSE)</f>
        <v>101|102|103|4201|105</v>
      </c>
      <c r="K885" s="18" t="str">
        <f>VLOOKUP(E885,各职业基础配置!$B$15:$C$18,2,FALSE)</f>
        <v>24|25|26|27</v>
      </c>
      <c r="L885" s="18" t="str">
        <f>VLOOKUP(E885,各职业基础配置!B:C,2,FALSE)</f>
        <v>[{24,1,1},{25,1,1},{26,1,1},{27,1,1},{1,1,1},{2,1,1},{3,1,1}]</v>
      </c>
      <c r="M885" s="18">
        <v>0</v>
      </c>
      <c r="N885" s="18">
        <f t="shared" si="147"/>
        <v>3</v>
      </c>
      <c r="O885" s="18">
        <f>SUMPRODUCT(P885:AI885,Sheet2!$B$3:$U$3)</f>
        <v>35680</v>
      </c>
      <c r="P885" s="18">
        <f>CEILING(INDEX([1]系统模型!$VD:$VD,MATCH(C885,[1]系统模型!$A:$A,0))*POWER(C885/220,3.8)-50+(1000-A885),1)</f>
        <v>378</v>
      </c>
      <c r="Q885" s="18">
        <f>CEILING(INDEX([1]系统模型!$VE:$VE,MATCH(C885,[1]系统模型!$A:$A,0))*POWER(C885/220,4),1)</f>
        <v>30</v>
      </c>
      <c r="R885" s="18">
        <f>INT(INDEX([1]系统模型!$VF:$VF,MATCH(C885,[1]系统模型!$A:$A,0))*MAX(POWER(C885/180,4),0.5))</f>
        <v>6330</v>
      </c>
      <c r="S885" s="5">
        <v>1000</v>
      </c>
      <c r="T885" s="25">
        <v>0</v>
      </c>
      <c r="U885" s="25">
        <v>0</v>
      </c>
      <c r="V885" s="25">
        <v>0</v>
      </c>
      <c r="W885" s="25">
        <v>0</v>
      </c>
      <c r="X885" s="25">
        <f t="shared" si="148"/>
        <v>316</v>
      </c>
      <c r="Y885" s="12">
        <v>0</v>
      </c>
      <c r="Z885" s="25">
        <v>100</v>
      </c>
      <c r="AA885" s="25">
        <v>150</v>
      </c>
      <c r="AB885" s="25">
        <v>0</v>
      </c>
      <c r="AC885" s="25">
        <v>0</v>
      </c>
      <c r="AD885" s="25">
        <v>0</v>
      </c>
      <c r="AE885" s="25">
        <f t="shared" si="149"/>
        <v>238</v>
      </c>
      <c r="AF885" s="25">
        <f t="shared" si="150"/>
        <v>238</v>
      </c>
      <c r="AG885" s="25">
        <v>0</v>
      </c>
      <c r="AH885" s="25">
        <f t="shared" si="151"/>
        <v>175</v>
      </c>
      <c r="AI885" s="25">
        <f t="shared" si="152"/>
        <v>5</v>
      </c>
      <c r="AJ885" s="25">
        <v>1</v>
      </c>
      <c r="AK885" s="25">
        <v>1000</v>
      </c>
      <c r="AL885" s="25">
        <v>100</v>
      </c>
      <c r="AM885" s="26">
        <v>10</v>
      </c>
      <c r="AN885" s="26">
        <v>10</v>
      </c>
      <c r="AO885" s="22" t="s">
        <v>2211</v>
      </c>
      <c r="AP885" s="26">
        <v>0</v>
      </c>
      <c r="AQ885" s="26">
        <f t="shared" si="153"/>
        <v>100</v>
      </c>
      <c r="AR885" s="18" t="str">
        <f ca="1">CONCATENATE(OFFSET(Sheet1!$A$2,RANDBETWEEN(2,500),0,1,1),OFFSET(Sheet1!$A$2,RANDBETWEEN(2,500),RANDBETWEEN(1,5),1,1))</f>
        <v>赫伯特罗伦</v>
      </c>
      <c r="AS885">
        <f>SUMPRODUCT(P885:AI885,Sheet2!$B$3:$U$3)</f>
        <v>35680</v>
      </c>
    </row>
    <row r="886" spans="1:45" x14ac:dyDescent="0.15">
      <c r="A886" s="23">
        <v>885</v>
      </c>
      <c r="B886" s="18" t="s">
        <v>1369</v>
      </c>
      <c r="C886" s="18">
        <f t="shared" si="143"/>
        <v>119</v>
      </c>
      <c r="D886" s="19">
        <f t="shared" si="144"/>
        <v>3</v>
      </c>
      <c r="E886" s="19">
        <f>VLOOKUP(MOD(A886,4),各职业基础配置!C$32:D$35,2,FALSE)</f>
        <v>3</v>
      </c>
      <c r="F886" s="19">
        <f>IF(A886&lt;900,INDEX(各职业基础配置!C$23:C$28,MOD(ROW(A886),4)+1),0)</f>
        <v>14</v>
      </c>
      <c r="G886" s="19">
        <f t="shared" si="145"/>
        <v>2</v>
      </c>
      <c r="H886" s="27">
        <f t="shared" si="146"/>
        <v>1</v>
      </c>
      <c r="I886" s="6" t="s">
        <v>164</v>
      </c>
      <c r="J886" s="23" t="str">
        <f>VLOOKUP(E886,各职业基础配置!$B$9:$C$12,2,FALSE)</f>
        <v>106|107|108|4201|110</v>
      </c>
      <c r="K886" s="18" t="str">
        <f>VLOOKUP(E886,各职业基础配置!$B$15:$C$18,2,FALSE)</f>
        <v>20|21|22|23</v>
      </c>
      <c r="L886" s="18" t="str">
        <f>VLOOKUP(E886,各职业基础配置!B:C,2,FALSE)</f>
        <v>[{20,1,1},{21,1,1},{22,1,1},{23,1,1},{4,1,1},{5,1,1},{6,1,1}]</v>
      </c>
      <c r="M886" s="18">
        <v>0</v>
      </c>
      <c r="N886" s="18">
        <f t="shared" si="147"/>
        <v>7</v>
      </c>
      <c r="O886" s="18">
        <f>SUMPRODUCT(P886:AI886,Sheet2!$B$3:$U$3)</f>
        <v>35655</v>
      </c>
      <c r="P886" s="18">
        <f>CEILING(INDEX([1]系统模型!$VD:$VD,MATCH(C886,[1]系统模型!$A:$A,0))*POWER(C886/220,3.8)-50+(1000-A886),1)</f>
        <v>377</v>
      </c>
      <c r="Q886" s="18">
        <f>CEILING(INDEX([1]系统模型!$VE:$VE,MATCH(C886,[1]系统模型!$A:$A,0))*POWER(C886/220,4),1)</f>
        <v>30</v>
      </c>
      <c r="R886" s="18">
        <f>INT(INDEX([1]系统模型!$VF:$VF,MATCH(C886,[1]系统模型!$A:$A,0))*MAX(POWER(C886/180,4),0.5))</f>
        <v>6330</v>
      </c>
      <c r="S886" s="5">
        <v>1000</v>
      </c>
      <c r="T886" s="25">
        <v>0</v>
      </c>
      <c r="U886" s="25">
        <v>0</v>
      </c>
      <c r="V886" s="25">
        <v>0</v>
      </c>
      <c r="W886" s="25">
        <v>0</v>
      </c>
      <c r="X886" s="25">
        <f t="shared" si="148"/>
        <v>316</v>
      </c>
      <c r="Y886" s="12">
        <v>0</v>
      </c>
      <c r="Z886" s="25">
        <v>100</v>
      </c>
      <c r="AA886" s="25">
        <v>150</v>
      </c>
      <c r="AB886" s="25">
        <v>0</v>
      </c>
      <c r="AC886" s="25">
        <v>0</v>
      </c>
      <c r="AD886" s="25">
        <v>0</v>
      </c>
      <c r="AE886" s="25">
        <f t="shared" si="149"/>
        <v>238</v>
      </c>
      <c r="AF886" s="25">
        <f t="shared" si="150"/>
        <v>238</v>
      </c>
      <c r="AG886" s="25">
        <v>0</v>
      </c>
      <c r="AH886" s="25">
        <f t="shared" si="151"/>
        <v>175</v>
      </c>
      <c r="AI886" s="25">
        <f t="shared" si="152"/>
        <v>5</v>
      </c>
      <c r="AJ886" s="25">
        <v>1</v>
      </c>
      <c r="AK886" s="25">
        <v>1000</v>
      </c>
      <c r="AL886" s="25">
        <v>100</v>
      </c>
      <c r="AM886" s="26">
        <v>10</v>
      </c>
      <c r="AN886" s="26">
        <v>10</v>
      </c>
      <c r="AO886" s="22" t="s">
        <v>2211</v>
      </c>
      <c r="AP886" s="26">
        <v>0</v>
      </c>
      <c r="AQ886" s="26">
        <f t="shared" si="153"/>
        <v>100</v>
      </c>
      <c r="AR886" s="18" t="str">
        <f ca="1">CONCATENATE(OFFSET(Sheet1!$A$2,RANDBETWEEN(2,500),0,1,1),OFFSET(Sheet1!$A$2,RANDBETWEEN(2,500),RANDBETWEEN(1,5),1,1))</f>
        <v>波义耳迷糊</v>
      </c>
      <c r="AS886">
        <f>SUMPRODUCT(P886:AI886,Sheet2!$B$3:$U$3)</f>
        <v>35655</v>
      </c>
    </row>
    <row r="887" spans="1:45" x14ac:dyDescent="0.15">
      <c r="A887" s="18">
        <v>886</v>
      </c>
      <c r="B887" s="18" t="s">
        <v>575</v>
      </c>
      <c r="C887" s="18">
        <f t="shared" si="143"/>
        <v>118</v>
      </c>
      <c r="D887" s="19">
        <f t="shared" si="144"/>
        <v>2</v>
      </c>
      <c r="E887" s="19">
        <f>VLOOKUP(MOD(A887,4),各职业基础配置!C$32:D$35,2,FALSE)</f>
        <v>6</v>
      </c>
      <c r="F887" s="19">
        <f>IF(A887&lt;900,INDEX(各职业基础配置!C$23:C$28,MOD(ROW(A887),4)+1),0)</f>
        <v>16</v>
      </c>
      <c r="G887" s="19">
        <f t="shared" si="145"/>
        <v>2</v>
      </c>
      <c r="H887" s="27">
        <f t="shared" si="146"/>
        <v>1</v>
      </c>
      <c r="I887" s="6" t="s">
        <v>164</v>
      </c>
      <c r="J887" s="23" t="str">
        <f>VLOOKUP(E887,各职业基础配置!$B$9:$C$12,2,FALSE)</f>
        <v>111|112|113|4201|115</v>
      </c>
      <c r="K887" s="18" t="str">
        <f>VLOOKUP(E887,各职业基础配置!$B$15:$C$18,2,FALSE)</f>
        <v>32|33|34</v>
      </c>
      <c r="L887" s="18" t="str">
        <f>VLOOKUP(E887,各职业基础配置!B:C,2,FALSE)</f>
        <v>[{32,1,1},{33,1,1},{34,1,1},{35,1,1},{7,1,1},{8,1,1},{9,1,1}]</v>
      </c>
      <c r="M887" s="18">
        <v>0</v>
      </c>
      <c r="N887" s="18">
        <f t="shared" si="147"/>
        <v>7</v>
      </c>
      <c r="O887" s="18">
        <f>SUMPRODUCT(P887:AI887,Sheet2!$B$3:$U$3)</f>
        <v>34666</v>
      </c>
      <c r="P887" s="18">
        <f>CEILING(INDEX([1]系统模型!$VD:$VD,MATCH(C887,[1]系统模型!$A:$A,0))*POWER(C887/220,3.8)-50+(1000-A887),1)</f>
        <v>363</v>
      </c>
      <c r="Q887" s="18">
        <f>CEILING(INDEX([1]系统模型!$VE:$VE,MATCH(C887,[1]系统模型!$A:$A,0))*POWER(C887/220,4),1)</f>
        <v>28</v>
      </c>
      <c r="R887" s="18">
        <f>INT(INDEX([1]系统模型!$VF:$VF,MATCH(C887,[1]系统模型!$A:$A,0))*MAX(POWER(C887/180,4),0.5))</f>
        <v>6241</v>
      </c>
      <c r="S887" s="5">
        <v>1000</v>
      </c>
      <c r="T887" s="25">
        <v>0</v>
      </c>
      <c r="U887" s="25">
        <v>0</v>
      </c>
      <c r="V887" s="25">
        <v>0</v>
      </c>
      <c r="W887" s="25">
        <v>0</v>
      </c>
      <c r="X887" s="25">
        <f t="shared" si="148"/>
        <v>312</v>
      </c>
      <c r="Y887" s="12">
        <v>0</v>
      </c>
      <c r="Z887" s="25">
        <v>100</v>
      </c>
      <c r="AA887" s="25">
        <v>150</v>
      </c>
      <c r="AB887" s="25">
        <v>0</v>
      </c>
      <c r="AC887" s="25">
        <v>0</v>
      </c>
      <c r="AD887" s="25">
        <v>0</v>
      </c>
      <c r="AE887" s="25">
        <f t="shared" si="149"/>
        <v>236</v>
      </c>
      <c r="AF887" s="25">
        <f t="shared" si="150"/>
        <v>236</v>
      </c>
      <c r="AG887" s="25">
        <v>0</v>
      </c>
      <c r="AH887" s="25">
        <f t="shared" si="151"/>
        <v>100</v>
      </c>
      <c r="AI887" s="25">
        <f t="shared" si="152"/>
        <v>4</v>
      </c>
      <c r="AJ887" s="25">
        <v>1</v>
      </c>
      <c r="AK887" s="25">
        <v>1000</v>
      </c>
      <c r="AL887" s="25">
        <v>100</v>
      </c>
      <c r="AM887" s="26">
        <v>10</v>
      </c>
      <c r="AN887" s="26">
        <v>10</v>
      </c>
      <c r="AO887" s="22" t="s">
        <v>2211</v>
      </c>
      <c r="AP887" s="26">
        <v>0</v>
      </c>
      <c r="AQ887" s="26">
        <f t="shared" si="153"/>
        <v>100</v>
      </c>
      <c r="AR887" s="18" t="str">
        <f ca="1">CONCATENATE(OFFSET(Sheet1!$A$2,RANDBETWEEN(2,500),0,1,1),OFFSET(Sheet1!$A$2,RANDBETWEEN(2,500),RANDBETWEEN(1,5),1,1))</f>
        <v>巴雷特</v>
      </c>
      <c r="AS887">
        <f>SUMPRODUCT(P887:AI887,Sheet2!$B$3:$U$3)</f>
        <v>34666</v>
      </c>
    </row>
    <row r="888" spans="1:45" x14ac:dyDescent="0.15">
      <c r="A888" s="18">
        <v>887</v>
      </c>
      <c r="B888" s="18" t="s">
        <v>2160</v>
      </c>
      <c r="C888" s="18">
        <f t="shared" si="143"/>
        <v>118</v>
      </c>
      <c r="D888" s="19">
        <f t="shared" si="144"/>
        <v>3</v>
      </c>
      <c r="E888" s="19">
        <f>VLOOKUP(MOD(A888,4),各职业基础配置!C$32:D$35,2,FALSE)</f>
        <v>9</v>
      </c>
      <c r="F888" s="19">
        <f>IF(A888&lt;900,INDEX(各职业基础配置!C$23:C$28,MOD(ROW(A888),4)+1),0)</f>
        <v>8</v>
      </c>
      <c r="G888" s="19">
        <f t="shared" si="145"/>
        <v>2</v>
      </c>
      <c r="H888" s="27">
        <f t="shared" si="146"/>
        <v>1</v>
      </c>
      <c r="I888" s="6" t="s">
        <v>164</v>
      </c>
      <c r="J888" s="23" t="str">
        <f>VLOOKUP(E888,各职业基础配置!$B$9:$C$12,2,FALSE)</f>
        <v>116|117|118|4201|120</v>
      </c>
      <c r="K888" s="18" t="str">
        <f>VLOOKUP(E888,各职业基础配置!$B$15:$C$18,2,FALSE)</f>
        <v>28|29|30|31</v>
      </c>
      <c r="L888" s="18" t="str">
        <f>VLOOKUP(E888,各职业基础配置!B:C,2,FALSE)</f>
        <v>[{28,1,1},{29,1,1},{30,1,1},{31,1,1},{10,1,1},{11,1,1},{12,1,1}]</v>
      </c>
      <c r="M888" s="18">
        <v>0</v>
      </c>
      <c r="N888" s="18">
        <f t="shared" si="147"/>
        <v>3</v>
      </c>
      <c r="O888" s="18">
        <f>SUMPRODUCT(P888:AI888,Sheet2!$B$3:$U$3)</f>
        <v>34641</v>
      </c>
      <c r="P888" s="18">
        <f>CEILING(INDEX([1]系统模型!$VD:$VD,MATCH(C888,[1]系统模型!$A:$A,0))*POWER(C888/220,3.8)-50+(1000-A888),1)</f>
        <v>362</v>
      </c>
      <c r="Q888" s="18">
        <f>CEILING(INDEX([1]系统模型!$VE:$VE,MATCH(C888,[1]系统模型!$A:$A,0))*POWER(C888/220,4),1)</f>
        <v>28</v>
      </c>
      <c r="R888" s="18">
        <f>INT(INDEX([1]系统模型!$VF:$VF,MATCH(C888,[1]系统模型!$A:$A,0))*MAX(POWER(C888/180,4),0.5))</f>
        <v>6241</v>
      </c>
      <c r="S888" s="5">
        <v>1000</v>
      </c>
      <c r="T888" s="25">
        <v>0</v>
      </c>
      <c r="U888" s="25">
        <v>0</v>
      </c>
      <c r="V888" s="25">
        <v>0</v>
      </c>
      <c r="W888" s="25">
        <v>0</v>
      </c>
      <c r="X888" s="25">
        <f t="shared" si="148"/>
        <v>312</v>
      </c>
      <c r="Y888" s="12">
        <v>0</v>
      </c>
      <c r="Z888" s="25">
        <v>100</v>
      </c>
      <c r="AA888" s="25">
        <v>150</v>
      </c>
      <c r="AB888" s="25">
        <v>0</v>
      </c>
      <c r="AC888" s="25">
        <v>0</v>
      </c>
      <c r="AD888" s="25">
        <v>0</v>
      </c>
      <c r="AE888" s="25">
        <f t="shared" si="149"/>
        <v>236</v>
      </c>
      <c r="AF888" s="25">
        <f t="shared" si="150"/>
        <v>236</v>
      </c>
      <c r="AG888" s="25">
        <v>0</v>
      </c>
      <c r="AH888" s="25">
        <f t="shared" si="151"/>
        <v>100</v>
      </c>
      <c r="AI888" s="25">
        <f t="shared" si="152"/>
        <v>4</v>
      </c>
      <c r="AJ888" s="25">
        <v>1</v>
      </c>
      <c r="AK888" s="25">
        <v>1000</v>
      </c>
      <c r="AL888" s="25">
        <v>100</v>
      </c>
      <c r="AM888" s="26">
        <v>10</v>
      </c>
      <c r="AN888" s="26">
        <v>10</v>
      </c>
      <c r="AO888" s="22" t="s">
        <v>2211</v>
      </c>
      <c r="AP888" s="26">
        <v>0</v>
      </c>
      <c r="AQ888" s="26">
        <f t="shared" si="153"/>
        <v>100</v>
      </c>
      <c r="AR888" s="18" t="str">
        <f ca="1">CONCATENATE(OFFSET(Sheet1!$A$2,RANDBETWEEN(2,500),0,1,1),OFFSET(Sheet1!$A$2,RANDBETWEEN(2,500),RANDBETWEEN(1,5),1,1))</f>
        <v>哈维</v>
      </c>
      <c r="AS888">
        <f>SUMPRODUCT(P888:AI888,Sheet2!$B$3:$U$3)</f>
        <v>34641</v>
      </c>
    </row>
    <row r="889" spans="1:45" x14ac:dyDescent="0.15">
      <c r="A889" s="23">
        <v>888</v>
      </c>
      <c r="B889" s="18" t="s">
        <v>2161</v>
      </c>
      <c r="C889" s="18">
        <f t="shared" si="143"/>
        <v>118</v>
      </c>
      <c r="D889" s="19">
        <f t="shared" si="144"/>
        <v>2</v>
      </c>
      <c r="E889" s="19">
        <f>VLOOKUP(MOD(A889,4),各职业基础配置!C$32:D$35,2,FALSE)</f>
        <v>1</v>
      </c>
      <c r="F889" s="19">
        <f>IF(A889&lt;900,INDEX(各职业基础配置!C$23:C$28,MOD(ROW(A889),4)+1),0)</f>
        <v>13</v>
      </c>
      <c r="G889" s="19">
        <f t="shared" si="145"/>
        <v>2</v>
      </c>
      <c r="H889" s="27">
        <f t="shared" si="146"/>
        <v>1</v>
      </c>
      <c r="I889" s="6" t="s">
        <v>164</v>
      </c>
      <c r="J889" s="23" t="str">
        <f>VLOOKUP(E889,各职业基础配置!$B$9:$C$12,2,FALSE)</f>
        <v>101|102|103|4201|105</v>
      </c>
      <c r="K889" s="18" t="str">
        <f>VLOOKUP(E889,各职业基础配置!$B$15:$C$18,2,FALSE)</f>
        <v>24|25|26|27</v>
      </c>
      <c r="L889" s="18" t="str">
        <f>VLOOKUP(E889,各职业基础配置!B:C,2,FALSE)</f>
        <v>[{24,1,1},{25,1,1},{26,1,1},{27,1,1},{1,1,1},{2,1,1},{3,1,1}]</v>
      </c>
      <c r="M889" s="18">
        <v>0</v>
      </c>
      <c r="N889" s="18">
        <f t="shared" si="147"/>
        <v>3</v>
      </c>
      <c r="O889" s="18">
        <f>SUMPRODUCT(P889:AI889,Sheet2!$B$3:$U$3)</f>
        <v>34616</v>
      </c>
      <c r="P889" s="18">
        <f>CEILING(INDEX([1]系统模型!$VD:$VD,MATCH(C889,[1]系统模型!$A:$A,0))*POWER(C889/220,3.8)-50+(1000-A889),1)</f>
        <v>361</v>
      </c>
      <c r="Q889" s="18">
        <f>CEILING(INDEX([1]系统模型!$VE:$VE,MATCH(C889,[1]系统模型!$A:$A,0))*POWER(C889/220,4),1)</f>
        <v>28</v>
      </c>
      <c r="R889" s="18">
        <f>INT(INDEX([1]系统模型!$VF:$VF,MATCH(C889,[1]系统模型!$A:$A,0))*MAX(POWER(C889/180,4),0.5))</f>
        <v>6241</v>
      </c>
      <c r="S889" s="5">
        <v>1000</v>
      </c>
      <c r="T889" s="25">
        <v>0</v>
      </c>
      <c r="U889" s="25">
        <v>0</v>
      </c>
      <c r="V889" s="25">
        <v>0</v>
      </c>
      <c r="W889" s="25">
        <v>0</v>
      </c>
      <c r="X889" s="25">
        <f t="shared" si="148"/>
        <v>312</v>
      </c>
      <c r="Y889" s="12">
        <v>0</v>
      </c>
      <c r="Z889" s="25">
        <v>100</v>
      </c>
      <c r="AA889" s="25">
        <v>150</v>
      </c>
      <c r="AB889" s="25">
        <v>0</v>
      </c>
      <c r="AC889" s="25">
        <v>0</v>
      </c>
      <c r="AD889" s="25">
        <v>0</v>
      </c>
      <c r="AE889" s="25">
        <f t="shared" si="149"/>
        <v>236</v>
      </c>
      <c r="AF889" s="25">
        <f t="shared" si="150"/>
        <v>236</v>
      </c>
      <c r="AG889" s="25">
        <v>0</v>
      </c>
      <c r="AH889" s="25">
        <f t="shared" si="151"/>
        <v>100</v>
      </c>
      <c r="AI889" s="25">
        <f t="shared" si="152"/>
        <v>4</v>
      </c>
      <c r="AJ889" s="25">
        <v>1</v>
      </c>
      <c r="AK889" s="25">
        <v>1000</v>
      </c>
      <c r="AL889" s="25">
        <v>100</v>
      </c>
      <c r="AM889" s="26">
        <v>10</v>
      </c>
      <c r="AN889" s="26">
        <v>10</v>
      </c>
      <c r="AO889" s="22" t="s">
        <v>2211</v>
      </c>
      <c r="AP889" s="26">
        <v>0</v>
      </c>
      <c r="AQ889" s="26">
        <f t="shared" si="153"/>
        <v>100</v>
      </c>
      <c r="AR889" s="18" t="str">
        <f ca="1">CONCATENATE(OFFSET(Sheet1!$A$2,RANDBETWEEN(2,500),0,1,1),OFFSET(Sheet1!$A$2,RANDBETWEEN(2,500),RANDBETWEEN(1,5),1,1))</f>
        <v>冈瑟</v>
      </c>
      <c r="AS889">
        <f>SUMPRODUCT(P889:AI889,Sheet2!$B$3:$U$3)</f>
        <v>34616</v>
      </c>
    </row>
    <row r="890" spans="1:45" x14ac:dyDescent="0.15">
      <c r="A890" s="18">
        <v>889</v>
      </c>
      <c r="B890" s="18" t="s">
        <v>2162</v>
      </c>
      <c r="C890" s="18">
        <f t="shared" si="143"/>
        <v>118</v>
      </c>
      <c r="D890" s="19">
        <f t="shared" si="144"/>
        <v>3</v>
      </c>
      <c r="E890" s="19">
        <f>VLOOKUP(MOD(A890,4),各职业基础配置!C$32:D$35,2,FALSE)</f>
        <v>3</v>
      </c>
      <c r="F890" s="19">
        <f>IF(A890&lt;900,INDEX(各职业基础配置!C$23:C$28,MOD(ROW(A890),4)+1),0)</f>
        <v>14</v>
      </c>
      <c r="G890" s="19">
        <f t="shared" si="145"/>
        <v>2</v>
      </c>
      <c r="H890" s="27">
        <f t="shared" si="146"/>
        <v>1</v>
      </c>
      <c r="I890" s="6" t="s">
        <v>164</v>
      </c>
      <c r="J890" s="23" t="str">
        <f>VLOOKUP(E890,各职业基础配置!$B$9:$C$12,2,FALSE)</f>
        <v>106|107|108|4201|110</v>
      </c>
      <c r="K890" s="18" t="str">
        <f>VLOOKUP(E890,各职业基础配置!$B$15:$C$18,2,FALSE)</f>
        <v>20|21|22|23</v>
      </c>
      <c r="L890" s="18" t="str">
        <f>VLOOKUP(E890,各职业基础配置!B:C,2,FALSE)</f>
        <v>[{20,1,1},{21,1,1},{22,1,1},{23,1,1},{4,1,1},{5,1,1},{6,1,1}]</v>
      </c>
      <c r="M890" s="18">
        <v>0</v>
      </c>
      <c r="N890" s="18">
        <f t="shared" si="147"/>
        <v>7</v>
      </c>
      <c r="O890" s="18">
        <f>SUMPRODUCT(P890:AI890,Sheet2!$B$3:$U$3)</f>
        <v>34591</v>
      </c>
      <c r="P890" s="18">
        <f>CEILING(INDEX([1]系统模型!$VD:$VD,MATCH(C890,[1]系统模型!$A:$A,0))*POWER(C890/220,3.8)-50+(1000-A890),1)</f>
        <v>360</v>
      </c>
      <c r="Q890" s="18">
        <f>CEILING(INDEX([1]系统模型!$VE:$VE,MATCH(C890,[1]系统模型!$A:$A,0))*POWER(C890/220,4),1)</f>
        <v>28</v>
      </c>
      <c r="R890" s="18">
        <f>INT(INDEX([1]系统模型!$VF:$VF,MATCH(C890,[1]系统模型!$A:$A,0))*MAX(POWER(C890/180,4),0.5))</f>
        <v>6241</v>
      </c>
      <c r="S890" s="5">
        <v>1000</v>
      </c>
      <c r="T890" s="25">
        <v>0</v>
      </c>
      <c r="U890" s="25">
        <v>0</v>
      </c>
      <c r="V890" s="25">
        <v>0</v>
      </c>
      <c r="W890" s="25">
        <v>0</v>
      </c>
      <c r="X890" s="25">
        <f t="shared" si="148"/>
        <v>312</v>
      </c>
      <c r="Y890" s="12">
        <v>0</v>
      </c>
      <c r="Z890" s="25">
        <v>100</v>
      </c>
      <c r="AA890" s="25">
        <v>150</v>
      </c>
      <c r="AB890" s="25">
        <v>0</v>
      </c>
      <c r="AC890" s="25">
        <v>0</v>
      </c>
      <c r="AD890" s="25">
        <v>0</v>
      </c>
      <c r="AE890" s="25">
        <f t="shared" si="149"/>
        <v>236</v>
      </c>
      <c r="AF890" s="25">
        <f t="shared" si="150"/>
        <v>236</v>
      </c>
      <c r="AG890" s="25">
        <v>0</v>
      </c>
      <c r="AH890" s="25">
        <f t="shared" si="151"/>
        <v>100</v>
      </c>
      <c r="AI890" s="25">
        <f t="shared" si="152"/>
        <v>4</v>
      </c>
      <c r="AJ890" s="25">
        <v>1</v>
      </c>
      <c r="AK890" s="25">
        <v>1000</v>
      </c>
      <c r="AL890" s="25">
        <v>100</v>
      </c>
      <c r="AM890" s="26">
        <v>10</v>
      </c>
      <c r="AN890" s="26">
        <v>10</v>
      </c>
      <c r="AO890" s="22" t="s">
        <v>2211</v>
      </c>
      <c r="AP890" s="26">
        <v>0</v>
      </c>
      <c r="AQ890" s="26">
        <f t="shared" si="153"/>
        <v>100</v>
      </c>
      <c r="AR890" s="18" t="str">
        <f ca="1">CONCATENATE(OFFSET(Sheet1!$A$2,RANDBETWEEN(2,500),0,1,1),OFFSET(Sheet1!$A$2,RANDBETWEEN(2,500),RANDBETWEEN(1,5),1,1))</f>
        <v>布洛姆菲尔德丘奇</v>
      </c>
      <c r="AS890">
        <f>SUMPRODUCT(P890:AI890,Sheet2!$B$3:$U$3)</f>
        <v>34591</v>
      </c>
    </row>
    <row r="891" spans="1:45" x14ac:dyDescent="0.15">
      <c r="A891" s="18">
        <v>890</v>
      </c>
      <c r="B891" s="18" t="s">
        <v>1284</v>
      </c>
      <c r="C891" s="18">
        <f t="shared" si="143"/>
        <v>118</v>
      </c>
      <c r="D891" s="19">
        <f t="shared" si="144"/>
        <v>2</v>
      </c>
      <c r="E891" s="19">
        <f>VLOOKUP(MOD(A891,4),各职业基础配置!C$32:D$35,2,FALSE)</f>
        <v>6</v>
      </c>
      <c r="F891" s="19">
        <f>IF(A891&lt;900,INDEX(各职业基础配置!C$23:C$28,MOD(ROW(A891),4)+1),0)</f>
        <v>16</v>
      </c>
      <c r="G891" s="19">
        <f t="shared" si="145"/>
        <v>2</v>
      </c>
      <c r="H891" s="27">
        <f t="shared" si="146"/>
        <v>1</v>
      </c>
      <c r="I891" s="6" t="s">
        <v>164</v>
      </c>
      <c r="J891" s="23" t="str">
        <f>VLOOKUP(E891,各职业基础配置!$B$9:$C$12,2,FALSE)</f>
        <v>111|112|113|4201|115</v>
      </c>
      <c r="K891" s="18" t="str">
        <f>VLOOKUP(E891,各职业基础配置!$B$15:$C$18,2,FALSE)</f>
        <v>32|33|34</v>
      </c>
      <c r="L891" s="18" t="str">
        <f>VLOOKUP(E891,各职业基础配置!B:C,2,FALSE)</f>
        <v>[{32,1,1},{33,1,1},{34,1,1},{35,1,1},{7,1,1},{8,1,1},{9,1,1}]</v>
      </c>
      <c r="M891" s="18">
        <v>0</v>
      </c>
      <c r="N891" s="18">
        <f t="shared" si="147"/>
        <v>7</v>
      </c>
      <c r="O891" s="18">
        <f>SUMPRODUCT(P891:AI891,Sheet2!$B$3:$U$3)</f>
        <v>34566</v>
      </c>
      <c r="P891" s="18">
        <f>CEILING(INDEX([1]系统模型!$VD:$VD,MATCH(C891,[1]系统模型!$A:$A,0))*POWER(C891/220,3.8)-50+(1000-A891),1)</f>
        <v>359</v>
      </c>
      <c r="Q891" s="18">
        <f>CEILING(INDEX([1]系统模型!$VE:$VE,MATCH(C891,[1]系统模型!$A:$A,0))*POWER(C891/220,4),1)</f>
        <v>28</v>
      </c>
      <c r="R891" s="18">
        <f>INT(INDEX([1]系统模型!$VF:$VF,MATCH(C891,[1]系统模型!$A:$A,0))*MAX(POWER(C891/180,4),0.5))</f>
        <v>6241</v>
      </c>
      <c r="S891" s="5">
        <v>1000</v>
      </c>
      <c r="T891" s="25">
        <v>0</v>
      </c>
      <c r="U891" s="25">
        <v>0</v>
      </c>
      <c r="V891" s="25">
        <v>0</v>
      </c>
      <c r="W891" s="25">
        <v>0</v>
      </c>
      <c r="X891" s="25">
        <f t="shared" si="148"/>
        <v>312</v>
      </c>
      <c r="Y891" s="12">
        <v>0</v>
      </c>
      <c r="Z891" s="25">
        <v>100</v>
      </c>
      <c r="AA891" s="25">
        <v>150</v>
      </c>
      <c r="AB891" s="25">
        <v>0</v>
      </c>
      <c r="AC891" s="25">
        <v>0</v>
      </c>
      <c r="AD891" s="25">
        <v>0</v>
      </c>
      <c r="AE891" s="25">
        <f t="shared" si="149"/>
        <v>236</v>
      </c>
      <c r="AF891" s="25">
        <f t="shared" si="150"/>
        <v>236</v>
      </c>
      <c r="AG891" s="25">
        <v>0</v>
      </c>
      <c r="AH891" s="25">
        <f t="shared" si="151"/>
        <v>100</v>
      </c>
      <c r="AI891" s="25">
        <f t="shared" si="152"/>
        <v>4</v>
      </c>
      <c r="AJ891" s="25">
        <v>1</v>
      </c>
      <c r="AK891" s="25">
        <v>1000</v>
      </c>
      <c r="AL891" s="25">
        <v>100</v>
      </c>
      <c r="AM891" s="26">
        <v>10</v>
      </c>
      <c r="AN891" s="26">
        <v>10</v>
      </c>
      <c r="AO891" s="22" t="s">
        <v>2211</v>
      </c>
      <c r="AP891" s="26">
        <v>0</v>
      </c>
      <c r="AQ891" s="26">
        <f t="shared" si="153"/>
        <v>100</v>
      </c>
      <c r="AR891" s="18" t="str">
        <f ca="1">CONCATENATE(OFFSET(Sheet1!$A$2,RANDBETWEEN(2,500),0,1,1),OFFSET(Sheet1!$A$2,RANDBETWEEN(2,500),RANDBETWEEN(1,5),1,1))</f>
        <v>克罗夫特小诺</v>
      </c>
      <c r="AS891">
        <f>SUMPRODUCT(P891:AI891,Sheet2!$B$3:$U$3)</f>
        <v>34566</v>
      </c>
    </row>
    <row r="892" spans="1:45" x14ac:dyDescent="0.15">
      <c r="A892" s="23">
        <v>891</v>
      </c>
      <c r="B892" s="18" t="s">
        <v>2163</v>
      </c>
      <c r="C892" s="18">
        <f t="shared" si="143"/>
        <v>118</v>
      </c>
      <c r="D892" s="19">
        <f t="shared" si="144"/>
        <v>3</v>
      </c>
      <c r="E892" s="19">
        <f>VLOOKUP(MOD(A892,4),各职业基础配置!C$32:D$35,2,FALSE)</f>
        <v>9</v>
      </c>
      <c r="F892" s="19">
        <f>IF(A892&lt;900,INDEX(各职业基础配置!C$23:C$28,MOD(ROW(A892),4)+1),0)</f>
        <v>8</v>
      </c>
      <c r="G892" s="19">
        <f t="shared" si="145"/>
        <v>2</v>
      </c>
      <c r="H892" s="27">
        <f t="shared" si="146"/>
        <v>1</v>
      </c>
      <c r="I892" s="6" t="s">
        <v>164</v>
      </c>
      <c r="J892" s="23" t="str">
        <f>VLOOKUP(E892,各职业基础配置!$B$9:$C$12,2,FALSE)</f>
        <v>116|117|118|4201|120</v>
      </c>
      <c r="K892" s="18" t="str">
        <f>VLOOKUP(E892,各职业基础配置!$B$15:$C$18,2,FALSE)</f>
        <v>28|29|30|31</v>
      </c>
      <c r="L892" s="18" t="str">
        <f>VLOOKUP(E892,各职业基础配置!B:C,2,FALSE)</f>
        <v>[{28,1,1},{29,1,1},{30,1,1},{31,1,1},{10,1,1},{11,1,1},{12,1,1}]</v>
      </c>
      <c r="M892" s="18">
        <v>0</v>
      </c>
      <c r="N892" s="18">
        <f t="shared" si="147"/>
        <v>3</v>
      </c>
      <c r="O892" s="18">
        <f>SUMPRODUCT(P892:AI892,Sheet2!$B$3:$U$3)</f>
        <v>34541</v>
      </c>
      <c r="P892" s="18">
        <f>CEILING(INDEX([1]系统模型!$VD:$VD,MATCH(C892,[1]系统模型!$A:$A,0))*POWER(C892/220,3.8)-50+(1000-A892),1)</f>
        <v>358</v>
      </c>
      <c r="Q892" s="18">
        <f>CEILING(INDEX([1]系统模型!$VE:$VE,MATCH(C892,[1]系统模型!$A:$A,0))*POWER(C892/220,4),1)</f>
        <v>28</v>
      </c>
      <c r="R892" s="18">
        <f>INT(INDEX([1]系统模型!$VF:$VF,MATCH(C892,[1]系统模型!$A:$A,0))*MAX(POWER(C892/180,4),0.5))</f>
        <v>6241</v>
      </c>
      <c r="S892" s="5">
        <v>1000</v>
      </c>
      <c r="T892" s="25">
        <v>0</v>
      </c>
      <c r="U892" s="25">
        <v>0</v>
      </c>
      <c r="V892" s="25">
        <v>0</v>
      </c>
      <c r="W892" s="25">
        <v>0</v>
      </c>
      <c r="X892" s="25">
        <f t="shared" si="148"/>
        <v>312</v>
      </c>
      <c r="Y892" s="12">
        <v>0</v>
      </c>
      <c r="Z892" s="25">
        <v>100</v>
      </c>
      <c r="AA892" s="25">
        <v>150</v>
      </c>
      <c r="AB892" s="25">
        <v>0</v>
      </c>
      <c r="AC892" s="25">
        <v>0</v>
      </c>
      <c r="AD892" s="25">
        <v>0</v>
      </c>
      <c r="AE892" s="25">
        <f t="shared" si="149"/>
        <v>236</v>
      </c>
      <c r="AF892" s="25">
        <f t="shared" si="150"/>
        <v>236</v>
      </c>
      <c r="AG892" s="25">
        <v>0</v>
      </c>
      <c r="AH892" s="25">
        <f t="shared" si="151"/>
        <v>100</v>
      </c>
      <c r="AI892" s="25">
        <f t="shared" si="152"/>
        <v>4</v>
      </c>
      <c r="AJ892" s="25">
        <v>1</v>
      </c>
      <c r="AK892" s="25">
        <v>1000</v>
      </c>
      <c r="AL892" s="25">
        <v>100</v>
      </c>
      <c r="AM892" s="26">
        <v>10</v>
      </c>
      <c r="AN892" s="26">
        <v>10</v>
      </c>
      <c r="AO892" s="22" t="s">
        <v>2211</v>
      </c>
      <c r="AP892" s="26">
        <v>0</v>
      </c>
      <c r="AQ892" s="26">
        <f t="shared" si="153"/>
        <v>100</v>
      </c>
      <c r="AR892" s="18" t="str">
        <f ca="1">CONCATENATE(OFFSET(Sheet1!$A$2,RANDBETWEEN(2,500),0,1,1),OFFSET(Sheet1!$A$2,RANDBETWEEN(2,500),RANDBETWEEN(1,5),1,1))</f>
        <v>埃迪</v>
      </c>
      <c r="AS892">
        <f>SUMPRODUCT(P892:AI892,Sheet2!$B$3:$U$3)</f>
        <v>34541</v>
      </c>
    </row>
    <row r="893" spans="1:45" x14ac:dyDescent="0.15">
      <c r="A893" s="18">
        <v>892</v>
      </c>
      <c r="B893" s="18" t="s">
        <v>421</v>
      </c>
      <c r="C893" s="18">
        <f t="shared" si="143"/>
        <v>117</v>
      </c>
      <c r="D893" s="19">
        <f t="shared" si="144"/>
        <v>2</v>
      </c>
      <c r="E893" s="19">
        <f>VLOOKUP(MOD(A893,4),各职业基础配置!C$32:D$35,2,FALSE)</f>
        <v>1</v>
      </c>
      <c r="F893" s="19">
        <f>IF(A893&lt;900,INDEX(各职业基础配置!C$23:C$28,MOD(ROW(A893),4)+1),0)</f>
        <v>13</v>
      </c>
      <c r="G893" s="19">
        <f t="shared" si="145"/>
        <v>2</v>
      </c>
      <c r="H893" s="27">
        <f t="shared" si="146"/>
        <v>1</v>
      </c>
      <c r="I893" s="6" t="s">
        <v>164</v>
      </c>
      <c r="J893" s="23" t="str">
        <f>VLOOKUP(E893,各职业基础配置!$B$9:$C$12,2,FALSE)</f>
        <v>101|102|103|4201|105</v>
      </c>
      <c r="K893" s="18" t="str">
        <f>VLOOKUP(E893,各职业基础配置!$B$15:$C$18,2,FALSE)</f>
        <v>24|25|26|27</v>
      </c>
      <c r="L893" s="18" t="str">
        <f>VLOOKUP(E893,各职业基础配置!B:C,2,FALSE)</f>
        <v>[{24,1,1},{25,1,1},{26,1,1},{27,1,1},{1,1,1},{2,1,1},{3,1,1}]</v>
      </c>
      <c r="M893" s="18">
        <v>0</v>
      </c>
      <c r="N893" s="18">
        <f t="shared" si="147"/>
        <v>3</v>
      </c>
      <c r="O893" s="18">
        <f>SUMPRODUCT(P893:AI893,Sheet2!$B$3:$U$3)</f>
        <v>33685</v>
      </c>
      <c r="P893" s="18">
        <f>CEILING(INDEX([1]系统模型!$VD:$VD,MATCH(C893,[1]系统模型!$A:$A,0))*POWER(C893/220,3.8)-50+(1000-A893),1)</f>
        <v>346</v>
      </c>
      <c r="Q893" s="18">
        <f>CEILING(INDEX([1]系统模型!$VE:$VE,MATCH(C893,[1]系统模型!$A:$A,0))*POWER(C893/220,4),1)</f>
        <v>27</v>
      </c>
      <c r="R893" s="18">
        <f>INT(INDEX([1]系统模型!$VF:$VF,MATCH(C893,[1]系统模型!$A:$A,0))*MAX(POWER(C893/180,4),0.5))</f>
        <v>6185</v>
      </c>
      <c r="S893" s="5">
        <v>1000</v>
      </c>
      <c r="T893" s="25">
        <v>0</v>
      </c>
      <c r="U893" s="25">
        <v>0</v>
      </c>
      <c r="V893" s="25">
        <v>0</v>
      </c>
      <c r="W893" s="25">
        <v>0</v>
      </c>
      <c r="X893" s="25">
        <f t="shared" si="148"/>
        <v>309</v>
      </c>
      <c r="Y893" s="12">
        <v>0</v>
      </c>
      <c r="Z893" s="25">
        <v>100</v>
      </c>
      <c r="AA893" s="25">
        <v>150</v>
      </c>
      <c r="AB893" s="25">
        <v>0</v>
      </c>
      <c r="AC893" s="25">
        <v>0</v>
      </c>
      <c r="AD893" s="25">
        <v>0</v>
      </c>
      <c r="AE893" s="25">
        <f t="shared" si="149"/>
        <v>234</v>
      </c>
      <c r="AF893" s="25">
        <f t="shared" si="150"/>
        <v>234</v>
      </c>
      <c r="AG893" s="25">
        <v>0</v>
      </c>
      <c r="AH893" s="25">
        <f t="shared" si="151"/>
        <v>25</v>
      </c>
      <c r="AI893" s="25">
        <f t="shared" si="152"/>
        <v>4</v>
      </c>
      <c r="AJ893" s="25">
        <v>1</v>
      </c>
      <c r="AK893" s="25">
        <v>1000</v>
      </c>
      <c r="AL893" s="25">
        <v>100</v>
      </c>
      <c r="AM893" s="26">
        <v>10</v>
      </c>
      <c r="AN893" s="26">
        <v>10</v>
      </c>
      <c r="AO893" s="22" t="s">
        <v>2211</v>
      </c>
      <c r="AP893" s="26">
        <v>0</v>
      </c>
      <c r="AQ893" s="26">
        <f t="shared" si="153"/>
        <v>100</v>
      </c>
      <c r="AR893" s="18" t="str">
        <f ca="1">CONCATENATE(OFFSET(Sheet1!$A$2,RANDBETWEEN(2,500),0,1,1),OFFSET(Sheet1!$A$2,RANDBETWEEN(2,500),RANDBETWEEN(1,5),1,1))</f>
        <v>科尔里奇蒙莉萨</v>
      </c>
      <c r="AS893">
        <f>SUMPRODUCT(P893:AI893,Sheet2!$B$3:$U$3)</f>
        <v>33685</v>
      </c>
    </row>
    <row r="894" spans="1:45" x14ac:dyDescent="0.15">
      <c r="A894" s="18">
        <v>893</v>
      </c>
      <c r="B894" s="18" t="s">
        <v>1273</v>
      </c>
      <c r="C894" s="18">
        <f t="shared" si="143"/>
        <v>117</v>
      </c>
      <c r="D894" s="19">
        <f t="shared" si="144"/>
        <v>3</v>
      </c>
      <c r="E894" s="19">
        <f>VLOOKUP(MOD(A894,4),各职业基础配置!C$32:D$35,2,FALSE)</f>
        <v>3</v>
      </c>
      <c r="F894" s="19">
        <f>IF(A894&lt;900,INDEX(各职业基础配置!C$23:C$28,MOD(ROW(A894),4)+1),0)</f>
        <v>14</v>
      </c>
      <c r="G894" s="19">
        <f t="shared" si="145"/>
        <v>2</v>
      </c>
      <c r="H894" s="27">
        <f t="shared" si="146"/>
        <v>1</v>
      </c>
      <c r="I894" s="6" t="s">
        <v>164</v>
      </c>
      <c r="J894" s="23" t="str">
        <f>VLOOKUP(E894,各职业基础配置!$B$9:$C$12,2,FALSE)</f>
        <v>106|107|108|4201|110</v>
      </c>
      <c r="K894" s="18" t="str">
        <f>VLOOKUP(E894,各职业基础配置!$B$15:$C$18,2,FALSE)</f>
        <v>20|21|22|23</v>
      </c>
      <c r="L894" s="18" t="str">
        <f>VLOOKUP(E894,各职业基础配置!B:C,2,FALSE)</f>
        <v>[{20,1,1},{21,1,1},{22,1,1},{23,1,1},{4,1,1},{5,1,1},{6,1,1}]</v>
      </c>
      <c r="M894" s="18">
        <v>0</v>
      </c>
      <c r="N894" s="18">
        <f t="shared" si="147"/>
        <v>7</v>
      </c>
      <c r="O894" s="18">
        <f>SUMPRODUCT(P894:AI894,Sheet2!$B$3:$U$3)</f>
        <v>33660</v>
      </c>
      <c r="P894" s="18">
        <f>CEILING(INDEX([1]系统模型!$VD:$VD,MATCH(C894,[1]系统模型!$A:$A,0))*POWER(C894/220,3.8)-50+(1000-A894),1)</f>
        <v>345</v>
      </c>
      <c r="Q894" s="18">
        <f>CEILING(INDEX([1]系统模型!$VE:$VE,MATCH(C894,[1]系统模型!$A:$A,0))*POWER(C894/220,4),1)</f>
        <v>27</v>
      </c>
      <c r="R894" s="18">
        <f>INT(INDEX([1]系统模型!$VF:$VF,MATCH(C894,[1]系统模型!$A:$A,0))*MAX(POWER(C894/180,4),0.5))</f>
        <v>6185</v>
      </c>
      <c r="S894" s="5">
        <v>1000</v>
      </c>
      <c r="T894" s="25">
        <v>0</v>
      </c>
      <c r="U894" s="25">
        <v>0</v>
      </c>
      <c r="V894" s="25">
        <v>0</v>
      </c>
      <c r="W894" s="25">
        <v>0</v>
      </c>
      <c r="X894" s="25">
        <f t="shared" si="148"/>
        <v>309</v>
      </c>
      <c r="Y894" s="12">
        <v>0</v>
      </c>
      <c r="Z894" s="25">
        <v>100</v>
      </c>
      <c r="AA894" s="25">
        <v>150</v>
      </c>
      <c r="AB894" s="25">
        <v>0</v>
      </c>
      <c r="AC894" s="25">
        <v>0</v>
      </c>
      <c r="AD894" s="25">
        <v>0</v>
      </c>
      <c r="AE894" s="25">
        <f t="shared" si="149"/>
        <v>234</v>
      </c>
      <c r="AF894" s="25">
        <f t="shared" si="150"/>
        <v>234</v>
      </c>
      <c r="AG894" s="25">
        <v>0</v>
      </c>
      <c r="AH894" s="25">
        <f t="shared" si="151"/>
        <v>25</v>
      </c>
      <c r="AI894" s="25">
        <f t="shared" si="152"/>
        <v>4</v>
      </c>
      <c r="AJ894" s="25">
        <v>1</v>
      </c>
      <c r="AK894" s="25">
        <v>1000</v>
      </c>
      <c r="AL894" s="25">
        <v>100</v>
      </c>
      <c r="AM894" s="26">
        <v>10</v>
      </c>
      <c r="AN894" s="26">
        <v>10</v>
      </c>
      <c r="AO894" s="22" t="s">
        <v>2211</v>
      </c>
      <c r="AP894" s="26">
        <v>0</v>
      </c>
      <c r="AQ894" s="26">
        <f t="shared" si="153"/>
        <v>90</v>
      </c>
      <c r="AR894" s="18" t="str">
        <f ca="1">CONCATENATE(OFFSET(Sheet1!$A$2,RANDBETWEEN(2,500),0,1,1),OFFSET(Sheet1!$A$2,RANDBETWEEN(2,500),RANDBETWEEN(1,5),1,1))</f>
        <v>布赖特泰莉萨</v>
      </c>
      <c r="AS894">
        <f>SUMPRODUCT(P894:AI894,Sheet2!$B$3:$U$3)</f>
        <v>33660</v>
      </c>
    </row>
    <row r="895" spans="1:45" x14ac:dyDescent="0.15">
      <c r="A895" s="23">
        <v>894</v>
      </c>
      <c r="B895" s="18" t="s">
        <v>1253</v>
      </c>
      <c r="C895" s="18">
        <f t="shared" si="143"/>
        <v>117</v>
      </c>
      <c r="D895" s="19">
        <f t="shared" si="144"/>
        <v>2</v>
      </c>
      <c r="E895" s="19">
        <f>VLOOKUP(MOD(A895,4),各职业基础配置!C$32:D$35,2,FALSE)</f>
        <v>6</v>
      </c>
      <c r="F895" s="19">
        <f>IF(A895&lt;900,INDEX(各职业基础配置!C$23:C$28,MOD(ROW(A895),4)+1),0)</f>
        <v>16</v>
      </c>
      <c r="G895" s="19">
        <f t="shared" si="145"/>
        <v>2</v>
      </c>
      <c r="H895" s="27">
        <f t="shared" si="146"/>
        <v>1</v>
      </c>
      <c r="I895" s="6" t="s">
        <v>164</v>
      </c>
      <c r="J895" s="23" t="str">
        <f>VLOOKUP(E895,各职业基础配置!$B$9:$C$12,2,FALSE)</f>
        <v>111|112|113|4201|115</v>
      </c>
      <c r="K895" s="18" t="str">
        <f>VLOOKUP(E895,各职业基础配置!$B$15:$C$18,2,FALSE)</f>
        <v>32|33|34</v>
      </c>
      <c r="L895" s="18" t="str">
        <f>VLOOKUP(E895,各职业基础配置!B:C,2,FALSE)</f>
        <v>[{32,1,1},{33,1,1},{34,1,1},{35,1,1},{7,1,1},{8,1,1},{9,1,1}]</v>
      </c>
      <c r="M895" s="18">
        <v>0</v>
      </c>
      <c r="N895" s="18">
        <f t="shared" si="147"/>
        <v>7</v>
      </c>
      <c r="O895" s="18">
        <f>SUMPRODUCT(P895:AI895,Sheet2!$B$3:$U$3)</f>
        <v>33635</v>
      </c>
      <c r="P895" s="18">
        <f>CEILING(INDEX([1]系统模型!$VD:$VD,MATCH(C895,[1]系统模型!$A:$A,0))*POWER(C895/220,3.8)-50+(1000-A895),1)</f>
        <v>344</v>
      </c>
      <c r="Q895" s="18">
        <f>CEILING(INDEX([1]系统模型!$VE:$VE,MATCH(C895,[1]系统模型!$A:$A,0))*POWER(C895/220,4),1)</f>
        <v>27</v>
      </c>
      <c r="R895" s="18">
        <f>INT(INDEX([1]系统模型!$VF:$VF,MATCH(C895,[1]系统模型!$A:$A,0))*MAX(POWER(C895/180,4),0.5))</f>
        <v>6185</v>
      </c>
      <c r="S895" s="5">
        <v>1000</v>
      </c>
      <c r="T895" s="25">
        <v>0</v>
      </c>
      <c r="U895" s="25">
        <v>0</v>
      </c>
      <c r="V895" s="25">
        <v>0</v>
      </c>
      <c r="W895" s="25">
        <v>0</v>
      </c>
      <c r="X895" s="25">
        <f t="shared" si="148"/>
        <v>309</v>
      </c>
      <c r="Y895" s="12">
        <v>0</v>
      </c>
      <c r="Z895" s="25">
        <v>100</v>
      </c>
      <c r="AA895" s="25">
        <v>150</v>
      </c>
      <c r="AB895" s="25">
        <v>0</v>
      </c>
      <c r="AC895" s="25">
        <v>0</v>
      </c>
      <c r="AD895" s="25">
        <v>0</v>
      </c>
      <c r="AE895" s="25">
        <f t="shared" si="149"/>
        <v>234</v>
      </c>
      <c r="AF895" s="25">
        <f t="shared" si="150"/>
        <v>234</v>
      </c>
      <c r="AG895" s="25">
        <v>0</v>
      </c>
      <c r="AH895" s="25">
        <f t="shared" si="151"/>
        <v>25</v>
      </c>
      <c r="AI895" s="25">
        <f t="shared" si="152"/>
        <v>4</v>
      </c>
      <c r="AJ895" s="25">
        <v>1</v>
      </c>
      <c r="AK895" s="25">
        <v>1000</v>
      </c>
      <c r="AL895" s="25">
        <v>100</v>
      </c>
      <c r="AM895" s="26">
        <v>10</v>
      </c>
      <c r="AN895" s="26">
        <v>10</v>
      </c>
      <c r="AO895" s="22" t="s">
        <v>2211</v>
      </c>
      <c r="AP895" s="26">
        <v>0</v>
      </c>
      <c r="AQ895" s="26">
        <f t="shared" si="153"/>
        <v>90</v>
      </c>
      <c r="AR895" s="18" t="str">
        <f ca="1">CONCATENATE(OFFSET(Sheet1!$A$2,RANDBETWEEN(2,500),0,1,1),OFFSET(Sheet1!$A$2,RANDBETWEEN(2,500),RANDBETWEEN(1,5),1,1))</f>
        <v>安娜</v>
      </c>
      <c r="AS895">
        <f>SUMPRODUCT(P895:AI895,Sheet2!$B$3:$U$3)</f>
        <v>33635</v>
      </c>
    </row>
    <row r="896" spans="1:45" x14ac:dyDescent="0.15">
      <c r="A896" s="18">
        <v>895</v>
      </c>
      <c r="B896" s="18" t="s">
        <v>972</v>
      </c>
      <c r="C896" s="18">
        <f t="shared" si="143"/>
        <v>117</v>
      </c>
      <c r="D896" s="19">
        <f t="shared" si="144"/>
        <v>3</v>
      </c>
      <c r="E896" s="19">
        <f>VLOOKUP(MOD(A896,4),各职业基础配置!C$32:D$35,2,FALSE)</f>
        <v>9</v>
      </c>
      <c r="F896" s="19">
        <f>IF(A896&lt;900,INDEX(各职业基础配置!C$23:C$28,MOD(ROW(A896),4)+1),0)</f>
        <v>8</v>
      </c>
      <c r="G896" s="19">
        <f t="shared" si="145"/>
        <v>2</v>
      </c>
      <c r="H896" s="27">
        <f t="shared" si="146"/>
        <v>1</v>
      </c>
      <c r="I896" s="6" t="s">
        <v>164</v>
      </c>
      <c r="J896" s="23" t="str">
        <f>VLOOKUP(E896,各职业基础配置!$B$9:$C$12,2,FALSE)</f>
        <v>116|117|118|4201|120</v>
      </c>
      <c r="K896" s="18" t="str">
        <f>VLOOKUP(E896,各职业基础配置!$B$15:$C$18,2,FALSE)</f>
        <v>28|29|30|31</v>
      </c>
      <c r="L896" s="18" t="str">
        <f>VLOOKUP(E896,各职业基础配置!B:C,2,FALSE)</f>
        <v>[{28,1,1},{29,1,1},{30,1,1},{31,1,1},{10,1,1},{11,1,1},{12,1,1}]</v>
      </c>
      <c r="M896" s="18">
        <v>0</v>
      </c>
      <c r="N896" s="18">
        <f t="shared" si="147"/>
        <v>3</v>
      </c>
      <c r="O896" s="18">
        <f>SUMPRODUCT(P896:AI896,Sheet2!$B$3:$U$3)</f>
        <v>33610</v>
      </c>
      <c r="P896" s="18">
        <f>CEILING(INDEX([1]系统模型!$VD:$VD,MATCH(C896,[1]系统模型!$A:$A,0))*POWER(C896/220,3.8)-50+(1000-A896),1)</f>
        <v>343</v>
      </c>
      <c r="Q896" s="18">
        <f>CEILING(INDEX([1]系统模型!$VE:$VE,MATCH(C896,[1]系统模型!$A:$A,0))*POWER(C896/220,4),1)</f>
        <v>27</v>
      </c>
      <c r="R896" s="18">
        <f>INT(INDEX([1]系统模型!$VF:$VF,MATCH(C896,[1]系统模型!$A:$A,0))*MAX(POWER(C896/180,4),0.5))</f>
        <v>6185</v>
      </c>
      <c r="S896" s="5">
        <v>1000</v>
      </c>
      <c r="T896" s="25">
        <v>0</v>
      </c>
      <c r="U896" s="25">
        <v>0</v>
      </c>
      <c r="V896" s="25">
        <v>0</v>
      </c>
      <c r="W896" s="25">
        <v>0</v>
      </c>
      <c r="X896" s="25">
        <f t="shared" si="148"/>
        <v>309</v>
      </c>
      <c r="Y896" s="12">
        <v>0</v>
      </c>
      <c r="Z896" s="25">
        <v>100</v>
      </c>
      <c r="AA896" s="25">
        <v>150</v>
      </c>
      <c r="AB896" s="25">
        <v>0</v>
      </c>
      <c r="AC896" s="25">
        <v>0</v>
      </c>
      <c r="AD896" s="25">
        <v>0</v>
      </c>
      <c r="AE896" s="25">
        <f t="shared" si="149"/>
        <v>234</v>
      </c>
      <c r="AF896" s="25">
        <f t="shared" si="150"/>
        <v>234</v>
      </c>
      <c r="AG896" s="25">
        <v>0</v>
      </c>
      <c r="AH896" s="25">
        <f t="shared" si="151"/>
        <v>25</v>
      </c>
      <c r="AI896" s="25">
        <f t="shared" si="152"/>
        <v>4</v>
      </c>
      <c r="AJ896" s="25">
        <v>1</v>
      </c>
      <c r="AK896" s="25">
        <v>1000</v>
      </c>
      <c r="AL896" s="25">
        <v>100</v>
      </c>
      <c r="AM896" s="26">
        <v>10</v>
      </c>
      <c r="AN896" s="26">
        <v>10</v>
      </c>
      <c r="AO896" s="22" t="s">
        <v>2211</v>
      </c>
      <c r="AP896" s="26">
        <v>0</v>
      </c>
      <c r="AQ896" s="26">
        <f t="shared" si="153"/>
        <v>90</v>
      </c>
      <c r="AR896" s="18" t="str">
        <f ca="1">CONCATENATE(OFFSET(Sheet1!$A$2,RANDBETWEEN(2,500),0,1,1),OFFSET(Sheet1!$A$2,RANDBETWEEN(2,500),RANDBETWEEN(1,5),1,1))</f>
        <v>尤菲米娅</v>
      </c>
      <c r="AS896">
        <f>SUMPRODUCT(P896:AI896,Sheet2!$B$3:$U$3)</f>
        <v>33610</v>
      </c>
    </row>
    <row r="897" spans="1:45" x14ac:dyDescent="0.15">
      <c r="A897" s="18">
        <v>896</v>
      </c>
      <c r="B897" s="18" t="s">
        <v>1107</v>
      </c>
      <c r="C897" s="18">
        <f t="shared" si="143"/>
        <v>117</v>
      </c>
      <c r="D897" s="19">
        <f t="shared" si="144"/>
        <v>2</v>
      </c>
      <c r="E897" s="19">
        <f>VLOOKUP(MOD(A897,4),各职业基础配置!C$32:D$35,2,FALSE)</f>
        <v>1</v>
      </c>
      <c r="F897" s="19">
        <f>IF(A897&lt;900,INDEX(各职业基础配置!C$23:C$28,MOD(ROW(A897),4)+1),0)</f>
        <v>13</v>
      </c>
      <c r="G897" s="19">
        <f t="shared" si="145"/>
        <v>2</v>
      </c>
      <c r="H897" s="27">
        <f t="shared" si="146"/>
        <v>1</v>
      </c>
      <c r="I897" s="6" t="s">
        <v>164</v>
      </c>
      <c r="J897" s="23" t="str">
        <f>VLOOKUP(E897,各职业基础配置!$B$9:$C$12,2,FALSE)</f>
        <v>101|102|103|4201|105</v>
      </c>
      <c r="K897" s="18" t="str">
        <f>VLOOKUP(E897,各职业基础配置!$B$15:$C$18,2,FALSE)</f>
        <v>24|25|26|27</v>
      </c>
      <c r="L897" s="18" t="str">
        <f>VLOOKUP(E897,各职业基础配置!B:C,2,FALSE)</f>
        <v>[{24,1,1},{25,1,1},{26,1,1},{27,1,1},{1,1,1},{2,1,1},{3,1,1}]</v>
      </c>
      <c r="M897" s="18">
        <v>0</v>
      </c>
      <c r="N897" s="18">
        <f t="shared" si="147"/>
        <v>3</v>
      </c>
      <c r="O897" s="18">
        <f>SUMPRODUCT(P897:AI897,Sheet2!$B$3:$U$3)</f>
        <v>33585</v>
      </c>
      <c r="P897" s="18">
        <f>CEILING(INDEX([1]系统模型!$VD:$VD,MATCH(C897,[1]系统模型!$A:$A,0))*POWER(C897/220,3.8)-50+(1000-A897),1)</f>
        <v>342</v>
      </c>
      <c r="Q897" s="18">
        <f>CEILING(INDEX([1]系统模型!$VE:$VE,MATCH(C897,[1]系统模型!$A:$A,0))*POWER(C897/220,4),1)</f>
        <v>27</v>
      </c>
      <c r="R897" s="18">
        <f>INT(INDEX([1]系统模型!$VF:$VF,MATCH(C897,[1]系统模型!$A:$A,0))*MAX(POWER(C897/180,4),0.5))</f>
        <v>6185</v>
      </c>
      <c r="S897" s="5">
        <v>1000</v>
      </c>
      <c r="T897" s="25">
        <v>0</v>
      </c>
      <c r="U897" s="25">
        <v>0</v>
      </c>
      <c r="V897" s="25">
        <v>0</v>
      </c>
      <c r="W897" s="25">
        <v>0</v>
      </c>
      <c r="X897" s="25">
        <f t="shared" si="148"/>
        <v>309</v>
      </c>
      <c r="Y897" s="12">
        <v>0</v>
      </c>
      <c r="Z897" s="25">
        <v>100</v>
      </c>
      <c r="AA897" s="25">
        <v>150</v>
      </c>
      <c r="AB897" s="25">
        <v>0</v>
      </c>
      <c r="AC897" s="25">
        <v>0</v>
      </c>
      <c r="AD897" s="25">
        <v>0</v>
      </c>
      <c r="AE897" s="25">
        <f t="shared" si="149"/>
        <v>234</v>
      </c>
      <c r="AF897" s="25">
        <f t="shared" si="150"/>
        <v>234</v>
      </c>
      <c r="AG897" s="25">
        <v>0</v>
      </c>
      <c r="AH897" s="25">
        <f t="shared" si="151"/>
        <v>25</v>
      </c>
      <c r="AI897" s="25">
        <f t="shared" si="152"/>
        <v>4</v>
      </c>
      <c r="AJ897" s="25">
        <v>1</v>
      </c>
      <c r="AK897" s="25">
        <v>1000</v>
      </c>
      <c r="AL897" s="25">
        <v>100</v>
      </c>
      <c r="AM897" s="26">
        <v>10</v>
      </c>
      <c r="AN897" s="26">
        <v>10</v>
      </c>
      <c r="AO897" s="22" t="s">
        <v>2211</v>
      </c>
      <c r="AP897" s="26">
        <v>0</v>
      </c>
      <c r="AQ897" s="26">
        <f t="shared" si="153"/>
        <v>90</v>
      </c>
      <c r="AR897" s="18" t="str">
        <f ca="1">CONCATENATE(OFFSET(Sheet1!$A$2,RANDBETWEEN(2,500),0,1,1),OFFSET(Sheet1!$A$2,RANDBETWEEN(2,500),RANDBETWEEN(1,5),1,1))</f>
        <v>杰罗姆</v>
      </c>
      <c r="AS897">
        <f>SUMPRODUCT(P897:AI897,Sheet2!$B$3:$U$3)</f>
        <v>33585</v>
      </c>
    </row>
    <row r="898" spans="1:45" x14ac:dyDescent="0.15">
      <c r="A898" s="23">
        <v>897</v>
      </c>
      <c r="B898" s="18" t="s">
        <v>2164</v>
      </c>
      <c r="C898" s="18">
        <f t="shared" si="143"/>
        <v>117</v>
      </c>
      <c r="D898" s="19">
        <f t="shared" si="144"/>
        <v>3</v>
      </c>
      <c r="E898" s="19">
        <f>VLOOKUP(MOD(A898,4),各职业基础配置!C$32:D$35,2,FALSE)</f>
        <v>3</v>
      </c>
      <c r="F898" s="19">
        <f>IF(A898&lt;900,INDEX(各职业基础配置!C$23:C$28,MOD(ROW(A898),4)+1),0)</f>
        <v>14</v>
      </c>
      <c r="G898" s="19">
        <f t="shared" si="145"/>
        <v>2</v>
      </c>
      <c r="H898" s="27">
        <f t="shared" si="146"/>
        <v>1</v>
      </c>
      <c r="I898" s="6" t="s">
        <v>164</v>
      </c>
      <c r="J898" s="23" t="str">
        <f>VLOOKUP(E898,各职业基础配置!$B$9:$C$12,2,FALSE)</f>
        <v>106|107|108|4201|110</v>
      </c>
      <c r="K898" s="18" t="str">
        <f>VLOOKUP(E898,各职业基础配置!$B$15:$C$18,2,FALSE)</f>
        <v>20|21|22|23</v>
      </c>
      <c r="L898" s="18" t="str">
        <f>VLOOKUP(E898,各职业基础配置!B:C,2,FALSE)</f>
        <v>[{20,1,1},{21,1,1},{22,1,1},{23,1,1},{4,1,1},{5,1,1},{6,1,1}]</v>
      </c>
      <c r="M898" s="18">
        <v>0</v>
      </c>
      <c r="N898" s="18">
        <f t="shared" si="147"/>
        <v>7</v>
      </c>
      <c r="O898" s="18">
        <f>SUMPRODUCT(P898:AI898,Sheet2!$B$3:$U$3)</f>
        <v>33560</v>
      </c>
      <c r="P898" s="18">
        <f>CEILING(INDEX([1]系统模型!$VD:$VD,MATCH(C898,[1]系统模型!$A:$A,0))*POWER(C898/220,3.8)-50+(1000-A898),1)</f>
        <v>341</v>
      </c>
      <c r="Q898" s="18">
        <f>CEILING(INDEX([1]系统模型!$VE:$VE,MATCH(C898,[1]系统模型!$A:$A,0))*POWER(C898/220,4),1)</f>
        <v>27</v>
      </c>
      <c r="R898" s="18">
        <f>INT(INDEX([1]系统模型!$VF:$VF,MATCH(C898,[1]系统模型!$A:$A,0))*MAX(POWER(C898/180,4),0.5))</f>
        <v>6185</v>
      </c>
      <c r="S898" s="5">
        <v>1000</v>
      </c>
      <c r="T898" s="25">
        <v>0</v>
      </c>
      <c r="U898" s="25">
        <v>0</v>
      </c>
      <c r="V898" s="25">
        <v>0</v>
      </c>
      <c r="W898" s="25">
        <v>0</v>
      </c>
      <c r="X898" s="25">
        <f t="shared" si="148"/>
        <v>309</v>
      </c>
      <c r="Y898" s="12">
        <v>0</v>
      </c>
      <c r="Z898" s="25">
        <v>100</v>
      </c>
      <c r="AA898" s="25">
        <v>150</v>
      </c>
      <c r="AB898" s="25">
        <v>0</v>
      </c>
      <c r="AC898" s="25">
        <v>0</v>
      </c>
      <c r="AD898" s="25">
        <v>0</v>
      </c>
      <c r="AE898" s="25">
        <f t="shared" si="149"/>
        <v>234</v>
      </c>
      <c r="AF898" s="25">
        <f t="shared" si="150"/>
        <v>234</v>
      </c>
      <c r="AG898" s="25">
        <v>0</v>
      </c>
      <c r="AH898" s="25">
        <f t="shared" si="151"/>
        <v>25</v>
      </c>
      <c r="AI898" s="25">
        <f t="shared" si="152"/>
        <v>4</v>
      </c>
      <c r="AJ898" s="25">
        <v>1</v>
      </c>
      <c r="AK898" s="25">
        <v>1000</v>
      </c>
      <c r="AL898" s="25">
        <v>100</v>
      </c>
      <c r="AM898" s="26">
        <v>10</v>
      </c>
      <c r="AN898" s="26">
        <v>10</v>
      </c>
      <c r="AO898" s="22" t="s">
        <v>2211</v>
      </c>
      <c r="AP898" s="26">
        <v>0</v>
      </c>
      <c r="AQ898" s="26">
        <f t="shared" si="153"/>
        <v>90</v>
      </c>
      <c r="AR898" s="18" t="str">
        <f ca="1">CONCATENATE(OFFSET(Sheet1!$A$2,RANDBETWEEN(2,500),0,1,1),OFFSET(Sheet1!$A$2,RANDBETWEEN(2,500),RANDBETWEEN(1,5),1,1))</f>
        <v>费迪南德</v>
      </c>
      <c r="AS898">
        <f>SUMPRODUCT(P898:AI898,Sheet2!$B$3:$U$3)</f>
        <v>33560</v>
      </c>
    </row>
    <row r="899" spans="1:45" x14ac:dyDescent="0.15">
      <c r="A899" s="18">
        <v>898</v>
      </c>
      <c r="B899" s="18" t="s">
        <v>2165</v>
      </c>
      <c r="C899" s="18">
        <f t="shared" ref="C899:C962" si="154">INT(250-(150-2)/1000*A899)</f>
        <v>117</v>
      </c>
      <c r="D899" s="19">
        <f t="shared" ref="D899:D962" si="155">MOD(A899,2)+2</f>
        <v>2</v>
      </c>
      <c r="E899" s="19">
        <f>VLOOKUP(MOD(A899,4),各职业基础配置!C$32:D$35,2,FALSE)</f>
        <v>6</v>
      </c>
      <c r="F899" s="19">
        <f>IF(A899&lt;900,INDEX(各职业基础配置!C$23:C$28,MOD(ROW(A899),4)+1),0)</f>
        <v>16</v>
      </c>
      <c r="G899" s="19">
        <f t="shared" ref="G899:G962" si="156">INT(C899*POWER(C899/250,5))</f>
        <v>2</v>
      </c>
      <c r="H899" s="27">
        <f t="shared" ref="H899:H962" si="157">CEILING(C899/75,1)-1</f>
        <v>1</v>
      </c>
      <c r="I899" s="6" t="s">
        <v>164</v>
      </c>
      <c r="J899" s="23" t="str">
        <f>VLOOKUP(E899,各职业基础配置!$B$9:$C$12,2,FALSE)</f>
        <v>111|112|113|4201|115</v>
      </c>
      <c r="K899" s="18" t="str">
        <f>VLOOKUP(E899,各职业基础配置!$B$15:$C$18,2,FALSE)</f>
        <v>32|33|34</v>
      </c>
      <c r="L899" s="18" t="str">
        <f>VLOOKUP(E899,各职业基础配置!B:C,2,FALSE)</f>
        <v>[{32,1,1},{33,1,1},{34,1,1},{35,1,1},{7,1,1},{8,1,1},{9,1,1}]</v>
      </c>
      <c r="M899" s="18">
        <v>0</v>
      </c>
      <c r="N899" s="18">
        <f t="shared" ref="N899:N962" si="158">IF(OR(E899=3,E899=6),7,3)</f>
        <v>7</v>
      </c>
      <c r="O899" s="18">
        <f>SUMPRODUCT(P899:AI899,Sheet2!$B$3:$U$3)</f>
        <v>33535</v>
      </c>
      <c r="P899" s="18">
        <f>CEILING(INDEX([1]系统模型!$VD:$VD,MATCH(C899,[1]系统模型!$A:$A,0))*POWER(C899/220,3.8)-50+(1000-A899),1)</f>
        <v>340</v>
      </c>
      <c r="Q899" s="18">
        <f>CEILING(INDEX([1]系统模型!$VE:$VE,MATCH(C899,[1]系统模型!$A:$A,0))*POWER(C899/220,4),1)</f>
        <v>27</v>
      </c>
      <c r="R899" s="18">
        <f>INT(INDEX([1]系统模型!$VF:$VF,MATCH(C899,[1]系统模型!$A:$A,0))*MAX(POWER(C899/180,4),0.5))</f>
        <v>6185</v>
      </c>
      <c r="S899" s="5">
        <v>1000</v>
      </c>
      <c r="T899" s="25">
        <v>0</v>
      </c>
      <c r="U899" s="25">
        <v>0</v>
      </c>
      <c r="V899" s="25">
        <v>0</v>
      </c>
      <c r="W899" s="25">
        <v>0</v>
      </c>
      <c r="X899" s="25">
        <f t="shared" ref="X899:X962" si="159">INT(R899/20)</f>
        <v>309</v>
      </c>
      <c r="Y899" s="12">
        <v>0</v>
      </c>
      <c r="Z899" s="25">
        <v>100</v>
      </c>
      <c r="AA899" s="25">
        <v>150</v>
      </c>
      <c r="AB899" s="25">
        <v>0</v>
      </c>
      <c r="AC899" s="25">
        <v>0</v>
      </c>
      <c r="AD899" s="25">
        <v>0</v>
      </c>
      <c r="AE899" s="25">
        <f t="shared" ref="AE899:AE962" si="160">C899*2</f>
        <v>234</v>
      </c>
      <c r="AF899" s="25">
        <f t="shared" ref="AF899:AF962" si="161">C899*2</f>
        <v>234</v>
      </c>
      <c r="AG899" s="25">
        <v>0</v>
      </c>
      <c r="AH899" s="25">
        <f t="shared" ref="AH899:AH962" si="162">MAX(10000-(250-C899)*75,0)</f>
        <v>25</v>
      </c>
      <c r="AI899" s="25">
        <f t="shared" ref="AI899:AI962" si="163">INT(P899/75)</f>
        <v>4</v>
      </c>
      <c r="AJ899" s="25">
        <v>1</v>
      </c>
      <c r="AK899" s="25">
        <v>1000</v>
      </c>
      <c r="AL899" s="25">
        <v>100</v>
      </c>
      <c r="AM899" s="26">
        <v>10</v>
      </c>
      <c r="AN899" s="26">
        <v>10</v>
      </c>
      <c r="AO899" s="22" t="s">
        <v>2211</v>
      </c>
      <c r="AP899" s="26">
        <v>0</v>
      </c>
      <c r="AQ899" s="26">
        <f t="shared" ref="AQ899:AQ962" si="164">MAX(CEILING(1000-A899*1.02,10),0)</f>
        <v>90</v>
      </c>
      <c r="AR899" s="18" t="str">
        <f ca="1">CONCATENATE(OFFSET(Sheet1!$A$2,RANDBETWEEN(2,500),0,1,1),OFFSET(Sheet1!$A$2,RANDBETWEEN(2,500),RANDBETWEEN(1,5),1,1))</f>
        <v>埃兰娜</v>
      </c>
      <c r="AS899">
        <f>SUMPRODUCT(P899:AI899,Sheet2!$B$3:$U$3)</f>
        <v>33535</v>
      </c>
    </row>
    <row r="900" spans="1:45" x14ac:dyDescent="0.15">
      <c r="A900" s="18">
        <v>899</v>
      </c>
      <c r="B900" s="18" t="s">
        <v>1125</v>
      </c>
      <c r="C900" s="18">
        <f t="shared" si="154"/>
        <v>116</v>
      </c>
      <c r="D900" s="19">
        <f t="shared" si="155"/>
        <v>3</v>
      </c>
      <c r="E900" s="19">
        <f>VLOOKUP(MOD(A900,4),各职业基础配置!C$32:D$35,2,FALSE)</f>
        <v>9</v>
      </c>
      <c r="F900" s="19">
        <f>IF(A900&lt;900,INDEX(各职业基础配置!C$23:C$28,MOD(ROW(A900),4)+1),0)</f>
        <v>8</v>
      </c>
      <c r="G900" s="19">
        <f t="shared" si="156"/>
        <v>2</v>
      </c>
      <c r="H900" s="27">
        <f t="shared" si="157"/>
        <v>1</v>
      </c>
      <c r="I900" s="6" t="s">
        <v>164</v>
      </c>
      <c r="J900" s="23" t="str">
        <f>VLOOKUP(E900,各职业基础配置!$B$9:$C$12,2,FALSE)</f>
        <v>116|117|118|4201|120</v>
      </c>
      <c r="K900" s="18" t="str">
        <f>VLOOKUP(E900,各职业基础配置!$B$15:$C$18,2,FALSE)</f>
        <v>28|29|30|31</v>
      </c>
      <c r="L900" s="18" t="str">
        <f>VLOOKUP(E900,各职业基础配置!B:C,2,FALSE)</f>
        <v>[{28,1,1},{29,1,1},{30,1,1},{31,1,1},{10,1,1},{11,1,1},{12,1,1}]</v>
      </c>
      <c r="M900" s="18">
        <v>0</v>
      </c>
      <c r="N900" s="18">
        <f t="shared" si="158"/>
        <v>3</v>
      </c>
      <c r="O900" s="18">
        <f>SUMPRODUCT(P900:AI900,Sheet2!$B$3:$U$3)</f>
        <v>32918</v>
      </c>
      <c r="P900" s="18">
        <f>CEILING(INDEX([1]系统模型!$VD:$VD,MATCH(C900,[1]系统模型!$A:$A,0))*POWER(C900/220,3.8)-50+(1000-A900),1)</f>
        <v>327</v>
      </c>
      <c r="Q900" s="18">
        <f>CEILING(INDEX([1]系统模型!$VE:$VE,MATCH(C900,[1]系统模型!$A:$A,0))*POWER(C900/220,4),1)</f>
        <v>26</v>
      </c>
      <c r="R900" s="18">
        <f>INT(INDEX([1]系统模型!$VF:$VF,MATCH(C900,[1]系统模型!$A:$A,0))*MAX(POWER(C900/180,4),0.5))</f>
        <v>6143</v>
      </c>
      <c r="S900" s="5">
        <v>1000</v>
      </c>
      <c r="T900" s="25">
        <v>0</v>
      </c>
      <c r="U900" s="25">
        <v>0</v>
      </c>
      <c r="V900" s="25">
        <v>0</v>
      </c>
      <c r="W900" s="25">
        <v>0</v>
      </c>
      <c r="X900" s="25">
        <f t="shared" si="159"/>
        <v>307</v>
      </c>
      <c r="Y900" s="12">
        <v>0</v>
      </c>
      <c r="Z900" s="25">
        <v>100</v>
      </c>
      <c r="AA900" s="25">
        <v>150</v>
      </c>
      <c r="AB900" s="25">
        <v>0</v>
      </c>
      <c r="AC900" s="25">
        <v>0</v>
      </c>
      <c r="AD900" s="25">
        <v>0</v>
      </c>
      <c r="AE900" s="25">
        <f t="shared" si="160"/>
        <v>232</v>
      </c>
      <c r="AF900" s="25">
        <f t="shared" si="161"/>
        <v>232</v>
      </c>
      <c r="AG900" s="25">
        <v>0</v>
      </c>
      <c r="AH900" s="25">
        <f t="shared" si="162"/>
        <v>0</v>
      </c>
      <c r="AI900" s="25">
        <f t="shared" si="163"/>
        <v>4</v>
      </c>
      <c r="AJ900" s="25">
        <v>1</v>
      </c>
      <c r="AK900" s="25">
        <v>1000</v>
      </c>
      <c r="AL900" s="25">
        <v>100</v>
      </c>
      <c r="AM900" s="26">
        <v>10</v>
      </c>
      <c r="AN900" s="26">
        <v>10</v>
      </c>
      <c r="AO900" s="22" t="s">
        <v>2211</v>
      </c>
      <c r="AP900" s="26">
        <v>0</v>
      </c>
      <c r="AQ900" s="26">
        <f t="shared" si="164"/>
        <v>90</v>
      </c>
      <c r="AR900" s="18" t="str">
        <f ca="1">CONCATENATE(OFFSET(Sheet1!$A$2,RANDBETWEEN(2,500),0,1,1),OFFSET(Sheet1!$A$2,RANDBETWEEN(2,500),RANDBETWEEN(1,5),1,1))</f>
        <v>休小七</v>
      </c>
      <c r="AS900">
        <f>SUMPRODUCT(P900:AI900,Sheet2!$B$3:$U$3)</f>
        <v>32918</v>
      </c>
    </row>
    <row r="901" spans="1:45" x14ac:dyDescent="0.15">
      <c r="A901" s="23">
        <v>900</v>
      </c>
      <c r="B901" s="18" t="s">
        <v>585</v>
      </c>
      <c r="C901" s="18">
        <f t="shared" si="154"/>
        <v>116</v>
      </c>
      <c r="D901" s="19">
        <f t="shared" si="155"/>
        <v>2</v>
      </c>
      <c r="E901" s="19">
        <f>VLOOKUP(MOD(A901,4),各职业基础配置!C$32:D$35,2,FALSE)</f>
        <v>1</v>
      </c>
      <c r="F901" s="19">
        <f>IF(A901&lt;900,INDEX(各职业基础配置!C$23:C$28,MOD(ROW(A901),4)+1),0)</f>
        <v>0</v>
      </c>
      <c r="G901" s="19">
        <f t="shared" si="156"/>
        <v>2</v>
      </c>
      <c r="H901" s="27">
        <f t="shared" si="157"/>
        <v>1</v>
      </c>
      <c r="I901" s="6" t="s">
        <v>164</v>
      </c>
      <c r="J901" s="23" t="str">
        <f>VLOOKUP(E901,各职业基础配置!$B$9:$C$12,2,FALSE)</f>
        <v>101|102|103|4201|105</v>
      </c>
      <c r="K901" s="18" t="str">
        <f>VLOOKUP(E901,各职业基础配置!$B$15:$C$18,2,FALSE)</f>
        <v>24|25|26|27</v>
      </c>
      <c r="L901" s="18" t="str">
        <f>VLOOKUP(E901,各职业基础配置!B:C,2,FALSE)</f>
        <v>[{24,1,1},{25,1,1},{26,1,1},{27,1,1},{1,1,1},{2,1,1},{3,1,1}]</v>
      </c>
      <c r="M901" s="18">
        <v>0</v>
      </c>
      <c r="N901" s="18">
        <f t="shared" si="158"/>
        <v>3</v>
      </c>
      <c r="O901" s="18">
        <f>SUMPRODUCT(P901:AI901,Sheet2!$B$3:$U$3)</f>
        <v>32893</v>
      </c>
      <c r="P901" s="18">
        <f>CEILING(INDEX([1]系统模型!$VD:$VD,MATCH(C901,[1]系统模型!$A:$A,0))*POWER(C901/220,3.8)-50+(1000-A901),1)</f>
        <v>326</v>
      </c>
      <c r="Q901" s="18">
        <f>CEILING(INDEX([1]系统模型!$VE:$VE,MATCH(C901,[1]系统模型!$A:$A,0))*POWER(C901/220,4),1)</f>
        <v>26</v>
      </c>
      <c r="R901" s="18">
        <f>INT(INDEX([1]系统模型!$VF:$VF,MATCH(C901,[1]系统模型!$A:$A,0))*MAX(POWER(C901/180,4),0.5))</f>
        <v>6143</v>
      </c>
      <c r="S901" s="5">
        <v>1000</v>
      </c>
      <c r="T901" s="25">
        <v>0</v>
      </c>
      <c r="U901" s="25">
        <v>0</v>
      </c>
      <c r="V901" s="25">
        <v>0</v>
      </c>
      <c r="W901" s="25">
        <v>0</v>
      </c>
      <c r="X901" s="25">
        <f t="shared" si="159"/>
        <v>307</v>
      </c>
      <c r="Y901" s="12">
        <v>0</v>
      </c>
      <c r="Z901" s="25">
        <v>100</v>
      </c>
      <c r="AA901" s="25">
        <v>150</v>
      </c>
      <c r="AB901" s="25">
        <v>0</v>
      </c>
      <c r="AC901" s="25">
        <v>0</v>
      </c>
      <c r="AD901" s="25">
        <v>0</v>
      </c>
      <c r="AE901" s="25">
        <f t="shared" si="160"/>
        <v>232</v>
      </c>
      <c r="AF901" s="25">
        <f t="shared" si="161"/>
        <v>232</v>
      </c>
      <c r="AG901" s="25">
        <v>0</v>
      </c>
      <c r="AH901" s="25">
        <f t="shared" si="162"/>
        <v>0</v>
      </c>
      <c r="AI901" s="25">
        <f t="shared" si="163"/>
        <v>4</v>
      </c>
      <c r="AJ901" s="25">
        <v>1</v>
      </c>
      <c r="AK901" s="25">
        <v>1000</v>
      </c>
      <c r="AL901" s="25">
        <v>100</v>
      </c>
      <c r="AM901" s="26">
        <v>10</v>
      </c>
      <c r="AN901" s="26">
        <v>10</v>
      </c>
      <c r="AO901" s="22" t="s">
        <v>2211</v>
      </c>
      <c r="AP901" s="26">
        <v>0</v>
      </c>
      <c r="AQ901" s="26">
        <f t="shared" si="164"/>
        <v>90</v>
      </c>
      <c r="AR901" s="18" t="str">
        <f ca="1">CONCATENATE(OFFSET(Sheet1!$A$2,RANDBETWEEN(2,500),0,1,1),OFFSET(Sheet1!$A$2,RANDBETWEEN(2,500),RANDBETWEEN(1,5),1,1))</f>
        <v>安德森鲁思玛丽</v>
      </c>
      <c r="AS901">
        <f>SUMPRODUCT(P901:AI901,Sheet2!$B$3:$U$3)</f>
        <v>32893</v>
      </c>
    </row>
    <row r="902" spans="1:45" x14ac:dyDescent="0.15">
      <c r="A902" s="18">
        <v>901</v>
      </c>
      <c r="B902" s="18" t="s">
        <v>1194</v>
      </c>
      <c r="C902" s="18">
        <f t="shared" si="154"/>
        <v>116</v>
      </c>
      <c r="D902" s="19">
        <f t="shared" si="155"/>
        <v>3</v>
      </c>
      <c r="E902" s="19">
        <f>VLOOKUP(MOD(A902,4),各职业基础配置!C$32:D$35,2,FALSE)</f>
        <v>3</v>
      </c>
      <c r="F902" s="19">
        <f>IF(A902&lt;900,INDEX(各职业基础配置!C$23:C$28,MOD(ROW(A902),4)+1),0)</f>
        <v>0</v>
      </c>
      <c r="G902" s="19">
        <f t="shared" si="156"/>
        <v>2</v>
      </c>
      <c r="H902" s="27">
        <f t="shared" si="157"/>
        <v>1</v>
      </c>
      <c r="I902" s="6" t="s">
        <v>164</v>
      </c>
      <c r="J902" s="23" t="str">
        <f>VLOOKUP(E902,各职业基础配置!$B$9:$C$12,2,FALSE)</f>
        <v>106|107|108|4201|110</v>
      </c>
      <c r="K902" s="18" t="str">
        <f>VLOOKUP(E902,各职业基础配置!$B$15:$C$18,2,FALSE)</f>
        <v>20|21|22|23</v>
      </c>
      <c r="L902" s="18" t="str">
        <f>VLOOKUP(E902,各职业基础配置!B:C,2,FALSE)</f>
        <v>[{20,1,1},{21,1,1},{22,1,1},{23,1,1},{4,1,1},{5,1,1},{6,1,1}]</v>
      </c>
      <c r="M902" s="18">
        <v>0</v>
      </c>
      <c r="N902" s="18">
        <f t="shared" si="158"/>
        <v>7</v>
      </c>
      <c r="O902" s="18">
        <f>SUMPRODUCT(P902:AI902,Sheet2!$B$3:$U$3)</f>
        <v>32868</v>
      </c>
      <c r="P902" s="18">
        <f>CEILING(INDEX([1]系统模型!$VD:$VD,MATCH(C902,[1]系统模型!$A:$A,0))*POWER(C902/220,3.8)-50+(1000-A902),1)</f>
        <v>325</v>
      </c>
      <c r="Q902" s="18">
        <f>CEILING(INDEX([1]系统模型!$VE:$VE,MATCH(C902,[1]系统模型!$A:$A,0))*POWER(C902/220,4),1)</f>
        <v>26</v>
      </c>
      <c r="R902" s="18">
        <f>INT(INDEX([1]系统模型!$VF:$VF,MATCH(C902,[1]系统模型!$A:$A,0))*MAX(POWER(C902/180,4),0.5))</f>
        <v>6143</v>
      </c>
      <c r="S902" s="5">
        <v>1000</v>
      </c>
      <c r="T902" s="25">
        <v>0</v>
      </c>
      <c r="U902" s="25">
        <v>0</v>
      </c>
      <c r="V902" s="25">
        <v>0</v>
      </c>
      <c r="W902" s="25">
        <v>0</v>
      </c>
      <c r="X902" s="25">
        <f t="shared" si="159"/>
        <v>307</v>
      </c>
      <c r="Y902" s="12">
        <v>0</v>
      </c>
      <c r="Z902" s="25">
        <v>100</v>
      </c>
      <c r="AA902" s="25">
        <v>150</v>
      </c>
      <c r="AB902" s="25">
        <v>0</v>
      </c>
      <c r="AC902" s="25">
        <v>0</v>
      </c>
      <c r="AD902" s="25">
        <v>0</v>
      </c>
      <c r="AE902" s="25">
        <f t="shared" si="160"/>
        <v>232</v>
      </c>
      <c r="AF902" s="25">
        <f t="shared" si="161"/>
        <v>232</v>
      </c>
      <c r="AG902" s="25">
        <v>0</v>
      </c>
      <c r="AH902" s="25">
        <f t="shared" si="162"/>
        <v>0</v>
      </c>
      <c r="AI902" s="25">
        <f t="shared" si="163"/>
        <v>4</v>
      </c>
      <c r="AJ902" s="25">
        <v>1</v>
      </c>
      <c r="AK902" s="25">
        <v>1000</v>
      </c>
      <c r="AL902" s="25">
        <v>100</v>
      </c>
      <c r="AM902" s="26">
        <v>10</v>
      </c>
      <c r="AN902" s="26">
        <v>10</v>
      </c>
      <c r="AO902" s="22" t="s">
        <v>2211</v>
      </c>
      <c r="AP902" s="26">
        <v>0</v>
      </c>
      <c r="AQ902" s="26">
        <f t="shared" si="164"/>
        <v>90</v>
      </c>
      <c r="AR902" s="18" t="str">
        <f ca="1">CONCATENATE(OFFSET(Sheet1!$A$2,RANDBETWEEN(2,500),0,1,1),OFFSET(Sheet1!$A$2,RANDBETWEEN(2,500),RANDBETWEEN(1,5),1,1))</f>
        <v>奥尔科特</v>
      </c>
      <c r="AS902">
        <f>SUMPRODUCT(P902:AI902,Sheet2!$B$3:$U$3)</f>
        <v>32868</v>
      </c>
    </row>
    <row r="903" spans="1:45" x14ac:dyDescent="0.15">
      <c r="A903" s="18">
        <v>902</v>
      </c>
      <c r="B903" s="18" t="s">
        <v>2166</v>
      </c>
      <c r="C903" s="18">
        <f t="shared" si="154"/>
        <v>116</v>
      </c>
      <c r="D903" s="19">
        <f t="shared" si="155"/>
        <v>2</v>
      </c>
      <c r="E903" s="19">
        <f>VLOOKUP(MOD(A903,4),各职业基础配置!C$32:D$35,2,FALSE)</f>
        <v>6</v>
      </c>
      <c r="F903" s="19">
        <f>IF(A903&lt;900,INDEX(各职业基础配置!C$23:C$28,MOD(ROW(A903),4)+1),0)</f>
        <v>0</v>
      </c>
      <c r="G903" s="19">
        <f t="shared" si="156"/>
        <v>2</v>
      </c>
      <c r="H903" s="27">
        <f t="shared" si="157"/>
        <v>1</v>
      </c>
      <c r="I903" s="6" t="s">
        <v>164</v>
      </c>
      <c r="J903" s="23" t="str">
        <f>VLOOKUP(E903,各职业基础配置!$B$9:$C$12,2,FALSE)</f>
        <v>111|112|113|4201|115</v>
      </c>
      <c r="K903" s="18" t="str">
        <f>VLOOKUP(E903,各职业基础配置!$B$15:$C$18,2,FALSE)</f>
        <v>32|33|34</v>
      </c>
      <c r="L903" s="18" t="str">
        <f>VLOOKUP(E903,各职业基础配置!B:C,2,FALSE)</f>
        <v>[{32,1,1},{33,1,1},{34,1,1},{35,1,1},{7,1,1},{8,1,1},{9,1,1}]</v>
      </c>
      <c r="M903" s="18">
        <v>0</v>
      </c>
      <c r="N903" s="18">
        <f t="shared" si="158"/>
        <v>7</v>
      </c>
      <c r="O903" s="18">
        <f>SUMPRODUCT(P903:AI903,Sheet2!$B$3:$U$3)</f>
        <v>32843</v>
      </c>
      <c r="P903" s="18">
        <f>CEILING(INDEX([1]系统模型!$VD:$VD,MATCH(C903,[1]系统模型!$A:$A,0))*POWER(C903/220,3.8)-50+(1000-A903),1)</f>
        <v>324</v>
      </c>
      <c r="Q903" s="18">
        <f>CEILING(INDEX([1]系统模型!$VE:$VE,MATCH(C903,[1]系统模型!$A:$A,0))*POWER(C903/220,4),1)</f>
        <v>26</v>
      </c>
      <c r="R903" s="18">
        <f>INT(INDEX([1]系统模型!$VF:$VF,MATCH(C903,[1]系统模型!$A:$A,0))*MAX(POWER(C903/180,4),0.5))</f>
        <v>6143</v>
      </c>
      <c r="S903" s="5">
        <v>1000</v>
      </c>
      <c r="T903" s="25">
        <v>0</v>
      </c>
      <c r="U903" s="25">
        <v>0</v>
      </c>
      <c r="V903" s="25">
        <v>0</v>
      </c>
      <c r="W903" s="25">
        <v>0</v>
      </c>
      <c r="X903" s="25">
        <f t="shared" si="159"/>
        <v>307</v>
      </c>
      <c r="Y903" s="12">
        <v>0</v>
      </c>
      <c r="Z903" s="25">
        <v>100</v>
      </c>
      <c r="AA903" s="25">
        <v>150</v>
      </c>
      <c r="AB903" s="25">
        <v>0</v>
      </c>
      <c r="AC903" s="25">
        <v>0</v>
      </c>
      <c r="AD903" s="25">
        <v>0</v>
      </c>
      <c r="AE903" s="25">
        <f t="shared" si="160"/>
        <v>232</v>
      </c>
      <c r="AF903" s="25">
        <f t="shared" si="161"/>
        <v>232</v>
      </c>
      <c r="AG903" s="25">
        <v>0</v>
      </c>
      <c r="AH903" s="25">
        <f t="shared" si="162"/>
        <v>0</v>
      </c>
      <c r="AI903" s="25">
        <f t="shared" si="163"/>
        <v>4</v>
      </c>
      <c r="AJ903" s="25">
        <v>1</v>
      </c>
      <c r="AK903" s="25">
        <v>1000</v>
      </c>
      <c r="AL903" s="25">
        <v>100</v>
      </c>
      <c r="AM903" s="26">
        <v>10</v>
      </c>
      <c r="AN903" s="26">
        <v>10</v>
      </c>
      <c r="AO903" s="22" t="s">
        <v>2211</v>
      </c>
      <c r="AP903" s="26">
        <v>0</v>
      </c>
      <c r="AQ903" s="26">
        <f t="shared" si="164"/>
        <v>80</v>
      </c>
      <c r="AR903" s="18" t="str">
        <f ca="1">CONCATENATE(OFFSET(Sheet1!$A$2,RANDBETWEEN(2,500),0,1,1),OFFSET(Sheet1!$A$2,RANDBETWEEN(2,500),RANDBETWEEN(1,5),1,1))</f>
        <v>多利艾尔玛</v>
      </c>
      <c r="AS903">
        <f>SUMPRODUCT(P903:AI903,Sheet2!$B$3:$U$3)</f>
        <v>32843</v>
      </c>
    </row>
    <row r="904" spans="1:45" x14ac:dyDescent="0.15">
      <c r="A904" s="23">
        <v>903</v>
      </c>
      <c r="B904" s="18" t="s">
        <v>888</v>
      </c>
      <c r="C904" s="18">
        <f t="shared" si="154"/>
        <v>116</v>
      </c>
      <c r="D904" s="19">
        <f t="shared" si="155"/>
        <v>3</v>
      </c>
      <c r="E904" s="19">
        <f>VLOOKUP(MOD(A904,4),各职业基础配置!C$32:D$35,2,FALSE)</f>
        <v>9</v>
      </c>
      <c r="F904" s="19">
        <f>IF(A904&lt;900,INDEX(各职业基础配置!C$23:C$28,MOD(ROW(A904),4)+1),0)</f>
        <v>0</v>
      </c>
      <c r="G904" s="19">
        <f t="shared" si="156"/>
        <v>2</v>
      </c>
      <c r="H904" s="27">
        <f t="shared" si="157"/>
        <v>1</v>
      </c>
      <c r="I904" s="6" t="s">
        <v>164</v>
      </c>
      <c r="J904" s="23" t="str">
        <f>VLOOKUP(E904,各职业基础配置!$B$9:$C$12,2,FALSE)</f>
        <v>116|117|118|4201|120</v>
      </c>
      <c r="K904" s="18" t="str">
        <f>VLOOKUP(E904,各职业基础配置!$B$15:$C$18,2,FALSE)</f>
        <v>28|29|30|31</v>
      </c>
      <c r="L904" s="18" t="str">
        <f>VLOOKUP(E904,各职业基础配置!B:C,2,FALSE)</f>
        <v>[{28,1,1},{29,1,1},{30,1,1},{31,1,1},{10,1,1},{11,1,1},{12,1,1}]</v>
      </c>
      <c r="M904" s="18">
        <v>0</v>
      </c>
      <c r="N904" s="18">
        <f t="shared" si="158"/>
        <v>3</v>
      </c>
      <c r="O904" s="18">
        <f>SUMPRODUCT(P904:AI904,Sheet2!$B$3:$U$3)</f>
        <v>32818</v>
      </c>
      <c r="P904" s="18">
        <f>CEILING(INDEX([1]系统模型!$VD:$VD,MATCH(C904,[1]系统模型!$A:$A,0))*POWER(C904/220,3.8)-50+(1000-A904),1)</f>
        <v>323</v>
      </c>
      <c r="Q904" s="18">
        <f>CEILING(INDEX([1]系统模型!$VE:$VE,MATCH(C904,[1]系统模型!$A:$A,0))*POWER(C904/220,4),1)</f>
        <v>26</v>
      </c>
      <c r="R904" s="18">
        <f>INT(INDEX([1]系统模型!$VF:$VF,MATCH(C904,[1]系统模型!$A:$A,0))*MAX(POWER(C904/180,4),0.5))</f>
        <v>6143</v>
      </c>
      <c r="S904" s="5">
        <v>1000</v>
      </c>
      <c r="T904" s="25">
        <v>0</v>
      </c>
      <c r="U904" s="25">
        <v>0</v>
      </c>
      <c r="V904" s="25">
        <v>0</v>
      </c>
      <c r="W904" s="25">
        <v>0</v>
      </c>
      <c r="X904" s="25">
        <f t="shared" si="159"/>
        <v>307</v>
      </c>
      <c r="Y904" s="12">
        <v>0</v>
      </c>
      <c r="Z904" s="25">
        <v>100</v>
      </c>
      <c r="AA904" s="25">
        <v>150</v>
      </c>
      <c r="AB904" s="25">
        <v>0</v>
      </c>
      <c r="AC904" s="25">
        <v>0</v>
      </c>
      <c r="AD904" s="25">
        <v>0</v>
      </c>
      <c r="AE904" s="25">
        <f t="shared" si="160"/>
        <v>232</v>
      </c>
      <c r="AF904" s="25">
        <f t="shared" si="161"/>
        <v>232</v>
      </c>
      <c r="AG904" s="25">
        <v>0</v>
      </c>
      <c r="AH904" s="25">
        <f t="shared" si="162"/>
        <v>0</v>
      </c>
      <c r="AI904" s="25">
        <f t="shared" si="163"/>
        <v>4</v>
      </c>
      <c r="AJ904" s="25">
        <v>1</v>
      </c>
      <c r="AK904" s="25">
        <v>1000</v>
      </c>
      <c r="AL904" s="25">
        <v>100</v>
      </c>
      <c r="AM904" s="26">
        <v>10</v>
      </c>
      <c r="AN904" s="26">
        <v>10</v>
      </c>
      <c r="AO904" s="22" t="s">
        <v>2211</v>
      </c>
      <c r="AP904" s="26">
        <v>0</v>
      </c>
      <c r="AQ904" s="26">
        <f t="shared" si="164"/>
        <v>80</v>
      </c>
      <c r="AR904" s="18" t="str">
        <f ca="1">CONCATENATE(OFFSET(Sheet1!$A$2,RANDBETWEEN(2,500),0,1,1),OFFSET(Sheet1!$A$2,RANDBETWEEN(2,500),RANDBETWEEN(1,5),1,1))</f>
        <v>冈特爱尔莎</v>
      </c>
      <c r="AS904">
        <f>SUMPRODUCT(P904:AI904,Sheet2!$B$3:$U$3)</f>
        <v>32818</v>
      </c>
    </row>
    <row r="905" spans="1:45" x14ac:dyDescent="0.15">
      <c r="A905" s="18">
        <v>904</v>
      </c>
      <c r="B905" s="18" t="s">
        <v>1341</v>
      </c>
      <c r="C905" s="18">
        <f t="shared" si="154"/>
        <v>116</v>
      </c>
      <c r="D905" s="19">
        <f t="shared" si="155"/>
        <v>2</v>
      </c>
      <c r="E905" s="19">
        <f>VLOOKUP(MOD(A905,4),各职业基础配置!C$32:D$35,2,FALSE)</f>
        <v>1</v>
      </c>
      <c r="F905" s="19">
        <f>IF(A905&lt;900,INDEX(各职业基础配置!C$23:C$28,MOD(ROW(A905),4)+1),0)</f>
        <v>0</v>
      </c>
      <c r="G905" s="19">
        <f t="shared" si="156"/>
        <v>2</v>
      </c>
      <c r="H905" s="27">
        <f t="shared" si="157"/>
        <v>1</v>
      </c>
      <c r="I905" s="6" t="s">
        <v>164</v>
      </c>
      <c r="J905" s="23" t="str">
        <f>VLOOKUP(E905,各职业基础配置!$B$9:$C$12,2,FALSE)</f>
        <v>101|102|103|4201|105</v>
      </c>
      <c r="K905" s="18" t="str">
        <f>VLOOKUP(E905,各职业基础配置!$B$15:$C$18,2,FALSE)</f>
        <v>24|25|26|27</v>
      </c>
      <c r="L905" s="18" t="str">
        <f>VLOOKUP(E905,各职业基础配置!B:C,2,FALSE)</f>
        <v>[{24,1,1},{25,1,1},{26,1,1},{27,1,1},{1,1,1},{2,1,1},{3,1,1}]</v>
      </c>
      <c r="M905" s="18">
        <v>0</v>
      </c>
      <c r="N905" s="18">
        <f t="shared" si="158"/>
        <v>3</v>
      </c>
      <c r="O905" s="18">
        <f>SUMPRODUCT(P905:AI905,Sheet2!$B$3:$U$3)</f>
        <v>32793</v>
      </c>
      <c r="P905" s="18">
        <f>CEILING(INDEX([1]系统模型!$VD:$VD,MATCH(C905,[1]系统模型!$A:$A,0))*POWER(C905/220,3.8)-50+(1000-A905),1)</f>
        <v>322</v>
      </c>
      <c r="Q905" s="18">
        <f>CEILING(INDEX([1]系统模型!$VE:$VE,MATCH(C905,[1]系统模型!$A:$A,0))*POWER(C905/220,4),1)</f>
        <v>26</v>
      </c>
      <c r="R905" s="18">
        <f>INT(INDEX([1]系统模型!$VF:$VF,MATCH(C905,[1]系统模型!$A:$A,0))*MAX(POWER(C905/180,4),0.5))</f>
        <v>6143</v>
      </c>
      <c r="S905" s="5">
        <v>1000</v>
      </c>
      <c r="T905" s="25">
        <v>0</v>
      </c>
      <c r="U905" s="25">
        <v>0</v>
      </c>
      <c r="V905" s="25">
        <v>0</v>
      </c>
      <c r="W905" s="25">
        <v>0</v>
      </c>
      <c r="X905" s="25">
        <f t="shared" si="159"/>
        <v>307</v>
      </c>
      <c r="Y905" s="12">
        <v>0</v>
      </c>
      <c r="Z905" s="25">
        <v>100</v>
      </c>
      <c r="AA905" s="25">
        <v>150</v>
      </c>
      <c r="AB905" s="25">
        <v>0</v>
      </c>
      <c r="AC905" s="25">
        <v>0</v>
      </c>
      <c r="AD905" s="25">
        <v>0</v>
      </c>
      <c r="AE905" s="25">
        <f t="shared" si="160"/>
        <v>232</v>
      </c>
      <c r="AF905" s="25">
        <f t="shared" si="161"/>
        <v>232</v>
      </c>
      <c r="AG905" s="25">
        <v>0</v>
      </c>
      <c r="AH905" s="25">
        <f t="shared" si="162"/>
        <v>0</v>
      </c>
      <c r="AI905" s="25">
        <f t="shared" si="163"/>
        <v>4</v>
      </c>
      <c r="AJ905" s="25">
        <v>1</v>
      </c>
      <c r="AK905" s="25">
        <v>1000</v>
      </c>
      <c r="AL905" s="25">
        <v>100</v>
      </c>
      <c r="AM905" s="26">
        <v>10</v>
      </c>
      <c r="AN905" s="26">
        <v>10</v>
      </c>
      <c r="AO905" s="22" t="s">
        <v>2211</v>
      </c>
      <c r="AP905" s="26">
        <v>0</v>
      </c>
      <c r="AQ905" s="26">
        <f t="shared" si="164"/>
        <v>80</v>
      </c>
      <c r="AR905" s="18" t="str">
        <f ca="1">CONCATENATE(OFFSET(Sheet1!$A$2,RANDBETWEEN(2,500),0,1,1),OFFSET(Sheet1!$A$2,RANDBETWEEN(2,500),RANDBETWEEN(1,5),1,1))</f>
        <v>格雷斯希拉瑞莉</v>
      </c>
      <c r="AS905">
        <f>SUMPRODUCT(P905:AI905,Sheet2!$B$3:$U$3)</f>
        <v>32793</v>
      </c>
    </row>
    <row r="906" spans="1:45" x14ac:dyDescent="0.15">
      <c r="A906" s="18">
        <v>905</v>
      </c>
      <c r="B906" s="18" t="s">
        <v>2167</v>
      </c>
      <c r="C906" s="18">
        <f t="shared" si="154"/>
        <v>116</v>
      </c>
      <c r="D906" s="19">
        <f t="shared" si="155"/>
        <v>3</v>
      </c>
      <c r="E906" s="19">
        <f>VLOOKUP(MOD(A906,4),各职业基础配置!C$32:D$35,2,FALSE)</f>
        <v>3</v>
      </c>
      <c r="F906" s="19">
        <f>IF(A906&lt;900,INDEX(各职业基础配置!C$23:C$28,MOD(ROW(A906),4)+1),0)</f>
        <v>0</v>
      </c>
      <c r="G906" s="19">
        <f t="shared" si="156"/>
        <v>2</v>
      </c>
      <c r="H906" s="27">
        <f t="shared" si="157"/>
        <v>1</v>
      </c>
      <c r="I906" s="6" t="s">
        <v>164</v>
      </c>
      <c r="J906" s="23" t="str">
        <f>VLOOKUP(E906,各职业基础配置!$B$9:$C$12,2,FALSE)</f>
        <v>106|107|108|4201|110</v>
      </c>
      <c r="K906" s="18" t="str">
        <f>VLOOKUP(E906,各职业基础配置!$B$15:$C$18,2,FALSE)</f>
        <v>20|21|22|23</v>
      </c>
      <c r="L906" s="18" t="str">
        <f>VLOOKUP(E906,各职业基础配置!B:C,2,FALSE)</f>
        <v>[{20,1,1},{21,1,1},{22,1,1},{23,1,1},{4,1,1},{5,1,1},{6,1,1}]</v>
      </c>
      <c r="M906" s="18">
        <v>0</v>
      </c>
      <c r="N906" s="18">
        <f t="shared" si="158"/>
        <v>7</v>
      </c>
      <c r="O906" s="18">
        <f>SUMPRODUCT(P906:AI906,Sheet2!$B$3:$U$3)</f>
        <v>32768</v>
      </c>
      <c r="P906" s="18">
        <f>CEILING(INDEX([1]系统模型!$VD:$VD,MATCH(C906,[1]系统模型!$A:$A,0))*POWER(C906/220,3.8)-50+(1000-A906),1)</f>
        <v>321</v>
      </c>
      <c r="Q906" s="18">
        <f>CEILING(INDEX([1]系统模型!$VE:$VE,MATCH(C906,[1]系统模型!$A:$A,0))*POWER(C906/220,4),1)</f>
        <v>26</v>
      </c>
      <c r="R906" s="18">
        <f>INT(INDEX([1]系统模型!$VF:$VF,MATCH(C906,[1]系统模型!$A:$A,0))*MAX(POWER(C906/180,4),0.5))</f>
        <v>6143</v>
      </c>
      <c r="S906" s="5">
        <v>1000</v>
      </c>
      <c r="T906" s="25">
        <v>0</v>
      </c>
      <c r="U906" s="25">
        <v>0</v>
      </c>
      <c r="V906" s="25">
        <v>0</v>
      </c>
      <c r="W906" s="25">
        <v>0</v>
      </c>
      <c r="X906" s="25">
        <f t="shared" si="159"/>
        <v>307</v>
      </c>
      <c r="Y906" s="12">
        <v>0</v>
      </c>
      <c r="Z906" s="25">
        <v>100</v>
      </c>
      <c r="AA906" s="25">
        <v>150</v>
      </c>
      <c r="AB906" s="25">
        <v>0</v>
      </c>
      <c r="AC906" s="25">
        <v>0</v>
      </c>
      <c r="AD906" s="25">
        <v>0</v>
      </c>
      <c r="AE906" s="25">
        <f t="shared" si="160"/>
        <v>232</v>
      </c>
      <c r="AF906" s="25">
        <f t="shared" si="161"/>
        <v>232</v>
      </c>
      <c r="AG906" s="25">
        <v>0</v>
      </c>
      <c r="AH906" s="25">
        <f t="shared" si="162"/>
        <v>0</v>
      </c>
      <c r="AI906" s="25">
        <f t="shared" si="163"/>
        <v>4</v>
      </c>
      <c r="AJ906" s="25">
        <v>1</v>
      </c>
      <c r="AK906" s="25">
        <v>1000</v>
      </c>
      <c r="AL906" s="25">
        <v>100</v>
      </c>
      <c r="AM906" s="26">
        <v>10</v>
      </c>
      <c r="AN906" s="26">
        <v>10</v>
      </c>
      <c r="AO906" s="22" t="s">
        <v>2211</v>
      </c>
      <c r="AP906" s="26">
        <v>0</v>
      </c>
      <c r="AQ906" s="26">
        <f t="shared" si="164"/>
        <v>80</v>
      </c>
      <c r="AR906" s="18" t="str">
        <f ca="1">CONCATENATE(OFFSET(Sheet1!$A$2,RANDBETWEEN(2,500),0,1,1),OFFSET(Sheet1!$A$2,RANDBETWEEN(2,500),RANDBETWEEN(1,5),1,1))</f>
        <v>格罗特佩儿</v>
      </c>
      <c r="AS906">
        <f>SUMPRODUCT(P906:AI906,Sheet2!$B$3:$U$3)</f>
        <v>32768</v>
      </c>
    </row>
    <row r="907" spans="1:45" x14ac:dyDescent="0.15">
      <c r="A907" s="23">
        <v>906</v>
      </c>
      <c r="B907" s="18" t="s">
        <v>1102</v>
      </c>
      <c r="C907" s="18">
        <f t="shared" si="154"/>
        <v>115</v>
      </c>
      <c r="D907" s="19">
        <f t="shared" si="155"/>
        <v>2</v>
      </c>
      <c r="E907" s="19">
        <f>VLOOKUP(MOD(A907,4),各职业基础配置!C$32:D$35,2,FALSE)</f>
        <v>6</v>
      </c>
      <c r="F907" s="19">
        <f>IF(A907&lt;900,INDEX(各职业基础配置!C$23:C$28,MOD(ROW(A907),4)+1),0)</f>
        <v>0</v>
      </c>
      <c r="G907" s="19">
        <f t="shared" si="156"/>
        <v>2</v>
      </c>
      <c r="H907" s="27">
        <f t="shared" si="157"/>
        <v>1</v>
      </c>
      <c r="I907" s="6" t="s">
        <v>164</v>
      </c>
      <c r="J907" s="23" t="str">
        <f>VLOOKUP(E907,各职业基础配置!$B$9:$C$12,2,FALSE)</f>
        <v>111|112|113|4201|115</v>
      </c>
      <c r="K907" s="18" t="str">
        <f>VLOOKUP(E907,各职业基础配置!$B$15:$C$18,2,FALSE)</f>
        <v>32|33|34</v>
      </c>
      <c r="L907" s="18" t="str">
        <f>VLOOKUP(E907,各职业基础配置!B:C,2,FALSE)</f>
        <v>[{32,1,1},{33,1,1},{34,1,1},{35,1,1},{7,1,1},{8,1,1},{9,1,1}]</v>
      </c>
      <c r="M907" s="18">
        <v>0</v>
      </c>
      <c r="N907" s="18">
        <f t="shared" si="158"/>
        <v>7</v>
      </c>
      <c r="O907" s="18">
        <f>SUMPRODUCT(P907:AI907,Sheet2!$B$3:$U$3)</f>
        <v>32221</v>
      </c>
      <c r="P907" s="18">
        <f>CEILING(INDEX([1]系统模型!$VD:$VD,MATCH(C907,[1]系统模型!$A:$A,0))*POWER(C907/220,3.8)-50+(1000-A907),1)</f>
        <v>308</v>
      </c>
      <c r="Q907" s="18">
        <f>CEILING(INDEX([1]系统模型!$VE:$VE,MATCH(C907,[1]系统模型!$A:$A,0))*POWER(C907/220,4),1)</f>
        <v>24</v>
      </c>
      <c r="R907" s="18">
        <f>INT(INDEX([1]系统模型!$VF:$VF,MATCH(C907,[1]系统模型!$A:$A,0))*MAX(POWER(C907/180,4),0.5))</f>
        <v>6071</v>
      </c>
      <c r="S907" s="5">
        <v>1000</v>
      </c>
      <c r="T907" s="25">
        <v>0</v>
      </c>
      <c r="U907" s="25">
        <v>0</v>
      </c>
      <c r="V907" s="25">
        <v>0</v>
      </c>
      <c r="W907" s="25">
        <v>0</v>
      </c>
      <c r="X907" s="25">
        <f t="shared" si="159"/>
        <v>303</v>
      </c>
      <c r="Y907" s="12">
        <v>0</v>
      </c>
      <c r="Z907" s="25">
        <v>100</v>
      </c>
      <c r="AA907" s="25">
        <v>150</v>
      </c>
      <c r="AB907" s="25">
        <v>0</v>
      </c>
      <c r="AC907" s="25">
        <v>0</v>
      </c>
      <c r="AD907" s="25">
        <v>0</v>
      </c>
      <c r="AE907" s="25">
        <f t="shared" si="160"/>
        <v>230</v>
      </c>
      <c r="AF907" s="25">
        <f t="shared" si="161"/>
        <v>230</v>
      </c>
      <c r="AG907" s="25">
        <v>0</v>
      </c>
      <c r="AH907" s="25">
        <f t="shared" si="162"/>
        <v>0</v>
      </c>
      <c r="AI907" s="25">
        <f t="shared" si="163"/>
        <v>4</v>
      </c>
      <c r="AJ907" s="25">
        <v>1</v>
      </c>
      <c r="AK907" s="25">
        <v>1000</v>
      </c>
      <c r="AL907" s="25">
        <v>100</v>
      </c>
      <c r="AM907" s="26">
        <v>10</v>
      </c>
      <c r="AN907" s="26">
        <v>10</v>
      </c>
      <c r="AO907" s="22" t="s">
        <v>2211</v>
      </c>
      <c r="AP907" s="26">
        <v>0</v>
      </c>
      <c r="AQ907" s="26">
        <f t="shared" si="164"/>
        <v>80</v>
      </c>
      <c r="AR907" s="18" t="str">
        <f ca="1">CONCATENATE(OFFSET(Sheet1!$A$2,RANDBETWEEN(2,500),0,1,1),OFFSET(Sheet1!$A$2,RANDBETWEEN(2,500),RANDBETWEEN(1,5),1,1))</f>
        <v>卡罗尔哈利</v>
      </c>
      <c r="AS907">
        <f>SUMPRODUCT(P907:AI907,Sheet2!$B$3:$U$3)</f>
        <v>32221</v>
      </c>
    </row>
    <row r="908" spans="1:45" x14ac:dyDescent="0.15">
      <c r="A908" s="18">
        <v>907</v>
      </c>
      <c r="B908" s="18" t="s">
        <v>2168</v>
      </c>
      <c r="C908" s="18">
        <f t="shared" si="154"/>
        <v>115</v>
      </c>
      <c r="D908" s="19">
        <f t="shared" si="155"/>
        <v>3</v>
      </c>
      <c r="E908" s="19">
        <f>VLOOKUP(MOD(A908,4),各职业基础配置!C$32:D$35,2,FALSE)</f>
        <v>9</v>
      </c>
      <c r="F908" s="19">
        <f>IF(A908&lt;900,INDEX(各职业基础配置!C$23:C$28,MOD(ROW(A908),4)+1),0)</f>
        <v>0</v>
      </c>
      <c r="G908" s="19">
        <f t="shared" si="156"/>
        <v>2</v>
      </c>
      <c r="H908" s="27">
        <f t="shared" si="157"/>
        <v>1</v>
      </c>
      <c r="I908" s="6" t="s">
        <v>164</v>
      </c>
      <c r="J908" s="23" t="str">
        <f>VLOOKUP(E908,各职业基础配置!$B$9:$C$12,2,FALSE)</f>
        <v>116|117|118|4201|120</v>
      </c>
      <c r="K908" s="18" t="str">
        <f>VLOOKUP(E908,各职业基础配置!$B$15:$C$18,2,FALSE)</f>
        <v>28|29|30|31</v>
      </c>
      <c r="L908" s="18" t="str">
        <f>VLOOKUP(E908,各职业基础配置!B:C,2,FALSE)</f>
        <v>[{28,1,1},{29,1,1},{30,1,1},{31,1,1},{10,1,1},{11,1,1},{12,1,1}]</v>
      </c>
      <c r="M908" s="18">
        <v>0</v>
      </c>
      <c r="N908" s="18">
        <f t="shared" si="158"/>
        <v>3</v>
      </c>
      <c r="O908" s="18">
        <f>SUMPRODUCT(P908:AI908,Sheet2!$B$3:$U$3)</f>
        <v>32196</v>
      </c>
      <c r="P908" s="18">
        <f>CEILING(INDEX([1]系统模型!$VD:$VD,MATCH(C908,[1]系统模型!$A:$A,0))*POWER(C908/220,3.8)-50+(1000-A908),1)</f>
        <v>307</v>
      </c>
      <c r="Q908" s="18">
        <f>CEILING(INDEX([1]系统模型!$VE:$VE,MATCH(C908,[1]系统模型!$A:$A,0))*POWER(C908/220,4),1)</f>
        <v>24</v>
      </c>
      <c r="R908" s="18">
        <f>INT(INDEX([1]系统模型!$VF:$VF,MATCH(C908,[1]系统模型!$A:$A,0))*MAX(POWER(C908/180,4),0.5))</f>
        <v>6071</v>
      </c>
      <c r="S908" s="5">
        <v>1000</v>
      </c>
      <c r="T908" s="25">
        <v>0</v>
      </c>
      <c r="U908" s="25">
        <v>0</v>
      </c>
      <c r="V908" s="25">
        <v>0</v>
      </c>
      <c r="W908" s="25">
        <v>0</v>
      </c>
      <c r="X908" s="25">
        <f t="shared" si="159"/>
        <v>303</v>
      </c>
      <c r="Y908" s="12">
        <v>0</v>
      </c>
      <c r="Z908" s="25">
        <v>100</v>
      </c>
      <c r="AA908" s="25">
        <v>150</v>
      </c>
      <c r="AB908" s="25">
        <v>0</v>
      </c>
      <c r="AC908" s="25">
        <v>0</v>
      </c>
      <c r="AD908" s="25">
        <v>0</v>
      </c>
      <c r="AE908" s="25">
        <f t="shared" si="160"/>
        <v>230</v>
      </c>
      <c r="AF908" s="25">
        <f t="shared" si="161"/>
        <v>230</v>
      </c>
      <c r="AG908" s="25">
        <v>0</v>
      </c>
      <c r="AH908" s="25">
        <f t="shared" si="162"/>
        <v>0</v>
      </c>
      <c r="AI908" s="25">
        <f t="shared" si="163"/>
        <v>4</v>
      </c>
      <c r="AJ908" s="25">
        <v>1</v>
      </c>
      <c r="AK908" s="25">
        <v>1000</v>
      </c>
      <c r="AL908" s="25">
        <v>100</v>
      </c>
      <c r="AM908" s="26">
        <v>10</v>
      </c>
      <c r="AN908" s="26">
        <v>10</v>
      </c>
      <c r="AO908" s="22" t="s">
        <v>2211</v>
      </c>
      <c r="AP908" s="26">
        <v>0</v>
      </c>
      <c r="AQ908" s="26">
        <f t="shared" si="164"/>
        <v>80</v>
      </c>
      <c r="AR908" s="18" t="str">
        <f ca="1">CONCATENATE(OFFSET(Sheet1!$A$2,RANDBETWEEN(2,500),0,1,1),OFFSET(Sheet1!$A$2,RANDBETWEEN(2,500),RANDBETWEEN(1,5),1,1))</f>
        <v>芬克</v>
      </c>
      <c r="AS908">
        <f>SUMPRODUCT(P908:AI908,Sheet2!$B$3:$U$3)</f>
        <v>32196</v>
      </c>
    </row>
    <row r="909" spans="1:45" x14ac:dyDescent="0.15">
      <c r="A909" s="18">
        <v>908</v>
      </c>
      <c r="B909" s="18" t="s">
        <v>435</v>
      </c>
      <c r="C909" s="18">
        <f t="shared" si="154"/>
        <v>115</v>
      </c>
      <c r="D909" s="19">
        <f t="shared" si="155"/>
        <v>2</v>
      </c>
      <c r="E909" s="19">
        <f>VLOOKUP(MOD(A909,4),各职业基础配置!C$32:D$35,2,FALSE)</f>
        <v>1</v>
      </c>
      <c r="F909" s="19">
        <f>IF(A909&lt;900,INDEX(各职业基础配置!C$23:C$28,MOD(ROW(A909),4)+1),0)</f>
        <v>0</v>
      </c>
      <c r="G909" s="19">
        <f t="shared" si="156"/>
        <v>2</v>
      </c>
      <c r="H909" s="27">
        <f t="shared" si="157"/>
        <v>1</v>
      </c>
      <c r="I909" s="6" t="s">
        <v>164</v>
      </c>
      <c r="J909" s="23" t="str">
        <f>VLOOKUP(E909,各职业基础配置!$B$9:$C$12,2,FALSE)</f>
        <v>101|102|103|4201|105</v>
      </c>
      <c r="K909" s="18" t="str">
        <f>VLOOKUP(E909,各职业基础配置!$B$15:$C$18,2,FALSE)</f>
        <v>24|25|26|27</v>
      </c>
      <c r="L909" s="18" t="str">
        <f>VLOOKUP(E909,各职业基础配置!B:C,2,FALSE)</f>
        <v>[{24,1,1},{25,1,1},{26,1,1},{27,1,1},{1,1,1},{2,1,1},{3,1,1}]</v>
      </c>
      <c r="M909" s="18">
        <v>0</v>
      </c>
      <c r="N909" s="18">
        <f t="shared" si="158"/>
        <v>3</v>
      </c>
      <c r="O909" s="18">
        <f>SUMPRODUCT(P909:AI909,Sheet2!$B$3:$U$3)</f>
        <v>32171</v>
      </c>
      <c r="P909" s="18">
        <f>CEILING(INDEX([1]系统模型!$VD:$VD,MATCH(C909,[1]系统模型!$A:$A,0))*POWER(C909/220,3.8)-50+(1000-A909),1)</f>
        <v>306</v>
      </c>
      <c r="Q909" s="18">
        <f>CEILING(INDEX([1]系统模型!$VE:$VE,MATCH(C909,[1]系统模型!$A:$A,0))*POWER(C909/220,4),1)</f>
        <v>24</v>
      </c>
      <c r="R909" s="18">
        <f>INT(INDEX([1]系统模型!$VF:$VF,MATCH(C909,[1]系统模型!$A:$A,0))*MAX(POWER(C909/180,4),0.5))</f>
        <v>6071</v>
      </c>
      <c r="S909" s="5">
        <v>1000</v>
      </c>
      <c r="T909" s="25">
        <v>0</v>
      </c>
      <c r="U909" s="25">
        <v>0</v>
      </c>
      <c r="V909" s="25">
        <v>0</v>
      </c>
      <c r="W909" s="25">
        <v>0</v>
      </c>
      <c r="X909" s="25">
        <f t="shared" si="159"/>
        <v>303</v>
      </c>
      <c r="Y909" s="12">
        <v>0</v>
      </c>
      <c r="Z909" s="25">
        <v>100</v>
      </c>
      <c r="AA909" s="25">
        <v>150</v>
      </c>
      <c r="AB909" s="25">
        <v>0</v>
      </c>
      <c r="AC909" s="25">
        <v>0</v>
      </c>
      <c r="AD909" s="25">
        <v>0</v>
      </c>
      <c r="AE909" s="25">
        <f t="shared" si="160"/>
        <v>230</v>
      </c>
      <c r="AF909" s="25">
        <f t="shared" si="161"/>
        <v>230</v>
      </c>
      <c r="AG909" s="25">
        <v>0</v>
      </c>
      <c r="AH909" s="25">
        <f t="shared" si="162"/>
        <v>0</v>
      </c>
      <c r="AI909" s="25">
        <f t="shared" si="163"/>
        <v>4</v>
      </c>
      <c r="AJ909" s="25">
        <v>1</v>
      </c>
      <c r="AK909" s="25">
        <v>1000</v>
      </c>
      <c r="AL909" s="25">
        <v>100</v>
      </c>
      <c r="AM909" s="26">
        <v>10</v>
      </c>
      <c r="AN909" s="26">
        <v>10</v>
      </c>
      <c r="AO909" s="22" t="s">
        <v>2211</v>
      </c>
      <c r="AP909" s="26">
        <v>0</v>
      </c>
      <c r="AQ909" s="26">
        <f t="shared" si="164"/>
        <v>80</v>
      </c>
      <c r="AR909" s="18" t="str">
        <f ca="1">CONCATENATE(OFFSET(Sheet1!$A$2,RANDBETWEEN(2,500),0,1,1),OFFSET(Sheet1!$A$2,RANDBETWEEN(2,500),RANDBETWEEN(1,5),1,1))</f>
        <v>克里斯蒂</v>
      </c>
      <c r="AS909">
        <f>SUMPRODUCT(P909:AI909,Sheet2!$B$3:$U$3)</f>
        <v>32171</v>
      </c>
    </row>
    <row r="910" spans="1:45" x14ac:dyDescent="0.15">
      <c r="A910" s="23">
        <v>909</v>
      </c>
      <c r="B910" s="18" t="s">
        <v>432</v>
      </c>
      <c r="C910" s="18">
        <f t="shared" si="154"/>
        <v>115</v>
      </c>
      <c r="D910" s="19">
        <f t="shared" si="155"/>
        <v>3</v>
      </c>
      <c r="E910" s="19">
        <f>VLOOKUP(MOD(A910,4),各职业基础配置!C$32:D$35,2,FALSE)</f>
        <v>3</v>
      </c>
      <c r="F910" s="19">
        <f>IF(A910&lt;900,INDEX(各职业基础配置!C$23:C$28,MOD(ROW(A910),4)+1),0)</f>
        <v>0</v>
      </c>
      <c r="G910" s="19">
        <f t="shared" si="156"/>
        <v>2</v>
      </c>
      <c r="H910" s="27">
        <f t="shared" si="157"/>
        <v>1</v>
      </c>
      <c r="I910" s="6" t="s">
        <v>164</v>
      </c>
      <c r="J910" s="23" t="str">
        <f>VLOOKUP(E910,各职业基础配置!$B$9:$C$12,2,FALSE)</f>
        <v>106|107|108|4201|110</v>
      </c>
      <c r="K910" s="18" t="str">
        <f>VLOOKUP(E910,各职业基础配置!$B$15:$C$18,2,FALSE)</f>
        <v>20|21|22|23</v>
      </c>
      <c r="L910" s="18" t="str">
        <f>VLOOKUP(E910,各职业基础配置!B:C,2,FALSE)</f>
        <v>[{20,1,1},{21,1,1},{22,1,1},{23,1,1},{4,1,1},{5,1,1},{6,1,1}]</v>
      </c>
      <c r="M910" s="18">
        <v>0</v>
      </c>
      <c r="N910" s="18">
        <f t="shared" si="158"/>
        <v>7</v>
      </c>
      <c r="O910" s="18">
        <f>SUMPRODUCT(P910:AI910,Sheet2!$B$3:$U$3)</f>
        <v>32146</v>
      </c>
      <c r="P910" s="18">
        <f>CEILING(INDEX([1]系统模型!$VD:$VD,MATCH(C910,[1]系统模型!$A:$A,0))*POWER(C910/220,3.8)-50+(1000-A910),1)</f>
        <v>305</v>
      </c>
      <c r="Q910" s="18">
        <f>CEILING(INDEX([1]系统模型!$VE:$VE,MATCH(C910,[1]系统模型!$A:$A,0))*POWER(C910/220,4),1)</f>
        <v>24</v>
      </c>
      <c r="R910" s="18">
        <f>INT(INDEX([1]系统模型!$VF:$VF,MATCH(C910,[1]系统模型!$A:$A,0))*MAX(POWER(C910/180,4),0.5))</f>
        <v>6071</v>
      </c>
      <c r="S910" s="5">
        <v>1000</v>
      </c>
      <c r="T910" s="25">
        <v>0</v>
      </c>
      <c r="U910" s="25">
        <v>0</v>
      </c>
      <c r="V910" s="25">
        <v>0</v>
      </c>
      <c r="W910" s="25">
        <v>0</v>
      </c>
      <c r="X910" s="25">
        <f t="shared" si="159"/>
        <v>303</v>
      </c>
      <c r="Y910" s="12">
        <v>0</v>
      </c>
      <c r="Z910" s="25">
        <v>100</v>
      </c>
      <c r="AA910" s="25">
        <v>150</v>
      </c>
      <c r="AB910" s="25">
        <v>0</v>
      </c>
      <c r="AC910" s="25">
        <v>0</v>
      </c>
      <c r="AD910" s="25">
        <v>0</v>
      </c>
      <c r="AE910" s="25">
        <f t="shared" si="160"/>
        <v>230</v>
      </c>
      <c r="AF910" s="25">
        <f t="shared" si="161"/>
        <v>230</v>
      </c>
      <c r="AG910" s="25">
        <v>0</v>
      </c>
      <c r="AH910" s="25">
        <f t="shared" si="162"/>
        <v>0</v>
      </c>
      <c r="AI910" s="25">
        <f t="shared" si="163"/>
        <v>4</v>
      </c>
      <c r="AJ910" s="25">
        <v>1</v>
      </c>
      <c r="AK910" s="25">
        <v>1000</v>
      </c>
      <c r="AL910" s="25">
        <v>100</v>
      </c>
      <c r="AM910" s="26">
        <v>10</v>
      </c>
      <c r="AN910" s="26">
        <v>10</v>
      </c>
      <c r="AO910" s="22" t="s">
        <v>2211</v>
      </c>
      <c r="AP910" s="26">
        <v>0</v>
      </c>
      <c r="AQ910" s="26">
        <f t="shared" si="164"/>
        <v>80</v>
      </c>
      <c r="AR910" s="18" t="str">
        <f ca="1">CONCATENATE(OFFSET(Sheet1!$A$2,RANDBETWEEN(2,500),0,1,1),OFFSET(Sheet1!$A$2,RANDBETWEEN(2,500),RANDBETWEEN(1,5),1,1))</f>
        <v>格兰瑟姆</v>
      </c>
      <c r="AS910">
        <f>SUMPRODUCT(P910:AI910,Sheet2!$B$3:$U$3)</f>
        <v>32146</v>
      </c>
    </row>
    <row r="911" spans="1:45" x14ac:dyDescent="0.15">
      <c r="A911" s="18">
        <v>910</v>
      </c>
      <c r="B911" s="18" t="s">
        <v>444</v>
      </c>
      <c r="C911" s="18">
        <f t="shared" si="154"/>
        <v>115</v>
      </c>
      <c r="D911" s="19">
        <f t="shared" si="155"/>
        <v>2</v>
      </c>
      <c r="E911" s="19">
        <f>VLOOKUP(MOD(A911,4),各职业基础配置!C$32:D$35,2,FALSE)</f>
        <v>6</v>
      </c>
      <c r="F911" s="19">
        <f>IF(A911&lt;900,INDEX(各职业基础配置!C$23:C$28,MOD(ROW(A911),4)+1),0)</f>
        <v>0</v>
      </c>
      <c r="G911" s="19">
        <f t="shared" si="156"/>
        <v>2</v>
      </c>
      <c r="H911" s="27">
        <f t="shared" si="157"/>
        <v>1</v>
      </c>
      <c r="I911" s="6" t="s">
        <v>164</v>
      </c>
      <c r="J911" s="23" t="str">
        <f>VLOOKUP(E911,各职业基础配置!$B$9:$C$12,2,FALSE)</f>
        <v>111|112|113|4201|115</v>
      </c>
      <c r="K911" s="18" t="str">
        <f>VLOOKUP(E911,各职业基础配置!$B$15:$C$18,2,FALSE)</f>
        <v>32|33|34</v>
      </c>
      <c r="L911" s="18" t="str">
        <f>VLOOKUP(E911,各职业基础配置!B:C,2,FALSE)</f>
        <v>[{32,1,1},{33,1,1},{34,1,1},{35,1,1},{7,1,1},{8,1,1},{9,1,1}]</v>
      </c>
      <c r="M911" s="18">
        <v>0</v>
      </c>
      <c r="N911" s="18">
        <f t="shared" si="158"/>
        <v>7</v>
      </c>
      <c r="O911" s="18">
        <f>SUMPRODUCT(P911:AI911,Sheet2!$B$3:$U$3)</f>
        <v>32121</v>
      </c>
      <c r="P911" s="18">
        <f>CEILING(INDEX([1]系统模型!$VD:$VD,MATCH(C911,[1]系统模型!$A:$A,0))*POWER(C911/220,3.8)-50+(1000-A911),1)</f>
        <v>304</v>
      </c>
      <c r="Q911" s="18">
        <f>CEILING(INDEX([1]系统模型!$VE:$VE,MATCH(C911,[1]系统模型!$A:$A,0))*POWER(C911/220,4),1)</f>
        <v>24</v>
      </c>
      <c r="R911" s="18">
        <f>INT(INDEX([1]系统模型!$VF:$VF,MATCH(C911,[1]系统模型!$A:$A,0))*MAX(POWER(C911/180,4),0.5))</f>
        <v>6071</v>
      </c>
      <c r="S911" s="5">
        <v>1000</v>
      </c>
      <c r="T911" s="25">
        <v>0</v>
      </c>
      <c r="U911" s="25">
        <v>0</v>
      </c>
      <c r="V911" s="25">
        <v>0</v>
      </c>
      <c r="W911" s="25">
        <v>0</v>
      </c>
      <c r="X911" s="25">
        <f t="shared" si="159"/>
        <v>303</v>
      </c>
      <c r="Y911" s="12">
        <v>0</v>
      </c>
      <c r="Z911" s="25">
        <v>100</v>
      </c>
      <c r="AA911" s="25">
        <v>150</v>
      </c>
      <c r="AB911" s="25">
        <v>0</v>
      </c>
      <c r="AC911" s="25">
        <v>0</v>
      </c>
      <c r="AD911" s="25">
        <v>0</v>
      </c>
      <c r="AE911" s="25">
        <f t="shared" si="160"/>
        <v>230</v>
      </c>
      <c r="AF911" s="25">
        <f t="shared" si="161"/>
        <v>230</v>
      </c>
      <c r="AG911" s="25">
        <v>0</v>
      </c>
      <c r="AH911" s="25">
        <f t="shared" si="162"/>
        <v>0</v>
      </c>
      <c r="AI911" s="25">
        <f t="shared" si="163"/>
        <v>4</v>
      </c>
      <c r="AJ911" s="25">
        <v>1</v>
      </c>
      <c r="AK911" s="25">
        <v>1000</v>
      </c>
      <c r="AL911" s="25">
        <v>100</v>
      </c>
      <c r="AM911" s="26">
        <v>10</v>
      </c>
      <c r="AN911" s="26">
        <v>10</v>
      </c>
      <c r="AO911" s="22" t="s">
        <v>2211</v>
      </c>
      <c r="AP911" s="26">
        <v>0</v>
      </c>
      <c r="AQ911" s="26">
        <f t="shared" si="164"/>
        <v>80</v>
      </c>
      <c r="AR911" s="18" t="str">
        <f ca="1">CONCATENATE(OFFSET(Sheet1!$A$2,RANDBETWEEN(2,500),0,1,1),OFFSET(Sheet1!$A$2,RANDBETWEEN(2,500),RANDBETWEEN(1,5),1,1))</f>
        <v>康芒斯精英</v>
      </c>
      <c r="AS911">
        <f>SUMPRODUCT(P911:AI911,Sheet2!$B$3:$U$3)</f>
        <v>32121</v>
      </c>
    </row>
    <row r="912" spans="1:45" x14ac:dyDescent="0.15">
      <c r="A912" s="18">
        <v>911</v>
      </c>
      <c r="B912" s="18" t="s">
        <v>419</v>
      </c>
      <c r="C912" s="18">
        <f t="shared" si="154"/>
        <v>115</v>
      </c>
      <c r="D912" s="19">
        <f t="shared" si="155"/>
        <v>3</v>
      </c>
      <c r="E912" s="19">
        <f>VLOOKUP(MOD(A912,4),各职业基础配置!C$32:D$35,2,FALSE)</f>
        <v>9</v>
      </c>
      <c r="F912" s="19">
        <f>IF(A912&lt;900,INDEX(各职业基础配置!C$23:C$28,MOD(ROW(A912),4)+1),0)</f>
        <v>0</v>
      </c>
      <c r="G912" s="19">
        <f t="shared" si="156"/>
        <v>2</v>
      </c>
      <c r="H912" s="27">
        <f t="shared" si="157"/>
        <v>1</v>
      </c>
      <c r="I912" s="6" t="s">
        <v>164</v>
      </c>
      <c r="J912" s="23" t="str">
        <f>VLOOKUP(E912,各职业基础配置!$B$9:$C$12,2,FALSE)</f>
        <v>116|117|118|4201|120</v>
      </c>
      <c r="K912" s="18" t="str">
        <f>VLOOKUP(E912,各职业基础配置!$B$15:$C$18,2,FALSE)</f>
        <v>28|29|30|31</v>
      </c>
      <c r="L912" s="18" t="str">
        <f>VLOOKUP(E912,各职业基础配置!B:C,2,FALSE)</f>
        <v>[{28,1,1},{29,1,1},{30,1,1},{31,1,1},{10,1,1},{11,1,1},{12,1,1}]</v>
      </c>
      <c r="M912" s="18">
        <v>0</v>
      </c>
      <c r="N912" s="18">
        <f t="shared" si="158"/>
        <v>3</v>
      </c>
      <c r="O912" s="18">
        <f>SUMPRODUCT(P912:AI912,Sheet2!$B$3:$U$3)</f>
        <v>32096</v>
      </c>
      <c r="P912" s="18">
        <f>CEILING(INDEX([1]系统模型!$VD:$VD,MATCH(C912,[1]系统模型!$A:$A,0))*POWER(C912/220,3.8)-50+(1000-A912),1)</f>
        <v>303</v>
      </c>
      <c r="Q912" s="18">
        <f>CEILING(INDEX([1]系统模型!$VE:$VE,MATCH(C912,[1]系统模型!$A:$A,0))*POWER(C912/220,4),1)</f>
        <v>24</v>
      </c>
      <c r="R912" s="18">
        <f>INT(INDEX([1]系统模型!$VF:$VF,MATCH(C912,[1]系统模型!$A:$A,0))*MAX(POWER(C912/180,4),0.5))</f>
        <v>6071</v>
      </c>
      <c r="S912" s="5">
        <v>1000</v>
      </c>
      <c r="T912" s="25">
        <v>0</v>
      </c>
      <c r="U912" s="25">
        <v>0</v>
      </c>
      <c r="V912" s="25">
        <v>0</v>
      </c>
      <c r="W912" s="25">
        <v>0</v>
      </c>
      <c r="X912" s="25">
        <f t="shared" si="159"/>
        <v>303</v>
      </c>
      <c r="Y912" s="12">
        <v>0</v>
      </c>
      <c r="Z912" s="25">
        <v>100</v>
      </c>
      <c r="AA912" s="25">
        <v>150</v>
      </c>
      <c r="AB912" s="25">
        <v>0</v>
      </c>
      <c r="AC912" s="25">
        <v>0</v>
      </c>
      <c r="AD912" s="25">
        <v>0</v>
      </c>
      <c r="AE912" s="25">
        <f t="shared" si="160"/>
        <v>230</v>
      </c>
      <c r="AF912" s="25">
        <f t="shared" si="161"/>
        <v>230</v>
      </c>
      <c r="AG912" s="25">
        <v>0</v>
      </c>
      <c r="AH912" s="25">
        <f t="shared" si="162"/>
        <v>0</v>
      </c>
      <c r="AI912" s="25">
        <f t="shared" si="163"/>
        <v>4</v>
      </c>
      <c r="AJ912" s="25">
        <v>1</v>
      </c>
      <c r="AK912" s="25">
        <v>1000</v>
      </c>
      <c r="AL912" s="25">
        <v>100</v>
      </c>
      <c r="AM912" s="26">
        <v>10</v>
      </c>
      <c r="AN912" s="26">
        <v>10</v>
      </c>
      <c r="AO912" s="22" t="s">
        <v>2211</v>
      </c>
      <c r="AP912" s="26">
        <v>0</v>
      </c>
      <c r="AQ912" s="26">
        <f t="shared" si="164"/>
        <v>80</v>
      </c>
      <c r="AR912" s="18" t="str">
        <f ca="1">CONCATENATE(OFFSET(Sheet1!$A$2,RANDBETWEEN(2,500),0,1,1),OFFSET(Sheet1!$A$2,RANDBETWEEN(2,500),RANDBETWEEN(1,5),1,1))</f>
        <v>亚历山大</v>
      </c>
      <c r="AS912">
        <f>SUMPRODUCT(P912:AI912,Sheet2!$B$3:$U$3)</f>
        <v>32096</v>
      </c>
    </row>
    <row r="913" spans="1:45" x14ac:dyDescent="0.15">
      <c r="A913" s="23">
        <v>912</v>
      </c>
      <c r="B913" s="18" t="s">
        <v>2169</v>
      </c>
      <c r="C913" s="18">
        <f t="shared" si="154"/>
        <v>115</v>
      </c>
      <c r="D913" s="19">
        <f t="shared" si="155"/>
        <v>2</v>
      </c>
      <c r="E913" s="19">
        <f>VLOOKUP(MOD(A913,4),各职业基础配置!C$32:D$35,2,FALSE)</f>
        <v>1</v>
      </c>
      <c r="F913" s="19">
        <f>IF(A913&lt;900,INDEX(各职业基础配置!C$23:C$28,MOD(ROW(A913),4)+1),0)</f>
        <v>0</v>
      </c>
      <c r="G913" s="19">
        <f t="shared" si="156"/>
        <v>2</v>
      </c>
      <c r="H913" s="27">
        <f t="shared" si="157"/>
        <v>1</v>
      </c>
      <c r="I913" s="6" t="s">
        <v>164</v>
      </c>
      <c r="J913" s="23" t="str">
        <f>VLOOKUP(E913,各职业基础配置!$B$9:$C$12,2,FALSE)</f>
        <v>101|102|103|4201|105</v>
      </c>
      <c r="K913" s="18" t="str">
        <f>VLOOKUP(E913,各职业基础配置!$B$15:$C$18,2,FALSE)</f>
        <v>24|25|26|27</v>
      </c>
      <c r="L913" s="18" t="str">
        <f>VLOOKUP(E913,各职业基础配置!B:C,2,FALSE)</f>
        <v>[{24,1,1},{25,1,1},{26,1,1},{27,1,1},{1,1,1},{2,1,1},{3,1,1}]</v>
      </c>
      <c r="M913" s="18">
        <v>0</v>
      </c>
      <c r="N913" s="18">
        <f t="shared" si="158"/>
        <v>3</v>
      </c>
      <c r="O913" s="18">
        <f>SUMPRODUCT(P913:AI913,Sheet2!$B$3:$U$3)</f>
        <v>32071</v>
      </c>
      <c r="P913" s="18">
        <f>CEILING(INDEX([1]系统模型!$VD:$VD,MATCH(C913,[1]系统模型!$A:$A,0))*POWER(C913/220,3.8)-50+(1000-A913),1)</f>
        <v>302</v>
      </c>
      <c r="Q913" s="18">
        <f>CEILING(INDEX([1]系统模型!$VE:$VE,MATCH(C913,[1]系统模型!$A:$A,0))*POWER(C913/220,4),1)</f>
        <v>24</v>
      </c>
      <c r="R913" s="18">
        <f>INT(INDEX([1]系统模型!$VF:$VF,MATCH(C913,[1]系统模型!$A:$A,0))*MAX(POWER(C913/180,4),0.5))</f>
        <v>6071</v>
      </c>
      <c r="S913" s="5">
        <v>1000</v>
      </c>
      <c r="T913" s="25">
        <v>0</v>
      </c>
      <c r="U913" s="25">
        <v>0</v>
      </c>
      <c r="V913" s="25">
        <v>0</v>
      </c>
      <c r="W913" s="25">
        <v>0</v>
      </c>
      <c r="X913" s="25">
        <f t="shared" si="159"/>
        <v>303</v>
      </c>
      <c r="Y913" s="12">
        <v>0</v>
      </c>
      <c r="Z913" s="25">
        <v>100</v>
      </c>
      <c r="AA913" s="25">
        <v>150</v>
      </c>
      <c r="AB913" s="25">
        <v>0</v>
      </c>
      <c r="AC913" s="25">
        <v>0</v>
      </c>
      <c r="AD913" s="25">
        <v>0</v>
      </c>
      <c r="AE913" s="25">
        <f t="shared" si="160"/>
        <v>230</v>
      </c>
      <c r="AF913" s="25">
        <f t="shared" si="161"/>
        <v>230</v>
      </c>
      <c r="AG913" s="25">
        <v>0</v>
      </c>
      <c r="AH913" s="25">
        <f t="shared" si="162"/>
        <v>0</v>
      </c>
      <c r="AI913" s="25">
        <f t="shared" si="163"/>
        <v>4</v>
      </c>
      <c r="AJ913" s="25">
        <v>1</v>
      </c>
      <c r="AK913" s="25">
        <v>1000</v>
      </c>
      <c r="AL913" s="25">
        <v>100</v>
      </c>
      <c r="AM913" s="26">
        <v>10</v>
      </c>
      <c r="AN913" s="26">
        <v>10</v>
      </c>
      <c r="AO913" s="22" t="s">
        <v>2211</v>
      </c>
      <c r="AP913" s="26">
        <v>0</v>
      </c>
      <c r="AQ913" s="26">
        <f t="shared" si="164"/>
        <v>70</v>
      </c>
      <c r="AR913" s="18" t="str">
        <f ca="1">CONCATENATE(OFFSET(Sheet1!$A$2,RANDBETWEEN(2,500),0,1,1),OFFSET(Sheet1!$A$2,RANDBETWEEN(2,500),RANDBETWEEN(1,5),1,1))</f>
        <v>戈德温安妮</v>
      </c>
      <c r="AS913">
        <f>SUMPRODUCT(P913:AI913,Sheet2!$B$3:$U$3)</f>
        <v>32071</v>
      </c>
    </row>
    <row r="914" spans="1:45" x14ac:dyDescent="0.15">
      <c r="A914" s="18">
        <v>913</v>
      </c>
      <c r="B914" s="18" t="s">
        <v>1105</v>
      </c>
      <c r="C914" s="18">
        <f t="shared" si="154"/>
        <v>114</v>
      </c>
      <c r="D914" s="19">
        <f t="shared" si="155"/>
        <v>3</v>
      </c>
      <c r="E914" s="19">
        <f>VLOOKUP(MOD(A914,4),各职业基础配置!C$32:D$35,2,FALSE)</f>
        <v>3</v>
      </c>
      <c r="F914" s="19">
        <f>IF(A914&lt;900,INDEX(各职业基础配置!C$23:C$28,MOD(ROW(A914),4)+1),0)</f>
        <v>0</v>
      </c>
      <c r="G914" s="19">
        <f t="shared" si="156"/>
        <v>2</v>
      </c>
      <c r="H914" s="27">
        <f t="shared" si="157"/>
        <v>1</v>
      </c>
      <c r="I914" s="6" t="s">
        <v>164</v>
      </c>
      <c r="J914" s="23" t="str">
        <f>VLOOKUP(E914,各职业基础配置!$B$9:$C$12,2,FALSE)</f>
        <v>106|107|108|4201|110</v>
      </c>
      <c r="K914" s="18" t="str">
        <f>VLOOKUP(E914,各职业基础配置!$B$15:$C$18,2,FALSE)</f>
        <v>20|21|22|23</v>
      </c>
      <c r="L914" s="18" t="str">
        <f>VLOOKUP(E914,各职业基础配置!B:C,2,FALSE)</f>
        <v>[{20,1,1},{21,1,1},{22,1,1},{23,1,1},{4,1,1},{5,1,1},{6,1,1}]</v>
      </c>
      <c r="M914" s="18">
        <v>0</v>
      </c>
      <c r="N914" s="18">
        <f t="shared" si="158"/>
        <v>7</v>
      </c>
      <c r="O914" s="18">
        <f>SUMPRODUCT(P914:AI914,Sheet2!$B$3:$U$3)</f>
        <v>31505</v>
      </c>
      <c r="P914" s="18">
        <f>CEILING(INDEX([1]系统模型!$VD:$VD,MATCH(C914,[1]系统模型!$A:$A,0))*POWER(C914/220,3.8)-50+(1000-A914),1)</f>
        <v>288</v>
      </c>
      <c r="Q914" s="18">
        <f>CEILING(INDEX([1]系统模型!$VE:$VE,MATCH(C914,[1]系统模型!$A:$A,0))*POWER(C914/220,4),1)</f>
        <v>23</v>
      </c>
      <c r="R914" s="18">
        <f>INT(INDEX([1]系统模型!$VF:$VF,MATCH(C914,[1]系统模型!$A:$A,0))*MAX(POWER(C914/180,4),0.5))</f>
        <v>6005</v>
      </c>
      <c r="S914" s="5">
        <v>1000</v>
      </c>
      <c r="T914" s="25">
        <v>0</v>
      </c>
      <c r="U914" s="25">
        <v>0</v>
      </c>
      <c r="V914" s="25">
        <v>0</v>
      </c>
      <c r="W914" s="25">
        <v>0</v>
      </c>
      <c r="X914" s="25">
        <f t="shared" si="159"/>
        <v>300</v>
      </c>
      <c r="Y914" s="12">
        <v>0</v>
      </c>
      <c r="Z914" s="25">
        <v>100</v>
      </c>
      <c r="AA914" s="25">
        <v>150</v>
      </c>
      <c r="AB914" s="25">
        <v>0</v>
      </c>
      <c r="AC914" s="25">
        <v>0</v>
      </c>
      <c r="AD914" s="25">
        <v>0</v>
      </c>
      <c r="AE914" s="25">
        <f t="shared" si="160"/>
        <v>228</v>
      </c>
      <c r="AF914" s="25">
        <f t="shared" si="161"/>
        <v>228</v>
      </c>
      <c r="AG914" s="25">
        <v>0</v>
      </c>
      <c r="AH914" s="25">
        <f t="shared" si="162"/>
        <v>0</v>
      </c>
      <c r="AI914" s="25">
        <f t="shared" si="163"/>
        <v>3</v>
      </c>
      <c r="AJ914" s="25">
        <v>1</v>
      </c>
      <c r="AK914" s="25">
        <v>1000</v>
      </c>
      <c r="AL914" s="25">
        <v>100</v>
      </c>
      <c r="AM914" s="26">
        <v>10</v>
      </c>
      <c r="AN914" s="26">
        <v>10</v>
      </c>
      <c r="AO914" s="22" t="s">
        <v>2211</v>
      </c>
      <c r="AP914" s="26">
        <v>0</v>
      </c>
      <c r="AQ914" s="26">
        <f t="shared" si="164"/>
        <v>70</v>
      </c>
      <c r="AR914" s="18" t="str">
        <f ca="1">CONCATENATE(OFFSET(Sheet1!$A$2,RANDBETWEEN(2,500),0,1,1),OFFSET(Sheet1!$A$2,RANDBETWEEN(2,500),RANDBETWEEN(1,5),1,1))</f>
        <v>伊利克特拉昆娜</v>
      </c>
      <c r="AS914">
        <f>SUMPRODUCT(P914:AI914,Sheet2!$B$3:$U$3)</f>
        <v>31505</v>
      </c>
    </row>
    <row r="915" spans="1:45" x14ac:dyDescent="0.15">
      <c r="A915" s="18">
        <v>914</v>
      </c>
      <c r="B915" s="18" t="s">
        <v>247</v>
      </c>
      <c r="C915" s="18">
        <f t="shared" si="154"/>
        <v>114</v>
      </c>
      <c r="D915" s="19">
        <f t="shared" si="155"/>
        <v>2</v>
      </c>
      <c r="E915" s="19">
        <f>VLOOKUP(MOD(A915,4),各职业基础配置!C$32:D$35,2,FALSE)</f>
        <v>6</v>
      </c>
      <c r="F915" s="19">
        <f>IF(A915&lt;900,INDEX(各职业基础配置!C$23:C$28,MOD(ROW(A915),4)+1),0)</f>
        <v>0</v>
      </c>
      <c r="G915" s="19">
        <f t="shared" si="156"/>
        <v>2</v>
      </c>
      <c r="H915" s="27">
        <f t="shared" si="157"/>
        <v>1</v>
      </c>
      <c r="I915" s="6" t="s">
        <v>164</v>
      </c>
      <c r="J915" s="23" t="str">
        <f>VLOOKUP(E915,各职业基础配置!$B$9:$C$12,2,FALSE)</f>
        <v>111|112|113|4201|115</v>
      </c>
      <c r="K915" s="18" t="str">
        <f>VLOOKUP(E915,各职业基础配置!$B$15:$C$18,2,FALSE)</f>
        <v>32|33|34</v>
      </c>
      <c r="L915" s="18" t="str">
        <f>VLOOKUP(E915,各职业基础配置!B:C,2,FALSE)</f>
        <v>[{32,1,1},{33,1,1},{34,1,1},{35,1,1},{7,1,1},{8,1,1},{9,1,1}]</v>
      </c>
      <c r="M915" s="18">
        <v>0</v>
      </c>
      <c r="N915" s="18">
        <f t="shared" si="158"/>
        <v>7</v>
      </c>
      <c r="O915" s="18">
        <f>SUMPRODUCT(P915:AI915,Sheet2!$B$3:$U$3)</f>
        <v>31480</v>
      </c>
      <c r="P915" s="18">
        <f>CEILING(INDEX([1]系统模型!$VD:$VD,MATCH(C915,[1]系统模型!$A:$A,0))*POWER(C915/220,3.8)-50+(1000-A915),1)</f>
        <v>287</v>
      </c>
      <c r="Q915" s="18">
        <f>CEILING(INDEX([1]系统模型!$VE:$VE,MATCH(C915,[1]系统模型!$A:$A,0))*POWER(C915/220,4),1)</f>
        <v>23</v>
      </c>
      <c r="R915" s="18">
        <f>INT(INDEX([1]系统模型!$VF:$VF,MATCH(C915,[1]系统模型!$A:$A,0))*MAX(POWER(C915/180,4),0.5))</f>
        <v>6005</v>
      </c>
      <c r="S915" s="5">
        <v>1000</v>
      </c>
      <c r="T915" s="25">
        <v>0</v>
      </c>
      <c r="U915" s="25">
        <v>0</v>
      </c>
      <c r="V915" s="25">
        <v>0</v>
      </c>
      <c r="W915" s="25">
        <v>0</v>
      </c>
      <c r="X915" s="25">
        <f t="shared" si="159"/>
        <v>300</v>
      </c>
      <c r="Y915" s="12">
        <v>0</v>
      </c>
      <c r="Z915" s="25">
        <v>100</v>
      </c>
      <c r="AA915" s="25">
        <v>150</v>
      </c>
      <c r="AB915" s="25">
        <v>0</v>
      </c>
      <c r="AC915" s="25">
        <v>0</v>
      </c>
      <c r="AD915" s="25">
        <v>0</v>
      </c>
      <c r="AE915" s="25">
        <f t="shared" si="160"/>
        <v>228</v>
      </c>
      <c r="AF915" s="25">
        <f t="shared" si="161"/>
        <v>228</v>
      </c>
      <c r="AG915" s="25">
        <v>0</v>
      </c>
      <c r="AH915" s="25">
        <f t="shared" si="162"/>
        <v>0</v>
      </c>
      <c r="AI915" s="25">
        <f t="shared" si="163"/>
        <v>3</v>
      </c>
      <c r="AJ915" s="25">
        <v>1</v>
      </c>
      <c r="AK915" s="25">
        <v>1000</v>
      </c>
      <c r="AL915" s="25">
        <v>100</v>
      </c>
      <c r="AM915" s="26">
        <v>10</v>
      </c>
      <c r="AN915" s="26">
        <v>10</v>
      </c>
      <c r="AO915" s="22" t="s">
        <v>2211</v>
      </c>
      <c r="AP915" s="26">
        <v>0</v>
      </c>
      <c r="AQ915" s="26">
        <f t="shared" si="164"/>
        <v>70</v>
      </c>
      <c r="AR915" s="18" t="str">
        <f ca="1">CONCATENATE(OFFSET(Sheet1!$A$2,RANDBETWEEN(2,500),0,1,1),OFFSET(Sheet1!$A$2,RANDBETWEEN(2,500),RANDBETWEEN(1,5),1,1))</f>
        <v>比利</v>
      </c>
      <c r="AS915">
        <f>SUMPRODUCT(P915:AI915,Sheet2!$B$3:$U$3)</f>
        <v>31480</v>
      </c>
    </row>
    <row r="916" spans="1:45" x14ac:dyDescent="0.15">
      <c r="A916" s="23">
        <v>915</v>
      </c>
      <c r="B916" s="18" t="s">
        <v>2170</v>
      </c>
      <c r="C916" s="18">
        <f t="shared" si="154"/>
        <v>114</v>
      </c>
      <c r="D916" s="19">
        <f t="shared" si="155"/>
        <v>3</v>
      </c>
      <c r="E916" s="19">
        <f>VLOOKUP(MOD(A916,4),各职业基础配置!C$32:D$35,2,FALSE)</f>
        <v>9</v>
      </c>
      <c r="F916" s="19">
        <f>IF(A916&lt;900,INDEX(各职业基础配置!C$23:C$28,MOD(ROW(A916),4)+1),0)</f>
        <v>0</v>
      </c>
      <c r="G916" s="19">
        <f t="shared" si="156"/>
        <v>2</v>
      </c>
      <c r="H916" s="27">
        <f t="shared" si="157"/>
        <v>1</v>
      </c>
      <c r="I916" s="6" t="s">
        <v>164</v>
      </c>
      <c r="J916" s="23" t="str">
        <f>VLOOKUP(E916,各职业基础配置!$B$9:$C$12,2,FALSE)</f>
        <v>116|117|118|4201|120</v>
      </c>
      <c r="K916" s="18" t="str">
        <f>VLOOKUP(E916,各职业基础配置!$B$15:$C$18,2,FALSE)</f>
        <v>28|29|30|31</v>
      </c>
      <c r="L916" s="18" t="str">
        <f>VLOOKUP(E916,各职业基础配置!B:C,2,FALSE)</f>
        <v>[{28,1,1},{29,1,1},{30,1,1},{31,1,1},{10,1,1},{11,1,1},{12,1,1}]</v>
      </c>
      <c r="M916" s="18">
        <v>0</v>
      </c>
      <c r="N916" s="18">
        <f t="shared" si="158"/>
        <v>3</v>
      </c>
      <c r="O916" s="18">
        <f>SUMPRODUCT(P916:AI916,Sheet2!$B$3:$U$3)</f>
        <v>31455</v>
      </c>
      <c r="P916" s="18">
        <f>CEILING(INDEX([1]系统模型!$VD:$VD,MATCH(C916,[1]系统模型!$A:$A,0))*POWER(C916/220,3.8)-50+(1000-A916),1)</f>
        <v>286</v>
      </c>
      <c r="Q916" s="18">
        <f>CEILING(INDEX([1]系统模型!$VE:$VE,MATCH(C916,[1]系统模型!$A:$A,0))*POWER(C916/220,4),1)</f>
        <v>23</v>
      </c>
      <c r="R916" s="18">
        <f>INT(INDEX([1]系统模型!$VF:$VF,MATCH(C916,[1]系统模型!$A:$A,0))*MAX(POWER(C916/180,4),0.5))</f>
        <v>6005</v>
      </c>
      <c r="S916" s="5">
        <v>1000</v>
      </c>
      <c r="T916" s="25">
        <v>0</v>
      </c>
      <c r="U916" s="25">
        <v>0</v>
      </c>
      <c r="V916" s="25">
        <v>0</v>
      </c>
      <c r="W916" s="25">
        <v>0</v>
      </c>
      <c r="X916" s="25">
        <f t="shared" si="159"/>
        <v>300</v>
      </c>
      <c r="Y916" s="12">
        <v>0</v>
      </c>
      <c r="Z916" s="25">
        <v>100</v>
      </c>
      <c r="AA916" s="25">
        <v>150</v>
      </c>
      <c r="AB916" s="25">
        <v>0</v>
      </c>
      <c r="AC916" s="25">
        <v>0</v>
      </c>
      <c r="AD916" s="25">
        <v>0</v>
      </c>
      <c r="AE916" s="25">
        <f t="shared" si="160"/>
        <v>228</v>
      </c>
      <c r="AF916" s="25">
        <f t="shared" si="161"/>
        <v>228</v>
      </c>
      <c r="AG916" s="25">
        <v>0</v>
      </c>
      <c r="AH916" s="25">
        <f t="shared" si="162"/>
        <v>0</v>
      </c>
      <c r="AI916" s="25">
        <f t="shared" si="163"/>
        <v>3</v>
      </c>
      <c r="AJ916" s="25">
        <v>1</v>
      </c>
      <c r="AK916" s="25">
        <v>1000</v>
      </c>
      <c r="AL916" s="25">
        <v>100</v>
      </c>
      <c r="AM916" s="26">
        <v>10</v>
      </c>
      <c r="AN916" s="26">
        <v>10</v>
      </c>
      <c r="AO916" s="22" t="s">
        <v>2211</v>
      </c>
      <c r="AP916" s="26">
        <v>0</v>
      </c>
      <c r="AQ916" s="26">
        <f t="shared" si="164"/>
        <v>70</v>
      </c>
      <c r="AR916" s="18" t="str">
        <f ca="1">CONCATENATE(OFFSET(Sheet1!$A$2,RANDBETWEEN(2,500),0,1,1),OFFSET(Sheet1!$A$2,RANDBETWEEN(2,500),RANDBETWEEN(1,5),1,1))</f>
        <v>科克尔罗克珊</v>
      </c>
      <c r="AS916">
        <f>SUMPRODUCT(P916:AI916,Sheet2!$B$3:$U$3)</f>
        <v>31455</v>
      </c>
    </row>
    <row r="917" spans="1:45" x14ac:dyDescent="0.15">
      <c r="A917" s="18">
        <v>916</v>
      </c>
      <c r="B917" s="18" t="s">
        <v>2171</v>
      </c>
      <c r="C917" s="18">
        <f t="shared" si="154"/>
        <v>114</v>
      </c>
      <c r="D917" s="19">
        <f t="shared" si="155"/>
        <v>2</v>
      </c>
      <c r="E917" s="19">
        <f>VLOOKUP(MOD(A917,4),各职业基础配置!C$32:D$35,2,FALSE)</f>
        <v>1</v>
      </c>
      <c r="F917" s="19">
        <f>IF(A917&lt;900,INDEX(各职业基础配置!C$23:C$28,MOD(ROW(A917),4)+1),0)</f>
        <v>0</v>
      </c>
      <c r="G917" s="19">
        <f t="shared" si="156"/>
        <v>2</v>
      </c>
      <c r="H917" s="27">
        <f t="shared" si="157"/>
        <v>1</v>
      </c>
      <c r="I917" s="6" t="s">
        <v>164</v>
      </c>
      <c r="J917" s="23" t="str">
        <f>VLOOKUP(E917,各职业基础配置!$B$9:$C$12,2,FALSE)</f>
        <v>101|102|103|4201|105</v>
      </c>
      <c r="K917" s="18" t="str">
        <f>VLOOKUP(E917,各职业基础配置!$B$15:$C$18,2,FALSE)</f>
        <v>24|25|26|27</v>
      </c>
      <c r="L917" s="18" t="str">
        <f>VLOOKUP(E917,各职业基础配置!B:C,2,FALSE)</f>
        <v>[{24,1,1},{25,1,1},{26,1,1},{27,1,1},{1,1,1},{2,1,1},{3,1,1}]</v>
      </c>
      <c r="M917" s="18">
        <v>0</v>
      </c>
      <c r="N917" s="18">
        <f t="shared" si="158"/>
        <v>3</v>
      </c>
      <c r="O917" s="18">
        <f>SUMPRODUCT(P917:AI917,Sheet2!$B$3:$U$3)</f>
        <v>31430</v>
      </c>
      <c r="P917" s="18">
        <f>CEILING(INDEX([1]系统模型!$VD:$VD,MATCH(C917,[1]系统模型!$A:$A,0))*POWER(C917/220,3.8)-50+(1000-A917),1)</f>
        <v>285</v>
      </c>
      <c r="Q917" s="18">
        <f>CEILING(INDEX([1]系统模型!$VE:$VE,MATCH(C917,[1]系统模型!$A:$A,0))*POWER(C917/220,4),1)</f>
        <v>23</v>
      </c>
      <c r="R917" s="18">
        <f>INT(INDEX([1]系统模型!$VF:$VF,MATCH(C917,[1]系统模型!$A:$A,0))*MAX(POWER(C917/180,4),0.5))</f>
        <v>6005</v>
      </c>
      <c r="S917" s="5">
        <v>1000</v>
      </c>
      <c r="T917" s="25">
        <v>0</v>
      </c>
      <c r="U917" s="25">
        <v>0</v>
      </c>
      <c r="V917" s="25">
        <v>0</v>
      </c>
      <c r="W917" s="25">
        <v>0</v>
      </c>
      <c r="X917" s="25">
        <f t="shared" si="159"/>
        <v>300</v>
      </c>
      <c r="Y917" s="12">
        <v>0</v>
      </c>
      <c r="Z917" s="25">
        <v>100</v>
      </c>
      <c r="AA917" s="25">
        <v>150</v>
      </c>
      <c r="AB917" s="25">
        <v>0</v>
      </c>
      <c r="AC917" s="25">
        <v>0</v>
      </c>
      <c r="AD917" s="25">
        <v>0</v>
      </c>
      <c r="AE917" s="25">
        <f t="shared" si="160"/>
        <v>228</v>
      </c>
      <c r="AF917" s="25">
        <f t="shared" si="161"/>
        <v>228</v>
      </c>
      <c r="AG917" s="25">
        <v>0</v>
      </c>
      <c r="AH917" s="25">
        <f t="shared" si="162"/>
        <v>0</v>
      </c>
      <c r="AI917" s="25">
        <f t="shared" si="163"/>
        <v>3</v>
      </c>
      <c r="AJ917" s="25">
        <v>1</v>
      </c>
      <c r="AK917" s="25">
        <v>1000</v>
      </c>
      <c r="AL917" s="25">
        <v>100</v>
      </c>
      <c r="AM917" s="26">
        <v>10</v>
      </c>
      <c r="AN917" s="26">
        <v>10</v>
      </c>
      <c r="AO917" s="22" t="s">
        <v>2211</v>
      </c>
      <c r="AP917" s="26">
        <v>0</v>
      </c>
      <c r="AQ917" s="26">
        <f t="shared" si="164"/>
        <v>70</v>
      </c>
      <c r="AR917" s="18" t="str">
        <f ca="1">CONCATENATE(OFFSET(Sheet1!$A$2,RANDBETWEEN(2,500),0,1,1),OFFSET(Sheet1!$A$2,RANDBETWEEN(2,500),RANDBETWEEN(1,5),1,1))</f>
        <v>休谟莉娃</v>
      </c>
      <c r="AS917">
        <f>SUMPRODUCT(P917:AI917,Sheet2!$B$3:$U$3)</f>
        <v>31430</v>
      </c>
    </row>
    <row r="918" spans="1:45" x14ac:dyDescent="0.15">
      <c r="A918" s="18">
        <v>917</v>
      </c>
      <c r="B918" s="18" t="s">
        <v>997</v>
      </c>
      <c r="C918" s="18">
        <f t="shared" si="154"/>
        <v>114</v>
      </c>
      <c r="D918" s="19">
        <f t="shared" si="155"/>
        <v>3</v>
      </c>
      <c r="E918" s="19">
        <f>VLOOKUP(MOD(A918,4),各职业基础配置!C$32:D$35,2,FALSE)</f>
        <v>3</v>
      </c>
      <c r="F918" s="19">
        <f>IF(A918&lt;900,INDEX(各职业基础配置!C$23:C$28,MOD(ROW(A918),4)+1),0)</f>
        <v>0</v>
      </c>
      <c r="G918" s="19">
        <f t="shared" si="156"/>
        <v>2</v>
      </c>
      <c r="H918" s="27">
        <f t="shared" si="157"/>
        <v>1</v>
      </c>
      <c r="I918" s="6" t="s">
        <v>164</v>
      </c>
      <c r="J918" s="23" t="str">
        <f>VLOOKUP(E918,各职业基础配置!$B$9:$C$12,2,FALSE)</f>
        <v>106|107|108|4201|110</v>
      </c>
      <c r="K918" s="18" t="str">
        <f>VLOOKUP(E918,各职业基础配置!$B$15:$C$18,2,FALSE)</f>
        <v>20|21|22|23</v>
      </c>
      <c r="L918" s="18" t="str">
        <f>VLOOKUP(E918,各职业基础配置!B:C,2,FALSE)</f>
        <v>[{20,1,1},{21,1,1},{22,1,1},{23,1,1},{4,1,1},{5,1,1},{6,1,1}]</v>
      </c>
      <c r="M918" s="18">
        <v>0</v>
      </c>
      <c r="N918" s="18">
        <f t="shared" si="158"/>
        <v>7</v>
      </c>
      <c r="O918" s="18">
        <f>SUMPRODUCT(P918:AI918,Sheet2!$B$3:$U$3)</f>
        <v>31405</v>
      </c>
      <c r="P918" s="18">
        <f>CEILING(INDEX([1]系统模型!$VD:$VD,MATCH(C918,[1]系统模型!$A:$A,0))*POWER(C918/220,3.8)-50+(1000-A918),1)</f>
        <v>284</v>
      </c>
      <c r="Q918" s="18">
        <f>CEILING(INDEX([1]系统模型!$VE:$VE,MATCH(C918,[1]系统模型!$A:$A,0))*POWER(C918/220,4),1)</f>
        <v>23</v>
      </c>
      <c r="R918" s="18">
        <f>INT(INDEX([1]系统模型!$VF:$VF,MATCH(C918,[1]系统模型!$A:$A,0))*MAX(POWER(C918/180,4),0.5))</f>
        <v>6005</v>
      </c>
      <c r="S918" s="5">
        <v>1000</v>
      </c>
      <c r="T918" s="25">
        <v>0</v>
      </c>
      <c r="U918" s="25">
        <v>0</v>
      </c>
      <c r="V918" s="25">
        <v>0</v>
      </c>
      <c r="W918" s="25">
        <v>0</v>
      </c>
      <c r="X918" s="25">
        <f t="shared" si="159"/>
        <v>300</v>
      </c>
      <c r="Y918" s="12">
        <v>0</v>
      </c>
      <c r="Z918" s="25">
        <v>100</v>
      </c>
      <c r="AA918" s="25">
        <v>150</v>
      </c>
      <c r="AB918" s="25">
        <v>0</v>
      </c>
      <c r="AC918" s="25">
        <v>0</v>
      </c>
      <c r="AD918" s="25">
        <v>0</v>
      </c>
      <c r="AE918" s="25">
        <f t="shared" si="160"/>
        <v>228</v>
      </c>
      <c r="AF918" s="25">
        <f t="shared" si="161"/>
        <v>228</v>
      </c>
      <c r="AG918" s="25">
        <v>0</v>
      </c>
      <c r="AH918" s="25">
        <f t="shared" si="162"/>
        <v>0</v>
      </c>
      <c r="AI918" s="25">
        <f t="shared" si="163"/>
        <v>3</v>
      </c>
      <c r="AJ918" s="25">
        <v>1</v>
      </c>
      <c r="AK918" s="25">
        <v>1000</v>
      </c>
      <c r="AL918" s="25">
        <v>100</v>
      </c>
      <c r="AM918" s="26">
        <v>10</v>
      </c>
      <c r="AN918" s="26">
        <v>10</v>
      </c>
      <c r="AO918" s="22" t="s">
        <v>2211</v>
      </c>
      <c r="AP918" s="26">
        <v>0</v>
      </c>
      <c r="AQ918" s="26">
        <f t="shared" si="164"/>
        <v>70</v>
      </c>
      <c r="AR918" s="18" t="str">
        <f ca="1">CONCATENATE(OFFSET(Sheet1!$A$2,RANDBETWEEN(2,500),0,1,1),OFFSET(Sheet1!$A$2,RANDBETWEEN(2,500),RANDBETWEEN(1,5),1,1))</f>
        <v>亚历克芝妮雅</v>
      </c>
      <c r="AS918">
        <f>SUMPRODUCT(P918:AI918,Sheet2!$B$3:$U$3)</f>
        <v>31405</v>
      </c>
    </row>
    <row r="919" spans="1:45" x14ac:dyDescent="0.15">
      <c r="A919" s="23">
        <v>918</v>
      </c>
      <c r="B919" s="18" t="s">
        <v>1012</v>
      </c>
      <c r="C919" s="18">
        <f t="shared" si="154"/>
        <v>114</v>
      </c>
      <c r="D919" s="19">
        <f t="shared" si="155"/>
        <v>2</v>
      </c>
      <c r="E919" s="19">
        <f>VLOOKUP(MOD(A919,4),各职业基础配置!C$32:D$35,2,FALSE)</f>
        <v>6</v>
      </c>
      <c r="F919" s="19">
        <f>IF(A919&lt;900,INDEX(各职业基础配置!C$23:C$28,MOD(ROW(A919),4)+1),0)</f>
        <v>0</v>
      </c>
      <c r="G919" s="19">
        <f t="shared" si="156"/>
        <v>2</v>
      </c>
      <c r="H919" s="27">
        <f t="shared" si="157"/>
        <v>1</v>
      </c>
      <c r="I919" s="6" t="s">
        <v>164</v>
      </c>
      <c r="J919" s="23" t="str">
        <f>VLOOKUP(E919,各职业基础配置!$B$9:$C$12,2,FALSE)</f>
        <v>111|112|113|4201|115</v>
      </c>
      <c r="K919" s="18" t="str">
        <f>VLOOKUP(E919,各职业基础配置!$B$15:$C$18,2,FALSE)</f>
        <v>32|33|34</v>
      </c>
      <c r="L919" s="18" t="str">
        <f>VLOOKUP(E919,各职业基础配置!B:C,2,FALSE)</f>
        <v>[{32,1,1},{33,1,1},{34,1,1},{35,1,1},{7,1,1},{8,1,1},{9,1,1}]</v>
      </c>
      <c r="M919" s="18">
        <v>0</v>
      </c>
      <c r="N919" s="18">
        <f t="shared" si="158"/>
        <v>7</v>
      </c>
      <c r="O919" s="18">
        <f>SUMPRODUCT(P919:AI919,Sheet2!$B$3:$U$3)</f>
        <v>31380</v>
      </c>
      <c r="P919" s="18">
        <f>CEILING(INDEX([1]系统模型!$VD:$VD,MATCH(C919,[1]系统模型!$A:$A,0))*POWER(C919/220,3.8)-50+(1000-A919),1)</f>
        <v>283</v>
      </c>
      <c r="Q919" s="18">
        <f>CEILING(INDEX([1]系统模型!$VE:$VE,MATCH(C919,[1]系统模型!$A:$A,0))*POWER(C919/220,4),1)</f>
        <v>23</v>
      </c>
      <c r="R919" s="18">
        <f>INT(INDEX([1]系统模型!$VF:$VF,MATCH(C919,[1]系统模型!$A:$A,0))*MAX(POWER(C919/180,4),0.5))</f>
        <v>6005</v>
      </c>
      <c r="S919" s="5">
        <v>1000</v>
      </c>
      <c r="T919" s="25">
        <v>0</v>
      </c>
      <c r="U919" s="25">
        <v>0</v>
      </c>
      <c r="V919" s="25">
        <v>0</v>
      </c>
      <c r="W919" s="25">
        <v>0</v>
      </c>
      <c r="X919" s="25">
        <f t="shared" si="159"/>
        <v>300</v>
      </c>
      <c r="Y919" s="12">
        <v>0</v>
      </c>
      <c r="Z919" s="25">
        <v>100</v>
      </c>
      <c r="AA919" s="25">
        <v>150</v>
      </c>
      <c r="AB919" s="25">
        <v>0</v>
      </c>
      <c r="AC919" s="25">
        <v>0</v>
      </c>
      <c r="AD919" s="25">
        <v>0</v>
      </c>
      <c r="AE919" s="25">
        <f t="shared" si="160"/>
        <v>228</v>
      </c>
      <c r="AF919" s="25">
        <f t="shared" si="161"/>
        <v>228</v>
      </c>
      <c r="AG919" s="25">
        <v>0</v>
      </c>
      <c r="AH919" s="25">
        <f t="shared" si="162"/>
        <v>0</v>
      </c>
      <c r="AI919" s="25">
        <f t="shared" si="163"/>
        <v>3</v>
      </c>
      <c r="AJ919" s="25">
        <v>1</v>
      </c>
      <c r="AK919" s="25">
        <v>1000</v>
      </c>
      <c r="AL919" s="25">
        <v>100</v>
      </c>
      <c r="AM919" s="26">
        <v>10</v>
      </c>
      <c r="AN919" s="26">
        <v>10</v>
      </c>
      <c r="AO919" s="22" t="s">
        <v>2211</v>
      </c>
      <c r="AP919" s="26">
        <v>0</v>
      </c>
      <c r="AQ919" s="26">
        <f t="shared" si="164"/>
        <v>70</v>
      </c>
      <c r="AR919" s="18" t="str">
        <f ca="1">CONCATENATE(OFFSET(Sheet1!$A$2,RANDBETWEEN(2,500),0,1,1),OFFSET(Sheet1!$A$2,RANDBETWEEN(2,500),RANDBETWEEN(1,5),1,1))</f>
        <v>伯克利</v>
      </c>
      <c r="AS919">
        <f>SUMPRODUCT(P919:AI919,Sheet2!$B$3:$U$3)</f>
        <v>31380</v>
      </c>
    </row>
    <row r="920" spans="1:45" x14ac:dyDescent="0.15">
      <c r="A920" s="18">
        <v>919</v>
      </c>
      <c r="B920" s="18" t="s">
        <v>2172</v>
      </c>
      <c r="C920" s="18">
        <f t="shared" si="154"/>
        <v>113</v>
      </c>
      <c r="D920" s="19">
        <f t="shared" si="155"/>
        <v>3</v>
      </c>
      <c r="E920" s="19">
        <f>VLOOKUP(MOD(A920,4),各职业基础配置!C$32:D$35,2,FALSE)</f>
        <v>9</v>
      </c>
      <c r="F920" s="19">
        <f>IF(A920&lt;900,INDEX(各职业基础配置!C$23:C$28,MOD(ROW(A920),4)+1),0)</f>
        <v>0</v>
      </c>
      <c r="G920" s="19">
        <f t="shared" si="156"/>
        <v>2</v>
      </c>
      <c r="H920" s="27">
        <f t="shared" si="157"/>
        <v>1</v>
      </c>
      <c r="I920" s="6" t="s">
        <v>164</v>
      </c>
      <c r="J920" s="23" t="str">
        <f>VLOOKUP(E920,各职业基础配置!$B$9:$C$12,2,FALSE)</f>
        <v>116|117|118|4201|120</v>
      </c>
      <c r="K920" s="18" t="str">
        <f>VLOOKUP(E920,各职业基础配置!$B$15:$C$18,2,FALSE)</f>
        <v>28|29|30|31</v>
      </c>
      <c r="L920" s="18" t="str">
        <f>VLOOKUP(E920,各职业基础配置!B:C,2,FALSE)</f>
        <v>[{28,1,1},{29,1,1},{30,1,1},{31,1,1},{10,1,1},{11,1,1},{12,1,1}]</v>
      </c>
      <c r="M920" s="18">
        <v>0</v>
      </c>
      <c r="N920" s="18">
        <f t="shared" si="158"/>
        <v>3</v>
      </c>
      <c r="O920" s="18">
        <f>SUMPRODUCT(P920:AI920,Sheet2!$B$3:$U$3)</f>
        <v>30936</v>
      </c>
      <c r="P920" s="18">
        <f>CEILING(INDEX([1]系统模型!$VD:$VD,MATCH(C920,[1]系统模型!$A:$A,0))*POWER(C920/220,3.8)-50+(1000-A920),1)</f>
        <v>273</v>
      </c>
      <c r="Q920" s="18">
        <f>CEILING(INDEX([1]系统模型!$VE:$VE,MATCH(C920,[1]系统模型!$A:$A,0))*POWER(C920/220,4),1)</f>
        <v>22</v>
      </c>
      <c r="R920" s="18">
        <f>INT(INDEX([1]系统模型!$VF:$VF,MATCH(C920,[1]系统模型!$A:$A,0))*MAX(POWER(C920/180,4),0.5))</f>
        <v>5936</v>
      </c>
      <c r="S920" s="5">
        <v>1000</v>
      </c>
      <c r="T920" s="25">
        <v>0</v>
      </c>
      <c r="U920" s="25">
        <v>0</v>
      </c>
      <c r="V920" s="25">
        <v>0</v>
      </c>
      <c r="W920" s="25">
        <v>0</v>
      </c>
      <c r="X920" s="25">
        <f t="shared" si="159"/>
        <v>296</v>
      </c>
      <c r="Y920" s="12">
        <v>0</v>
      </c>
      <c r="Z920" s="25">
        <v>100</v>
      </c>
      <c r="AA920" s="25">
        <v>150</v>
      </c>
      <c r="AB920" s="25">
        <v>0</v>
      </c>
      <c r="AC920" s="25">
        <v>0</v>
      </c>
      <c r="AD920" s="25">
        <v>0</v>
      </c>
      <c r="AE920" s="25">
        <f t="shared" si="160"/>
        <v>226</v>
      </c>
      <c r="AF920" s="25">
        <f t="shared" si="161"/>
        <v>226</v>
      </c>
      <c r="AG920" s="25">
        <v>0</v>
      </c>
      <c r="AH920" s="25">
        <f t="shared" si="162"/>
        <v>0</v>
      </c>
      <c r="AI920" s="25">
        <f t="shared" si="163"/>
        <v>3</v>
      </c>
      <c r="AJ920" s="25">
        <v>1</v>
      </c>
      <c r="AK920" s="25">
        <v>1000</v>
      </c>
      <c r="AL920" s="25">
        <v>100</v>
      </c>
      <c r="AM920" s="26">
        <v>10</v>
      </c>
      <c r="AN920" s="26">
        <v>10</v>
      </c>
      <c r="AO920" s="22" t="s">
        <v>2211</v>
      </c>
      <c r="AP920" s="26">
        <v>0</v>
      </c>
      <c r="AQ920" s="26">
        <f t="shared" si="164"/>
        <v>70</v>
      </c>
      <c r="AR920" s="18" t="str">
        <f ca="1">CONCATENATE(OFFSET(Sheet1!$A$2,RANDBETWEEN(2,500),0,1,1),OFFSET(Sheet1!$A$2,RANDBETWEEN(2,500),RANDBETWEEN(1,5),1,1))</f>
        <v>坎伯兰</v>
      </c>
      <c r="AS920">
        <f>SUMPRODUCT(P920:AI920,Sheet2!$B$3:$U$3)</f>
        <v>30936</v>
      </c>
    </row>
    <row r="921" spans="1:45" x14ac:dyDescent="0.15">
      <c r="A921" s="18">
        <v>920</v>
      </c>
      <c r="B921" s="18" t="s">
        <v>2173</v>
      </c>
      <c r="C921" s="18">
        <f t="shared" si="154"/>
        <v>113</v>
      </c>
      <c r="D921" s="19">
        <f t="shared" si="155"/>
        <v>2</v>
      </c>
      <c r="E921" s="19">
        <f>VLOOKUP(MOD(A921,4),各职业基础配置!C$32:D$35,2,FALSE)</f>
        <v>1</v>
      </c>
      <c r="F921" s="19">
        <f>IF(A921&lt;900,INDEX(各职业基础配置!C$23:C$28,MOD(ROW(A921),4)+1),0)</f>
        <v>0</v>
      </c>
      <c r="G921" s="19">
        <f t="shared" si="156"/>
        <v>2</v>
      </c>
      <c r="H921" s="27">
        <f t="shared" si="157"/>
        <v>1</v>
      </c>
      <c r="I921" s="6" t="s">
        <v>164</v>
      </c>
      <c r="J921" s="23" t="str">
        <f>VLOOKUP(E921,各职业基础配置!$B$9:$C$12,2,FALSE)</f>
        <v>101|102|103|4201|105</v>
      </c>
      <c r="K921" s="18" t="str">
        <f>VLOOKUP(E921,各职业基础配置!$B$15:$C$18,2,FALSE)</f>
        <v>24|25|26|27</v>
      </c>
      <c r="L921" s="18" t="str">
        <f>VLOOKUP(E921,各职业基础配置!B:C,2,FALSE)</f>
        <v>[{24,1,1},{25,1,1},{26,1,1},{27,1,1},{1,1,1},{2,1,1},{3,1,1}]</v>
      </c>
      <c r="M921" s="18">
        <v>0</v>
      </c>
      <c r="N921" s="18">
        <f t="shared" si="158"/>
        <v>3</v>
      </c>
      <c r="O921" s="18">
        <f>SUMPRODUCT(P921:AI921,Sheet2!$B$3:$U$3)</f>
        <v>30911</v>
      </c>
      <c r="P921" s="18">
        <f>CEILING(INDEX([1]系统模型!$VD:$VD,MATCH(C921,[1]系统模型!$A:$A,0))*POWER(C921/220,3.8)-50+(1000-A921),1)</f>
        <v>272</v>
      </c>
      <c r="Q921" s="18">
        <f>CEILING(INDEX([1]系统模型!$VE:$VE,MATCH(C921,[1]系统模型!$A:$A,0))*POWER(C921/220,4),1)</f>
        <v>22</v>
      </c>
      <c r="R921" s="18">
        <f>INT(INDEX([1]系统模型!$VF:$VF,MATCH(C921,[1]系统模型!$A:$A,0))*MAX(POWER(C921/180,4),0.5))</f>
        <v>5936</v>
      </c>
      <c r="S921" s="5">
        <v>1000</v>
      </c>
      <c r="T921" s="25">
        <v>0</v>
      </c>
      <c r="U921" s="25">
        <v>0</v>
      </c>
      <c r="V921" s="25">
        <v>0</v>
      </c>
      <c r="W921" s="25">
        <v>0</v>
      </c>
      <c r="X921" s="25">
        <f t="shared" si="159"/>
        <v>296</v>
      </c>
      <c r="Y921" s="12">
        <v>0</v>
      </c>
      <c r="Z921" s="25">
        <v>100</v>
      </c>
      <c r="AA921" s="25">
        <v>150</v>
      </c>
      <c r="AB921" s="25">
        <v>0</v>
      </c>
      <c r="AC921" s="25">
        <v>0</v>
      </c>
      <c r="AD921" s="25">
        <v>0</v>
      </c>
      <c r="AE921" s="25">
        <f t="shared" si="160"/>
        <v>226</v>
      </c>
      <c r="AF921" s="25">
        <f t="shared" si="161"/>
        <v>226</v>
      </c>
      <c r="AG921" s="25">
        <v>0</v>
      </c>
      <c r="AH921" s="25">
        <f t="shared" si="162"/>
        <v>0</v>
      </c>
      <c r="AI921" s="25">
        <f t="shared" si="163"/>
        <v>3</v>
      </c>
      <c r="AJ921" s="25">
        <v>1</v>
      </c>
      <c r="AK921" s="25">
        <v>1000</v>
      </c>
      <c r="AL921" s="25">
        <v>100</v>
      </c>
      <c r="AM921" s="26">
        <v>10</v>
      </c>
      <c r="AN921" s="26">
        <v>10</v>
      </c>
      <c r="AO921" s="22" t="s">
        <v>2211</v>
      </c>
      <c r="AP921" s="26">
        <v>0</v>
      </c>
      <c r="AQ921" s="26">
        <f t="shared" si="164"/>
        <v>70</v>
      </c>
      <c r="AR921" s="18" t="str">
        <f ca="1">CONCATENATE(OFFSET(Sheet1!$A$2,RANDBETWEEN(2,500),0,1,1),OFFSET(Sheet1!$A$2,RANDBETWEEN(2,500),RANDBETWEEN(1,5),1,1))</f>
        <v>爱德华赛拉</v>
      </c>
      <c r="AS921">
        <f>SUMPRODUCT(P921:AI921,Sheet2!$B$3:$U$3)</f>
        <v>30911</v>
      </c>
    </row>
    <row r="922" spans="1:45" x14ac:dyDescent="0.15">
      <c r="A922" s="23">
        <v>921</v>
      </c>
      <c r="B922" s="18" t="s">
        <v>2174</v>
      </c>
      <c r="C922" s="18">
        <f t="shared" si="154"/>
        <v>113</v>
      </c>
      <c r="D922" s="19">
        <f t="shared" si="155"/>
        <v>3</v>
      </c>
      <c r="E922" s="19">
        <f>VLOOKUP(MOD(A922,4),各职业基础配置!C$32:D$35,2,FALSE)</f>
        <v>3</v>
      </c>
      <c r="F922" s="19">
        <f>IF(A922&lt;900,INDEX(各职业基础配置!C$23:C$28,MOD(ROW(A922),4)+1),0)</f>
        <v>0</v>
      </c>
      <c r="G922" s="19">
        <f t="shared" si="156"/>
        <v>2</v>
      </c>
      <c r="H922" s="27">
        <f t="shared" si="157"/>
        <v>1</v>
      </c>
      <c r="I922" s="6" t="s">
        <v>164</v>
      </c>
      <c r="J922" s="23" t="str">
        <f>VLOOKUP(E922,各职业基础配置!$B$9:$C$12,2,FALSE)</f>
        <v>106|107|108|4201|110</v>
      </c>
      <c r="K922" s="18" t="str">
        <f>VLOOKUP(E922,各职业基础配置!$B$15:$C$18,2,FALSE)</f>
        <v>20|21|22|23</v>
      </c>
      <c r="L922" s="18" t="str">
        <f>VLOOKUP(E922,各职业基础配置!B:C,2,FALSE)</f>
        <v>[{20,1,1},{21,1,1},{22,1,1},{23,1,1},{4,1,1},{5,1,1},{6,1,1}]</v>
      </c>
      <c r="M922" s="18">
        <v>0</v>
      </c>
      <c r="N922" s="18">
        <f t="shared" si="158"/>
        <v>7</v>
      </c>
      <c r="O922" s="18">
        <f>SUMPRODUCT(P922:AI922,Sheet2!$B$3:$U$3)</f>
        <v>30886</v>
      </c>
      <c r="P922" s="18">
        <f>CEILING(INDEX([1]系统模型!$VD:$VD,MATCH(C922,[1]系统模型!$A:$A,0))*POWER(C922/220,3.8)-50+(1000-A922),1)</f>
        <v>271</v>
      </c>
      <c r="Q922" s="18">
        <f>CEILING(INDEX([1]系统模型!$VE:$VE,MATCH(C922,[1]系统模型!$A:$A,0))*POWER(C922/220,4),1)</f>
        <v>22</v>
      </c>
      <c r="R922" s="18">
        <f>INT(INDEX([1]系统模型!$VF:$VF,MATCH(C922,[1]系统模型!$A:$A,0))*MAX(POWER(C922/180,4),0.5))</f>
        <v>5936</v>
      </c>
      <c r="S922" s="5">
        <v>1000</v>
      </c>
      <c r="T922" s="25">
        <v>0</v>
      </c>
      <c r="U922" s="25">
        <v>0</v>
      </c>
      <c r="V922" s="25">
        <v>0</v>
      </c>
      <c r="W922" s="25">
        <v>0</v>
      </c>
      <c r="X922" s="25">
        <f t="shared" si="159"/>
        <v>296</v>
      </c>
      <c r="Y922" s="12">
        <v>0</v>
      </c>
      <c r="Z922" s="25">
        <v>100</v>
      </c>
      <c r="AA922" s="25">
        <v>150</v>
      </c>
      <c r="AB922" s="25">
        <v>0</v>
      </c>
      <c r="AC922" s="25">
        <v>0</v>
      </c>
      <c r="AD922" s="25">
        <v>0</v>
      </c>
      <c r="AE922" s="25">
        <f t="shared" si="160"/>
        <v>226</v>
      </c>
      <c r="AF922" s="25">
        <f t="shared" si="161"/>
        <v>226</v>
      </c>
      <c r="AG922" s="25">
        <v>0</v>
      </c>
      <c r="AH922" s="25">
        <f t="shared" si="162"/>
        <v>0</v>
      </c>
      <c r="AI922" s="25">
        <f t="shared" si="163"/>
        <v>3</v>
      </c>
      <c r="AJ922" s="25">
        <v>1</v>
      </c>
      <c r="AK922" s="25">
        <v>1000</v>
      </c>
      <c r="AL922" s="25">
        <v>100</v>
      </c>
      <c r="AM922" s="26">
        <v>10</v>
      </c>
      <c r="AN922" s="26">
        <v>10</v>
      </c>
      <c r="AO922" s="22" t="s">
        <v>2211</v>
      </c>
      <c r="AP922" s="26">
        <v>0</v>
      </c>
      <c r="AQ922" s="26">
        <f t="shared" si="164"/>
        <v>70</v>
      </c>
      <c r="AR922" s="18" t="str">
        <f ca="1">CONCATENATE(OFFSET(Sheet1!$A$2,RANDBETWEEN(2,500),0,1,1),OFFSET(Sheet1!$A$2,RANDBETWEEN(2,500),RANDBETWEEN(1,5),1,1))</f>
        <v>巴塞洛缪</v>
      </c>
      <c r="AS922">
        <f>SUMPRODUCT(P922:AI922,Sheet2!$B$3:$U$3)</f>
        <v>30886</v>
      </c>
    </row>
    <row r="923" spans="1:45" x14ac:dyDescent="0.15">
      <c r="A923" s="18">
        <v>922</v>
      </c>
      <c r="B923" s="18" t="s">
        <v>351</v>
      </c>
      <c r="C923" s="18">
        <f t="shared" si="154"/>
        <v>113</v>
      </c>
      <c r="D923" s="19">
        <f t="shared" si="155"/>
        <v>2</v>
      </c>
      <c r="E923" s="19">
        <f>VLOOKUP(MOD(A923,4),各职业基础配置!C$32:D$35,2,FALSE)</f>
        <v>6</v>
      </c>
      <c r="F923" s="19">
        <f>IF(A923&lt;900,INDEX(各职业基础配置!C$23:C$28,MOD(ROW(A923),4)+1),0)</f>
        <v>0</v>
      </c>
      <c r="G923" s="19">
        <f t="shared" si="156"/>
        <v>2</v>
      </c>
      <c r="H923" s="27">
        <f t="shared" si="157"/>
        <v>1</v>
      </c>
      <c r="I923" s="6" t="s">
        <v>164</v>
      </c>
      <c r="J923" s="23" t="str">
        <f>VLOOKUP(E923,各职业基础配置!$B$9:$C$12,2,FALSE)</f>
        <v>111|112|113|4201|115</v>
      </c>
      <c r="K923" s="18" t="str">
        <f>VLOOKUP(E923,各职业基础配置!$B$15:$C$18,2,FALSE)</f>
        <v>32|33|34</v>
      </c>
      <c r="L923" s="18" t="str">
        <f>VLOOKUP(E923,各职业基础配置!B:C,2,FALSE)</f>
        <v>[{32,1,1},{33,1,1},{34,1,1},{35,1,1},{7,1,1},{8,1,1},{9,1,1}]</v>
      </c>
      <c r="M923" s="18">
        <v>0</v>
      </c>
      <c r="N923" s="18">
        <f t="shared" si="158"/>
        <v>7</v>
      </c>
      <c r="O923" s="18">
        <f>SUMPRODUCT(P923:AI923,Sheet2!$B$3:$U$3)</f>
        <v>30861</v>
      </c>
      <c r="P923" s="18">
        <f>CEILING(INDEX([1]系统模型!$VD:$VD,MATCH(C923,[1]系统模型!$A:$A,0))*POWER(C923/220,3.8)-50+(1000-A923),1)</f>
        <v>270</v>
      </c>
      <c r="Q923" s="18">
        <f>CEILING(INDEX([1]系统模型!$VE:$VE,MATCH(C923,[1]系统模型!$A:$A,0))*POWER(C923/220,4),1)</f>
        <v>22</v>
      </c>
      <c r="R923" s="18">
        <f>INT(INDEX([1]系统模型!$VF:$VF,MATCH(C923,[1]系统模型!$A:$A,0))*MAX(POWER(C923/180,4),0.5))</f>
        <v>5936</v>
      </c>
      <c r="S923" s="5">
        <v>1000</v>
      </c>
      <c r="T923" s="25">
        <v>0</v>
      </c>
      <c r="U923" s="25">
        <v>0</v>
      </c>
      <c r="V923" s="25">
        <v>0</v>
      </c>
      <c r="W923" s="25">
        <v>0</v>
      </c>
      <c r="X923" s="25">
        <f t="shared" si="159"/>
        <v>296</v>
      </c>
      <c r="Y923" s="12">
        <v>0</v>
      </c>
      <c r="Z923" s="25">
        <v>100</v>
      </c>
      <c r="AA923" s="25">
        <v>150</v>
      </c>
      <c r="AB923" s="25">
        <v>0</v>
      </c>
      <c r="AC923" s="25">
        <v>0</v>
      </c>
      <c r="AD923" s="25">
        <v>0</v>
      </c>
      <c r="AE923" s="25">
        <f t="shared" si="160"/>
        <v>226</v>
      </c>
      <c r="AF923" s="25">
        <f t="shared" si="161"/>
        <v>226</v>
      </c>
      <c r="AG923" s="25">
        <v>0</v>
      </c>
      <c r="AH923" s="25">
        <f t="shared" si="162"/>
        <v>0</v>
      </c>
      <c r="AI923" s="25">
        <f t="shared" si="163"/>
        <v>3</v>
      </c>
      <c r="AJ923" s="25">
        <v>1</v>
      </c>
      <c r="AK923" s="25">
        <v>1000</v>
      </c>
      <c r="AL923" s="25">
        <v>100</v>
      </c>
      <c r="AM923" s="26">
        <v>10</v>
      </c>
      <c r="AN923" s="26">
        <v>10</v>
      </c>
      <c r="AO923" s="22" t="s">
        <v>2211</v>
      </c>
      <c r="AP923" s="26">
        <v>0</v>
      </c>
      <c r="AQ923" s="26">
        <f t="shared" si="164"/>
        <v>60</v>
      </c>
      <c r="AR923" s="18" t="str">
        <f ca="1">CONCATENATE(OFFSET(Sheet1!$A$2,RANDBETWEEN(2,500),0,1,1),OFFSET(Sheet1!$A$2,RANDBETWEEN(2,500),RANDBETWEEN(1,5),1,1))</f>
        <v>巴塞洛缪</v>
      </c>
      <c r="AS923">
        <f>SUMPRODUCT(P923:AI923,Sheet2!$B$3:$U$3)</f>
        <v>30861</v>
      </c>
    </row>
    <row r="924" spans="1:45" x14ac:dyDescent="0.15">
      <c r="A924" s="18">
        <v>923</v>
      </c>
      <c r="B924" s="18" t="s">
        <v>2031</v>
      </c>
      <c r="C924" s="18">
        <f t="shared" si="154"/>
        <v>113</v>
      </c>
      <c r="D924" s="19">
        <f t="shared" si="155"/>
        <v>3</v>
      </c>
      <c r="E924" s="19">
        <f>VLOOKUP(MOD(A924,4),各职业基础配置!C$32:D$35,2,FALSE)</f>
        <v>9</v>
      </c>
      <c r="F924" s="19">
        <f>IF(A924&lt;900,INDEX(各职业基础配置!C$23:C$28,MOD(ROW(A924),4)+1),0)</f>
        <v>0</v>
      </c>
      <c r="G924" s="19">
        <f t="shared" si="156"/>
        <v>2</v>
      </c>
      <c r="H924" s="27">
        <f t="shared" si="157"/>
        <v>1</v>
      </c>
      <c r="I924" s="6" t="s">
        <v>164</v>
      </c>
      <c r="J924" s="23" t="str">
        <f>VLOOKUP(E924,各职业基础配置!$B$9:$C$12,2,FALSE)</f>
        <v>116|117|118|4201|120</v>
      </c>
      <c r="K924" s="18" t="str">
        <f>VLOOKUP(E924,各职业基础配置!$B$15:$C$18,2,FALSE)</f>
        <v>28|29|30|31</v>
      </c>
      <c r="L924" s="18" t="str">
        <f>VLOOKUP(E924,各职业基础配置!B:C,2,FALSE)</f>
        <v>[{28,1,1},{29,1,1},{30,1,1},{31,1,1},{10,1,1},{11,1,1},{12,1,1}]</v>
      </c>
      <c r="M924" s="18">
        <v>0</v>
      </c>
      <c r="N924" s="18">
        <f t="shared" si="158"/>
        <v>3</v>
      </c>
      <c r="O924" s="18">
        <f>SUMPRODUCT(P924:AI924,Sheet2!$B$3:$U$3)</f>
        <v>30836</v>
      </c>
      <c r="P924" s="18">
        <f>CEILING(INDEX([1]系统模型!$VD:$VD,MATCH(C924,[1]系统模型!$A:$A,0))*POWER(C924/220,3.8)-50+(1000-A924),1)</f>
        <v>269</v>
      </c>
      <c r="Q924" s="18">
        <f>CEILING(INDEX([1]系统模型!$VE:$VE,MATCH(C924,[1]系统模型!$A:$A,0))*POWER(C924/220,4),1)</f>
        <v>22</v>
      </c>
      <c r="R924" s="18">
        <f>INT(INDEX([1]系统模型!$VF:$VF,MATCH(C924,[1]系统模型!$A:$A,0))*MAX(POWER(C924/180,4),0.5))</f>
        <v>5936</v>
      </c>
      <c r="S924" s="5">
        <v>1000</v>
      </c>
      <c r="T924" s="25">
        <v>0</v>
      </c>
      <c r="U924" s="25">
        <v>0</v>
      </c>
      <c r="V924" s="25">
        <v>0</v>
      </c>
      <c r="W924" s="25">
        <v>0</v>
      </c>
      <c r="X924" s="25">
        <f t="shared" si="159"/>
        <v>296</v>
      </c>
      <c r="Y924" s="12">
        <v>0</v>
      </c>
      <c r="Z924" s="25">
        <v>100</v>
      </c>
      <c r="AA924" s="25">
        <v>150</v>
      </c>
      <c r="AB924" s="25">
        <v>0</v>
      </c>
      <c r="AC924" s="25">
        <v>0</v>
      </c>
      <c r="AD924" s="25">
        <v>0</v>
      </c>
      <c r="AE924" s="25">
        <f t="shared" si="160"/>
        <v>226</v>
      </c>
      <c r="AF924" s="25">
        <f t="shared" si="161"/>
        <v>226</v>
      </c>
      <c r="AG924" s="25">
        <v>0</v>
      </c>
      <c r="AH924" s="25">
        <f t="shared" si="162"/>
        <v>0</v>
      </c>
      <c r="AI924" s="25">
        <f t="shared" si="163"/>
        <v>3</v>
      </c>
      <c r="AJ924" s="25">
        <v>1</v>
      </c>
      <c r="AK924" s="25">
        <v>1000</v>
      </c>
      <c r="AL924" s="25">
        <v>100</v>
      </c>
      <c r="AM924" s="26">
        <v>10</v>
      </c>
      <c r="AN924" s="26">
        <v>10</v>
      </c>
      <c r="AO924" s="22" t="s">
        <v>2211</v>
      </c>
      <c r="AP924" s="26">
        <v>0</v>
      </c>
      <c r="AQ924" s="26">
        <f t="shared" si="164"/>
        <v>60</v>
      </c>
      <c r="AR924" s="18" t="str">
        <f ca="1">CONCATENATE(OFFSET(Sheet1!$A$2,RANDBETWEEN(2,500),0,1,1),OFFSET(Sheet1!$A$2,RANDBETWEEN(2,500),RANDBETWEEN(1,5),1,1))</f>
        <v>奥古斯塔斯月影</v>
      </c>
      <c r="AS924">
        <f>SUMPRODUCT(P924:AI924,Sheet2!$B$3:$U$3)</f>
        <v>30836</v>
      </c>
    </row>
    <row r="925" spans="1:45" x14ac:dyDescent="0.15">
      <c r="A925" s="23">
        <v>924</v>
      </c>
      <c r="B925" s="18" t="s">
        <v>821</v>
      </c>
      <c r="C925" s="18">
        <f t="shared" si="154"/>
        <v>113</v>
      </c>
      <c r="D925" s="19">
        <f t="shared" si="155"/>
        <v>2</v>
      </c>
      <c r="E925" s="19">
        <f>VLOOKUP(MOD(A925,4),各职业基础配置!C$32:D$35,2,FALSE)</f>
        <v>1</v>
      </c>
      <c r="F925" s="19">
        <f>IF(A925&lt;900,INDEX(各职业基础配置!C$23:C$28,MOD(ROW(A925),4)+1),0)</f>
        <v>0</v>
      </c>
      <c r="G925" s="19">
        <f t="shared" si="156"/>
        <v>2</v>
      </c>
      <c r="H925" s="27">
        <f t="shared" si="157"/>
        <v>1</v>
      </c>
      <c r="I925" s="6" t="s">
        <v>164</v>
      </c>
      <c r="J925" s="23" t="str">
        <f>VLOOKUP(E925,各职业基础配置!$B$9:$C$12,2,FALSE)</f>
        <v>101|102|103|4201|105</v>
      </c>
      <c r="K925" s="18" t="str">
        <f>VLOOKUP(E925,各职业基础配置!$B$15:$C$18,2,FALSE)</f>
        <v>24|25|26|27</v>
      </c>
      <c r="L925" s="18" t="str">
        <f>VLOOKUP(E925,各职业基础配置!B:C,2,FALSE)</f>
        <v>[{24,1,1},{25,1,1},{26,1,1},{27,1,1},{1,1,1},{2,1,1},{3,1,1}]</v>
      </c>
      <c r="M925" s="18">
        <v>0</v>
      </c>
      <c r="N925" s="18">
        <f t="shared" si="158"/>
        <v>3</v>
      </c>
      <c r="O925" s="18">
        <f>SUMPRODUCT(P925:AI925,Sheet2!$B$3:$U$3)</f>
        <v>30811</v>
      </c>
      <c r="P925" s="18">
        <f>CEILING(INDEX([1]系统模型!$VD:$VD,MATCH(C925,[1]系统模型!$A:$A,0))*POWER(C925/220,3.8)-50+(1000-A925),1)</f>
        <v>268</v>
      </c>
      <c r="Q925" s="18">
        <f>CEILING(INDEX([1]系统模型!$VE:$VE,MATCH(C925,[1]系统模型!$A:$A,0))*POWER(C925/220,4),1)</f>
        <v>22</v>
      </c>
      <c r="R925" s="18">
        <f>INT(INDEX([1]系统模型!$VF:$VF,MATCH(C925,[1]系统模型!$A:$A,0))*MAX(POWER(C925/180,4),0.5))</f>
        <v>5936</v>
      </c>
      <c r="S925" s="5">
        <v>1000</v>
      </c>
      <c r="T925" s="25">
        <v>0</v>
      </c>
      <c r="U925" s="25">
        <v>0</v>
      </c>
      <c r="V925" s="25">
        <v>0</v>
      </c>
      <c r="W925" s="25">
        <v>0</v>
      </c>
      <c r="X925" s="25">
        <f t="shared" si="159"/>
        <v>296</v>
      </c>
      <c r="Y925" s="12">
        <v>0</v>
      </c>
      <c r="Z925" s="25">
        <v>100</v>
      </c>
      <c r="AA925" s="25">
        <v>150</v>
      </c>
      <c r="AB925" s="25">
        <v>0</v>
      </c>
      <c r="AC925" s="25">
        <v>0</v>
      </c>
      <c r="AD925" s="25">
        <v>0</v>
      </c>
      <c r="AE925" s="25">
        <f t="shared" si="160"/>
        <v>226</v>
      </c>
      <c r="AF925" s="25">
        <f t="shared" si="161"/>
        <v>226</v>
      </c>
      <c r="AG925" s="25">
        <v>0</v>
      </c>
      <c r="AH925" s="25">
        <f t="shared" si="162"/>
        <v>0</v>
      </c>
      <c r="AI925" s="25">
        <f t="shared" si="163"/>
        <v>3</v>
      </c>
      <c r="AJ925" s="25">
        <v>1</v>
      </c>
      <c r="AK925" s="25">
        <v>1000</v>
      </c>
      <c r="AL925" s="25">
        <v>100</v>
      </c>
      <c r="AM925" s="26">
        <v>10</v>
      </c>
      <c r="AN925" s="26">
        <v>10</v>
      </c>
      <c r="AO925" s="22" t="s">
        <v>2211</v>
      </c>
      <c r="AP925" s="26">
        <v>0</v>
      </c>
      <c r="AQ925" s="26">
        <f t="shared" si="164"/>
        <v>60</v>
      </c>
      <c r="AR925" s="18" t="str">
        <f ca="1">CONCATENATE(OFFSET(Sheet1!$A$2,RANDBETWEEN(2,500),0,1,1),OFFSET(Sheet1!$A$2,RANDBETWEEN(2,500),RANDBETWEEN(1,5),1,1))</f>
        <v>迪克贝芙</v>
      </c>
      <c r="AS925">
        <f>SUMPRODUCT(P925:AI925,Sheet2!$B$3:$U$3)</f>
        <v>30811</v>
      </c>
    </row>
    <row r="926" spans="1:45" x14ac:dyDescent="0.15">
      <c r="A926" s="18">
        <v>925</v>
      </c>
      <c r="B926" s="18" t="s">
        <v>2175</v>
      </c>
      <c r="C926" s="18">
        <f t="shared" si="154"/>
        <v>113</v>
      </c>
      <c r="D926" s="19">
        <f t="shared" si="155"/>
        <v>3</v>
      </c>
      <c r="E926" s="19">
        <f>VLOOKUP(MOD(A926,4),各职业基础配置!C$32:D$35,2,FALSE)</f>
        <v>3</v>
      </c>
      <c r="F926" s="19">
        <f>IF(A926&lt;900,INDEX(各职业基础配置!C$23:C$28,MOD(ROW(A926),4)+1),0)</f>
        <v>0</v>
      </c>
      <c r="G926" s="19">
        <f t="shared" si="156"/>
        <v>2</v>
      </c>
      <c r="H926" s="27">
        <f t="shared" si="157"/>
        <v>1</v>
      </c>
      <c r="I926" s="6" t="s">
        <v>164</v>
      </c>
      <c r="J926" s="23" t="str">
        <f>VLOOKUP(E926,各职业基础配置!$B$9:$C$12,2,FALSE)</f>
        <v>106|107|108|4201|110</v>
      </c>
      <c r="K926" s="18" t="str">
        <f>VLOOKUP(E926,各职业基础配置!$B$15:$C$18,2,FALSE)</f>
        <v>20|21|22|23</v>
      </c>
      <c r="L926" s="18" t="str">
        <f>VLOOKUP(E926,各职业基础配置!B:C,2,FALSE)</f>
        <v>[{20,1,1},{21,1,1},{22,1,1},{23,1,1},{4,1,1},{5,1,1},{6,1,1}]</v>
      </c>
      <c r="M926" s="18">
        <v>0</v>
      </c>
      <c r="N926" s="18">
        <f t="shared" si="158"/>
        <v>7</v>
      </c>
      <c r="O926" s="18">
        <f>SUMPRODUCT(P926:AI926,Sheet2!$B$3:$U$3)</f>
        <v>30786</v>
      </c>
      <c r="P926" s="18">
        <f>CEILING(INDEX([1]系统模型!$VD:$VD,MATCH(C926,[1]系统模型!$A:$A,0))*POWER(C926/220,3.8)-50+(1000-A926),1)</f>
        <v>267</v>
      </c>
      <c r="Q926" s="18">
        <f>CEILING(INDEX([1]系统模型!$VE:$VE,MATCH(C926,[1]系统模型!$A:$A,0))*POWER(C926/220,4),1)</f>
        <v>22</v>
      </c>
      <c r="R926" s="18">
        <f>INT(INDEX([1]系统模型!$VF:$VF,MATCH(C926,[1]系统模型!$A:$A,0))*MAX(POWER(C926/180,4),0.5))</f>
        <v>5936</v>
      </c>
      <c r="S926" s="5">
        <v>1000</v>
      </c>
      <c r="T926" s="25">
        <v>0</v>
      </c>
      <c r="U926" s="25">
        <v>0</v>
      </c>
      <c r="V926" s="25">
        <v>0</v>
      </c>
      <c r="W926" s="25">
        <v>0</v>
      </c>
      <c r="X926" s="25">
        <f t="shared" si="159"/>
        <v>296</v>
      </c>
      <c r="Y926" s="12">
        <v>0</v>
      </c>
      <c r="Z926" s="25">
        <v>100</v>
      </c>
      <c r="AA926" s="25">
        <v>150</v>
      </c>
      <c r="AB926" s="25">
        <v>0</v>
      </c>
      <c r="AC926" s="25">
        <v>0</v>
      </c>
      <c r="AD926" s="25">
        <v>0</v>
      </c>
      <c r="AE926" s="25">
        <f t="shared" si="160"/>
        <v>226</v>
      </c>
      <c r="AF926" s="25">
        <f t="shared" si="161"/>
        <v>226</v>
      </c>
      <c r="AG926" s="25">
        <v>0</v>
      </c>
      <c r="AH926" s="25">
        <f t="shared" si="162"/>
        <v>0</v>
      </c>
      <c r="AI926" s="25">
        <f t="shared" si="163"/>
        <v>3</v>
      </c>
      <c r="AJ926" s="25">
        <v>1</v>
      </c>
      <c r="AK926" s="25">
        <v>1000</v>
      </c>
      <c r="AL926" s="25">
        <v>100</v>
      </c>
      <c r="AM926" s="26">
        <v>10</v>
      </c>
      <c r="AN926" s="26">
        <v>10</v>
      </c>
      <c r="AO926" s="22" t="s">
        <v>2211</v>
      </c>
      <c r="AP926" s="26">
        <v>0</v>
      </c>
      <c r="AQ926" s="26">
        <f t="shared" si="164"/>
        <v>60</v>
      </c>
      <c r="AR926" s="18" t="str">
        <f ca="1">CONCATENATE(OFFSET(Sheet1!$A$2,RANDBETWEEN(2,500),0,1,1),OFFSET(Sheet1!$A$2,RANDBETWEEN(2,500),RANDBETWEEN(1,5),1,1))</f>
        <v>查理克莱拉</v>
      </c>
      <c r="AS926">
        <f>SUMPRODUCT(P926:AI926,Sheet2!$B$3:$U$3)</f>
        <v>30786</v>
      </c>
    </row>
    <row r="927" spans="1:45" x14ac:dyDescent="0.15">
      <c r="A927" s="18">
        <v>926</v>
      </c>
      <c r="B927" s="18" t="s">
        <v>2176</v>
      </c>
      <c r="C927" s="18">
        <f t="shared" si="154"/>
        <v>112</v>
      </c>
      <c r="D927" s="19">
        <f t="shared" si="155"/>
        <v>2</v>
      </c>
      <c r="E927" s="19">
        <f>VLOOKUP(MOD(A927,4),各职业基础配置!C$32:D$35,2,FALSE)</f>
        <v>6</v>
      </c>
      <c r="F927" s="19">
        <f>IF(A927&lt;900,INDEX(各职业基础配置!C$23:C$28,MOD(ROW(A927),4)+1),0)</f>
        <v>0</v>
      </c>
      <c r="G927" s="19">
        <f t="shared" si="156"/>
        <v>2</v>
      </c>
      <c r="H927" s="27">
        <f t="shared" si="157"/>
        <v>1</v>
      </c>
      <c r="I927" s="6" t="s">
        <v>164</v>
      </c>
      <c r="J927" s="23" t="str">
        <f>VLOOKUP(E927,各职业基础配置!$B$9:$C$12,2,FALSE)</f>
        <v>111|112|113|4201|115</v>
      </c>
      <c r="K927" s="18" t="str">
        <f>VLOOKUP(E927,各职业基础配置!$B$15:$C$18,2,FALSE)</f>
        <v>32|33|34</v>
      </c>
      <c r="L927" s="18" t="str">
        <f>VLOOKUP(E927,各职业基础配置!B:C,2,FALSE)</f>
        <v>[{32,1,1},{33,1,1},{34,1,1},{35,1,1},{7,1,1},{8,1,1},{9,1,1}]</v>
      </c>
      <c r="M927" s="18">
        <v>0</v>
      </c>
      <c r="N927" s="18">
        <f t="shared" si="158"/>
        <v>7</v>
      </c>
      <c r="O927" s="18">
        <f>SUMPRODUCT(P927:AI927,Sheet2!$B$3:$U$3)</f>
        <v>30319</v>
      </c>
      <c r="P927" s="18">
        <f>CEILING(INDEX([1]系统模型!$VD:$VD,MATCH(C927,[1]系统模型!$A:$A,0))*POWER(C927/220,3.8)-50+(1000-A927),1)</f>
        <v>256</v>
      </c>
      <c r="Q927" s="18">
        <f>CEILING(INDEX([1]系统模型!$VE:$VE,MATCH(C927,[1]系统模型!$A:$A,0))*POWER(C927/220,4),1)</f>
        <v>21</v>
      </c>
      <c r="R927" s="18">
        <f>INT(INDEX([1]系统模型!$VF:$VF,MATCH(C927,[1]系统模型!$A:$A,0))*MAX(POWER(C927/180,4),0.5))</f>
        <v>5869</v>
      </c>
      <c r="S927" s="5">
        <v>1000</v>
      </c>
      <c r="T927" s="25">
        <v>0</v>
      </c>
      <c r="U927" s="25">
        <v>0</v>
      </c>
      <c r="V927" s="25">
        <v>0</v>
      </c>
      <c r="W927" s="25">
        <v>0</v>
      </c>
      <c r="X927" s="25">
        <f t="shared" si="159"/>
        <v>293</v>
      </c>
      <c r="Y927" s="12">
        <v>0</v>
      </c>
      <c r="Z927" s="25">
        <v>100</v>
      </c>
      <c r="AA927" s="25">
        <v>150</v>
      </c>
      <c r="AB927" s="25">
        <v>0</v>
      </c>
      <c r="AC927" s="25">
        <v>0</v>
      </c>
      <c r="AD927" s="25">
        <v>0</v>
      </c>
      <c r="AE927" s="25">
        <f t="shared" si="160"/>
        <v>224</v>
      </c>
      <c r="AF927" s="25">
        <f t="shared" si="161"/>
        <v>224</v>
      </c>
      <c r="AG927" s="25">
        <v>0</v>
      </c>
      <c r="AH927" s="25">
        <f t="shared" si="162"/>
        <v>0</v>
      </c>
      <c r="AI927" s="25">
        <f t="shared" si="163"/>
        <v>3</v>
      </c>
      <c r="AJ927" s="25">
        <v>1</v>
      </c>
      <c r="AK927" s="25">
        <v>1000</v>
      </c>
      <c r="AL927" s="25">
        <v>100</v>
      </c>
      <c r="AM927" s="26">
        <v>10</v>
      </c>
      <c r="AN927" s="26">
        <v>10</v>
      </c>
      <c r="AO927" s="22" t="s">
        <v>2211</v>
      </c>
      <c r="AP927" s="26">
        <v>0</v>
      </c>
      <c r="AQ927" s="26">
        <f t="shared" si="164"/>
        <v>60</v>
      </c>
      <c r="AR927" s="18" t="str">
        <f ca="1">CONCATENATE(OFFSET(Sheet1!$A$2,RANDBETWEEN(2,500),0,1,1),OFFSET(Sheet1!$A$2,RANDBETWEEN(2,500),RANDBETWEEN(1,5),1,1))</f>
        <v>艾尔索普潘妮</v>
      </c>
      <c r="AS927">
        <f>SUMPRODUCT(P927:AI927,Sheet2!$B$3:$U$3)</f>
        <v>30319</v>
      </c>
    </row>
    <row r="928" spans="1:45" x14ac:dyDescent="0.15">
      <c r="A928" s="23">
        <v>927</v>
      </c>
      <c r="B928" s="18" t="s">
        <v>2177</v>
      </c>
      <c r="C928" s="18">
        <f t="shared" si="154"/>
        <v>112</v>
      </c>
      <c r="D928" s="19">
        <f t="shared" si="155"/>
        <v>3</v>
      </c>
      <c r="E928" s="19">
        <f>VLOOKUP(MOD(A928,4),各职业基础配置!C$32:D$35,2,FALSE)</f>
        <v>9</v>
      </c>
      <c r="F928" s="19">
        <f>IF(A928&lt;900,INDEX(各职业基础配置!C$23:C$28,MOD(ROW(A928),4)+1),0)</f>
        <v>0</v>
      </c>
      <c r="G928" s="19">
        <f t="shared" si="156"/>
        <v>2</v>
      </c>
      <c r="H928" s="27">
        <f t="shared" si="157"/>
        <v>1</v>
      </c>
      <c r="I928" s="6" t="s">
        <v>164</v>
      </c>
      <c r="J928" s="23" t="str">
        <f>VLOOKUP(E928,各职业基础配置!$B$9:$C$12,2,FALSE)</f>
        <v>116|117|118|4201|120</v>
      </c>
      <c r="K928" s="18" t="str">
        <f>VLOOKUP(E928,各职业基础配置!$B$15:$C$18,2,FALSE)</f>
        <v>28|29|30|31</v>
      </c>
      <c r="L928" s="18" t="str">
        <f>VLOOKUP(E928,各职业基础配置!B:C,2,FALSE)</f>
        <v>[{28,1,1},{29,1,1},{30,1,1},{31,1,1},{10,1,1},{11,1,1},{12,1,1}]</v>
      </c>
      <c r="M928" s="18">
        <v>0</v>
      </c>
      <c r="N928" s="18">
        <f t="shared" si="158"/>
        <v>3</v>
      </c>
      <c r="O928" s="18">
        <f>SUMPRODUCT(P928:AI928,Sheet2!$B$3:$U$3)</f>
        <v>30294</v>
      </c>
      <c r="P928" s="18">
        <f>CEILING(INDEX([1]系统模型!$VD:$VD,MATCH(C928,[1]系统模型!$A:$A,0))*POWER(C928/220,3.8)-50+(1000-A928),1)</f>
        <v>255</v>
      </c>
      <c r="Q928" s="18">
        <f>CEILING(INDEX([1]系统模型!$VE:$VE,MATCH(C928,[1]系统模型!$A:$A,0))*POWER(C928/220,4),1)</f>
        <v>21</v>
      </c>
      <c r="R928" s="18">
        <f>INT(INDEX([1]系统模型!$VF:$VF,MATCH(C928,[1]系统模型!$A:$A,0))*MAX(POWER(C928/180,4),0.5))</f>
        <v>5869</v>
      </c>
      <c r="S928" s="5">
        <v>1000</v>
      </c>
      <c r="T928" s="25">
        <v>0</v>
      </c>
      <c r="U928" s="25">
        <v>0</v>
      </c>
      <c r="V928" s="25">
        <v>0</v>
      </c>
      <c r="W928" s="25">
        <v>0</v>
      </c>
      <c r="X928" s="25">
        <f t="shared" si="159"/>
        <v>293</v>
      </c>
      <c r="Y928" s="12">
        <v>0</v>
      </c>
      <c r="Z928" s="25">
        <v>100</v>
      </c>
      <c r="AA928" s="25">
        <v>150</v>
      </c>
      <c r="AB928" s="25">
        <v>0</v>
      </c>
      <c r="AC928" s="25">
        <v>0</v>
      </c>
      <c r="AD928" s="25">
        <v>0</v>
      </c>
      <c r="AE928" s="25">
        <f t="shared" si="160"/>
        <v>224</v>
      </c>
      <c r="AF928" s="25">
        <f t="shared" si="161"/>
        <v>224</v>
      </c>
      <c r="AG928" s="25">
        <v>0</v>
      </c>
      <c r="AH928" s="25">
        <f t="shared" si="162"/>
        <v>0</v>
      </c>
      <c r="AI928" s="25">
        <f t="shared" si="163"/>
        <v>3</v>
      </c>
      <c r="AJ928" s="25">
        <v>1</v>
      </c>
      <c r="AK928" s="25">
        <v>1000</v>
      </c>
      <c r="AL928" s="25">
        <v>100</v>
      </c>
      <c r="AM928" s="26">
        <v>10</v>
      </c>
      <c r="AN928" s="26">
        <v>10</v>
      </c>
      <c r="AO928" s="22" t="s">
        <v>2211</v>
      </c>
      <c r="AP928" s="26">
        <v>0</v>
      </c>
      <c r="AQ928" s="26">
        <f t="shared" si="164"/>
        <v>60</v>
      </c>
      <c r="AR928" s="18" t="str">
        <f ca="1">CONCATENATE(OFFSET(Sheet1!$A$2,RANDBETWEEN(2,500),0,1,1),OFFSET(Sheet1!$A$2,RANDBETWEEN(2,500),RANDBETWEEN(1,5),1,1))</f>
        <v>本瑟姆</v>
      </c>
      <c r="AS928">
        <f>SUMPRODUCT(P928:AI928,Sheet2!$B$3:$U$3)</f>
        <v>30294</v>
      </c>
    </row>
    <row r="929" spans="1:45" x14ac:dyDescent="0.15">
      <c r="A929" s="18">
        <v>928</v>
      </c>
      <c r="B929" s="18" t="s">
        <v>2178</v>
      </c>
      <c r="C929" s="18">
        <f t="shared" si="154"/>
        <v>112</v>
      </c>
      <c r="D929" s="19">
        <f t="shared" si="155"/>
        <v>2</v>
      </c>
      <c r="E929" s="19">
        <f>VLOOKUP(MOD(A929,4),各职业基础配置!C$32:D$35,2,FALSE)</f>
        <v>1</v>
      </c>
      <c r="F929" s="19">
        <f>IF(A929&lt;900,INDEX(各职业基础配置!C$23:C$28,MOD(ROW(A929),4)+1),0)</f>
        <v>0</v>
      </c>
      <c r="G929" s="19">
        <f t="shared" si="156"/>
        <v>2</v>
      </c>
      <c r="H929" s="27">
        <f t="shared" si="157"/>
        <v>1</v>
      </c>
      <c r="I929" s="6" t="s">
        <v>164</v>
      </c>
      <c r="J929" s="23" t="str">
        <f>VLOOKUP(E929,各职业基础配置!$B$9:$C$12,2,FALSE)</f>
        <v>101|102|103|4201|105</v>
      </c>
      <c r="K929" s="18" t="str">
        <f>VLOOKUP(E929,各职业基础配置!$B$15:$C$18,2,FALSE)</f>
        <v>24|25|26|27</v>
      </c>
      <c r="L929" s="18" t="str">
        <f>VLOOKUP(E929,各职业基础配置!B:C,2,FALSE)</f>
        <v>[{24,1,1},{25,1,1},{26,1,1},{27,1,1},{1,1,1},{2,1,1},{3,1,1}]</v>
      </c>
      <c r="M929" s="18">
        <v>0</v>
      </c>
      <c r="N929" s="18">
        <f t="shared" si="158"/>
        <v>3</v>
      </c>
      <c r="O929" s="18">
        <f>SUMPRODUCT(P929:AI929,Sheet2!$B$3:$U$3)</f>
        <v>30269</v>
      </c>
      <c r="P929" s="18">
        <f>CEILING(INDEX([1]系统模型!$VD:$VD,MATCH(C929,[1]系统模型!$A:$A,0))*POWER(C929/220,3.8)-50+(1000-A929),1)</f>
        <v>254</v>
      </c>
      <c r="Q929" s="18">
        <f>CEILING(INDEX([1]系统模型!$VE:$VE,MATCH(C929,[1]系统模型!$A:$A,0))*POWER(C929/220,4),1)</f>
        <v>21</v>
      </c>
      <c r="R929" s="18">
        <f>INT(INDEX([1]系统模型!$VF:$VF,MATCH(C929,[1]系统模型!$A:$A,0))*MAX(POWER(C929/180,4),0.5))</f>
        <v>5869</v>
      </c>
      <c r="S929" s="5">
        <v>1000</v>
      </c>
      <c r="T929" s="25">
        <v>0</v>
      </c>
      <c r="U929" s="25">
        <v>0</v>
      </c>
      <c r="V929" s="25">
        <v>0</v>
      </c>
      <c r="W929" s="25">
        <v>0</v>
      </c>
      <c r="X929" s="25">
        <f t="shared" si="159"/>
        <v>293</v>
      </c>
      <c r="Y929" s="12">
        <v>0</v>
      </c>
      <c r="Z929" s="25">
        <v>100</v>
      </c>
      <c r="AA929" s="25">
        <v>150</v>
      </c>
      <c r="AB929" s="25">
        <v>0</v>
      </c>
      <c r="AC929" s="25">
        <v>0</v>
      </c>
      <c r="AD929" s="25">
        <v>0</v>
      </c>
      <c r="AE929" s="25">
        <f t="shared" si="160"/>
        <v>224</v>
      </c>
      <c r="AF929" s="25">
        <f t="shared" si="161"/>
        <v>224</v>
      </c>
      <c r="AG929" s="25">
        <v>0</v>
      </c>
      <c r="AH929" s="25">
        <f t="shared" si="162"/>
        <v>0</v>
      </c>
      <c r="AI929" s="25">
        <f t="shared" si="163"/>
        <v>3</v>
      </c>
      <c r="AJ929" s="25">
        <v>1</v>
      </c>
      <c r="AK929" s="25">
        <v>1000</v>
      </c>
      <c r="AL929" s="25">
        <v>100</v>
      </c>
      <c r="AM929" s="26">
        <v>10</v>
      </c>
      <c r="AN929" s="26">
        <v>10</v>
      </c>
      <c r="AO929" s="22" t="s">
        <v>2211</v>
      </c>
      <c r="AP929" s="26">
        <v>0</v>
      </c>
      <c r="AQ929" s="26">
        <f t="shared" si="164"/>
        <v>60</v>
      </c>
      <c r="AR929" s="18" t="str">
        <f ca="1">CONCATENATE(OFFSET(Sheet1!$A$2,RANDBETWEEN(2,500),0,1,1),OFFSET(Sheet1!$A$2,RANDBETWEEN(2,500),RANDBETWEEN(1,5),1,1))</f>
        <v>狄更斯</v>
      </c>
      <c r="AS929">
        <f>SUMPRODUCT(P929:AI929,Sheet2!$B$3:$U$3)</f>
        <v>30269</v>
      </c>
    </row>
    <row r="930" spans="1:45" x14ac:dyDescent="0.15">
      <c r="A930" s="18">
        <v>929</v>
      </c>
      <c r="B930" s="18" t="s">
        <v>226</v>
      </c>
      <c r="C930" s="18">
        <f t="shared" si="154"/>
        <v>112</v>
      </c>
      <c r="D930" s="19">
        <f t="shared" si="155"/>
        <v>3</v>
      </c>
      <c r="E930" s="19">
        <f>VLOOKUP(MOD(A930,4),各职业基础配置!C$32:D$35,2,FALSE)</f>
        <v>3</v>
      </c>
      <c r="F930" s="19">
        <f>IF(A930&lt;900,INDEX(各职业基础配置!C$23:C$28,MOD(ROW(A930),4)+1),0)</f>
        <v>0</v>
      </c>
      <c r="G930" s="19">
        <f t="shared" si="156"/>
        <v>2</v>
      </c>
      <c r="H930" s="27">
        <f t="shared" si="157"/>
        <v>1</v>
      </c>
      <c r="I930" s="6" t="s">
        <v>164</v>
      </c>
      <c r="J930" s="23" t="str">
        <f>VLOOKUP(E930,各职业基础配置!$B$9:$C$12,2,FALSE)</f>
        <v>106|107|108|4201|110</v>
      </c>
      <c r="K930" s="18" t="str">
        <f>VLOOKUP(E930,各职业基础配置!$B$15:$C$18,2,FALSE)</f>
        <v>20|21|22|23</v>
      </c>
      <c r="L930" s="18" t="str">
        <f>VLOOKUP(E930,各职业基础配置!B:C,2,FALSE)</f>
        <v>[{20,1,1},{21,1,1},{22,1,1},{23,1,1},{4,1,1},{5,1,1},{6,1,1}]</v>
      </c>
      <c r="M930" s="18">
        <v>0</v>
      </c>
      <c r="N930" s="18">
        <f t="shared" si="158"/>
        <v>7</v>
      </c>
      <c r="O930" s="18">
        <f>SUMPRODUCT(P930:AI930,Sheet2!$B$3:$U$3)</f>
        <v>30244</v>
      </c>
      <c r="P930" s="18">
        <f>CEILING(INDEX([1]系统模型!$VD:$VD,MATCH(C930,[1]系统模型!$A:$A,0))*POWER(C930/220,3.8)-50+(1000-A930),1)</f>
        <v>253</v>
      </c>
      <c r="Q930" s="18">
        <f>CEILING(INDEX([1]系统模型!$VE:$VE,MATCH(C930,[1]系统模型!$A:$A,0))*POWER(C930/220,4),1)</f>
        <v>21</v>
      </c>
      <c r="R930" s="18">
        <f>INT(INDEX([1]系统模型!$VF:$VF,MATCH(C930,[1]系统模型!$A:$A,0))*MAX(POWER(C930/180,4),0.5))</f>
        <v>5869</v>
      </c>
      <c r="S930" s="5">
        <v>1000</v>
      </c>
      <c r="T930" s="25">
        <v>0</v>
      </c>
      <c r="U930" s="25">
        <v>0</v>
      </c>
      <c r="V930" s="25">
        <v>0</v>
      </c>
      <c r="W930" s="25">
        <v>0</v>
      </c>
      <c r="X930" s="25">
        <f t="shared" si="159"/>
        <v>293</v>
      </c>
      <c r="Y930" s="12">
        <v>0</v>
      </c>
      <c r="Z930" s="25">
        <v>100</v>
      </c>
      <c r="AA930" s="25">
        <v>150</v>
      </c>
      <c r="AB930" s="25">
        <v>0</v>
      </c>
      <c r="AC930" s="25">
        <v>0</v>
      </c>
      <c r="AD930" s="25">
        <v>0</v>
      </c>
      <c r="AE930" s="25">
        <f t="shared" si="160"/>
        <v>224</v>
      </c>
      <c r="AF930" s="25">
        <f t="shared" si="161"/>
        <v>224</v>
      </c>
      <c r="AG930" s="25">
        <v>0</v>
      </c>
      <c r="AH930" s="25">
        <f t="shared" si="162"/>
        <v>0</v>
      </c>
      <c r="AI930" s="25">
        <f t="shared" si="163"/>
        <v>3</v>
      </c>
      <c r="AJ930" s="25">
        <v>1</v>
      </c>
      <c r="AK930" s="25">
        <v>1000</v>
      </c>
      <c r="AL930" s="25">
        <v>100</v>
      </c>
      <c r="AM930" s="26">
        <v>10</v>
      </c>
      <c r="AN930" s="26">
        <v>10</v>
      </c>
      <c r="AO930" s="22" t="s">
        <v>2211</v>
      </c>
      <c r="AP930" s="26">
        <v>0</v>
      </c>
      <c r="AQ930" s="26">
        <f t="shared" si="164"/>
        <v>60</v>
      </c>
      <c r="AR930" s="18" t="str">
        <f ca="1">CONCATENATE(OFFSET(Sheet1!$A$2,RANDBETWEEN(2,500),0,1,1),OFFSET(Sheet1!$A$2,RANDBETWEEN(2,500),RANDBETWEEN(1,5),1,1))</f>
        <v>阿道夫</v>
      </c>
      <c r="AS930">
        <f>SUMPRODUCT(P930:AI930,Sheet2!$B$3:$U$3)</f>
        <v>30244</v>
      </c>
    </row>
    <row r="931" spans="1:45" x14ac:dyDescent="0.15">
      <c r="A931" s="23">
        <v>930</v>
      </c>
      <c r="B931" s="18" t="s">
        <v>2179</v>
      </c>
      <c r="C931" s="18">
        <f t="shared" si="154"/>
        <v>112</v>
      </c>
      <c r="D931" s="19">
        <f t="shared" si="155"/>
        <v>2</v>
      </c>
      <c r="E931" s="19">
        <f>VLOOKUP(MOD(A931,4),各职业基础配置!C$32:D$35,2,FALSE)</f>
        <v>6</v>
      </c>
      <c r="F931" s="19">
        <f>IF(A931&lt;900,INDEX(各职业基础配置!C$23:C$28,MOD(ROW(A931),4)+1),0)</f>
        <v>0</v>
      </c>
      <c r="G931" s="19">
        <f t="shared" si="156"/>
        <v>2</v>
      </c>
      <c r="H931" s="27">
        <f t="shared" si="157"/>
        <v>1</v>
      </c>
      <c r="I931" s="6" t="s">
        <v>164</v>
      </c>
      <c r="J931" s="23" t="str">
        <f>VLOOKUP(E931,各职业基础配置!$B$9:$C$12,2,FALSE)</f>
        <v>111|112|113|4201|115</v>
      </c>
      <c r="K931" s="18" t="str">
        <f>VLOOKUP(E931,各职业基础配置!$B$15:$C$18,2,FALSE)</f>
        <v>32|33|34</v>
      </c>
      <c r="L931" s="18" t="str">
        <f>VLOOKUP(E931,各职业基础配置!B:C,2,FALSE)</f>
        <v>[{32,1,1},{33,1,1},{34,1,1},{35,1,1},{7,1,1},{8,1,1},{9,1,1}]</v>
      </c>
      <c r="M931" s="18">
        <v>0</v>
      </c>
      <c r="N931" s="18">
        <f t="shared" si="158"/>
        <v>7</v>
      </c>
      <c r="O931" s="18">
        <f>SUMPRODUCT(P931:AI931,Sheet2!$B$3:$U$3)</f>
        <v>30219</v>
      </c>
      <c r="P931" s="18">
        <f>CEILING(INDEX([1]系统模型!$VD:$VD,MATCH(C931,[1]系统模型!$A:$A,0))*POWER(C931/220,3.8)-50+(1000-A931),1)</f>
        <v>252</v>
      </c>
      <c r="Q931" s="18">
        <f>CEILING(INDEX([1]系统模型!$VE:$VE,MATCH(C931,[1]系统模型!$A:$A,0))*POWER(C931/220,4),1)</f>
        <v>21</v>
      </c>
      <c r="R931" s="18">
        <f>INT(INDEX([1]系统模型!$VF:$VF,MATCH(C931,[1]系统模型!$A:$A,0))*MAX(POWER(C931/180,4),0.5))</f>
        <v>5869</v>
      </c>
      <c r="S931" s="5">
        <v>1000</v>
      </c>
      <c r="T931" s="25">
        <v>0</v>
      </c>
      <c r="U931" s="25">
        <v>0</v>
      </c>
      <c r="V931" s="25">
        <v>0</v>
      </c>
      <c r="W931" s="25">
        <v>0</v>
      </c>
      <c r="X931" s="25">
        <f t="shared" si="159"/>
        <v>293</v>
      </c>
      <c r="Y931" s="12">
        <v>0</v>
      </c>
      <c r="Z931" s="25">
        <v>100</v>
      </c>
      <c r="AA931" s="25">
        <v>150</v>
      </c>
      <c r="AB931" s="25">
        <v>0</v>
      </c>
      <c r="AC931" s="25">
        <v>0</v>
      </c>
      <c r="AD931" s="25">
        <v>0</v>
      </c>
      <c r="AE931" s="25">
        <f t="shared" si="160"/>
        <v>224</v>
      </c>
      <c r="AF931" s="25">
        <f t="shared" si="161"/>
        <v>224</v>
      </c>
      <c r="AG931" s="25">
        <v>0</v>
      </c>
      <c r="AH931" s="25">
        <f t="shared" si="162"/>
        <v>0</v>
      </c>
      <c r="AI931" s="25">
        <f t="shared" si="163"/>
        <v>3</v>
      </c>
      <c r="AJ931" s="25">
        <v>1</v>
      </c>
      <c r="AK931" s="25">
        <v>1000</v>
      </c>
      <c r="AL931" s="25">
        <v>100</v>
      </c>
      <c r="AM931" s="26">
        <v>10</v>
      </c>
      <c r="AN931" s="26">
        <v>10</v>
      </c>
      <c r="AO931" s="22" t="s">
        <v>2211</v>
      </c>
      <c r="AP931" s="26">
        <v>0</v>
      </c>
      <c r="AQ931" s="26">
        <f t="shared" si="164"/>
        <v>60</v>
      </c>
      <c r="AR931" s="18" t="str">
        <f ca="1">CONCATENATE(OFFSET(Sheet1!$A$2,RANDBETWEEN(2,500),0,1,1),OFFSET(Sheet1!$A$2,RANDBETWEEN(2,500),RANDBETWEEN(1,5),1,1))</f>
        <v>亨里埃塔小笨蛋</v>
      </c>
      <c r="AS931">
        <f>SUMPRODUCT(P931:AI931,Sheet2!$B$3:$U$3)</f>
        <v>30219</v>
      </c>
    </row>
    <row r="932" spans="1:45" x14ac:dyDescent="0.15">
      <c r="A932" s="18">
        <v>931</v>
      </c>
      <c r="B932" s="18" t="s">
        <v>1102</v>
      </c>
      <c r="C932" s="18">
        <f t="shared" si="154"/>
        <v>112</v>
      </c>
      <c r="D932" s="19">
        <f t="shared" si="155"/>
        <v>3</v>
      </c>
      <c r="E932" s="19">
        <f>VLOOKUP(MOD(A932,4),各职业基础配置!C$32:D$35,2,FALSE)</f>
        <v>9</v>
      </c>
      <c r="F932" s="19">
        <f>IF(A932&lt;900,INDEX(各职业基础配置!C$23:C$28,MOD(ROW(A932),4)+1),0)</f>
        <v>0</v>
      </c>
      <c r="G932" s="19">
        <f t="shared" si="156"/>
        <v>2</v>
      </c>
      <c r="H932" s="27">
        <f t="shared" si="157"/>
        <v>1</v>
      </c>
      <c r="I932" s="6" t="s">
        <v>164</v>
      </c>
      <c r="J932" s="23" t="str">
        <f>VLOOKUP(E932,各职业基础配置!$B$9:$C$12,2,FALSE)</f>
        <v>116|117|118|4201|120</v>
      </c>
      <c r="K932" s="18" t="str">
        <f>VLOOKUP(E932,各职业基础配置!$B$15:$C$18,2,FALSE)</f>
        <v>28|29|30|31</v>
      </c>
      <c r="L932" s="18" t="str">
        <f>VLOOKUP(E932,各职业基础配置!B:C,2,FALSE)</f>
        <v>[{28,1,1},{29,1,1},{30,1,1},{31,1,1},{10,1,1},{11,1,1},{12,1,1}]</v>
      </c>
      <c r="M932" s="18">
        <v>0</v>
      </c>
      <c r="N932" s="18">
        <f t="shared" si="158"/>
        <v>3</v>
      </c>
      <c r="O932" s="18">
        <f>SUMPRODUCT(P932:AI932,Sheet2!$B$3:$U$3)</f>
        <v>30194</v>
      </c>
      <c r="P932" s="18">
        <f>CEILING(INDEX([1]系统模型!$VD:$VD,MATCH(C932,[1]系统模型!$A:$A,0))*POWER(C932/220,3.8)-50+(1000-A932),1)</f>
        <v>251</v>
      </c>
      <c r="Q932" s="18">
        <f>CEILING(INDEX([1]系统模型!$VE:$VE,MATCH(C932,[1]系统模型!$A:$A,0))*POWER(C932/220,4),1)</f>
        <v>21</v>
      </c>
      <c r="R932" s="18">
        <f>INT(INDEX([1]系统模型!$VF:$VF,MATCH(C932,[1]系统模型!$A:$A,0))*MAX(POWER(C932/180,4),0.5))</f>
        <v>5869</v>
      </c>
      <c r="S932" s="5">
        <v>1000</v>
      </c>
      <c r="T932" s="25">
        <v>0</v>
      </c>
      <c r="U932" s="25">
        <v>0</v>
      </c>
      <c r="V932" s="25">
        <v>0</v>
      </c>
      <c r="W932" s="25">
        <v>0</v>
      </c>
      <c r="X932" s="25">
        <f t="shared" si="159"/>
        <v>293</v>
      </c>
      <c r="Y932" s="12">
        <v>0</v>
      </c>
      <c r="Z932" s="25">
        <v>100</v>
      </c>
      <c r="AA932" s="25">
        <v>150</v>
      </c>
      <c r="AB932" s="25">
        <v>0</v>
      </c>
      <c r="AC932" s="25">
        <v>0</v>
      </c>
      <c r="AD932" s="25">
        <v>0</v>
      </c>
      <c r="AE932" s="25">
        <f t="shared" si="160"/>
        <v>224</v>
      </c>
      <c r="AF932" s="25">
        <f t="shared" si="161"/>
        <v>224</v>
      </c>
      <c r="AG932" s="25">
        <v>0</v>
      </c>
      <c r="AH932" s="25">
        <f t="shared" si="162"/>
        <v>0</v>
      </c>
      <c r="AI932" s="25">
        <f t="shared" si="163"/>
        <v>3</v>
      </c>
      <c r="AJ932" s="25">
        <v>1</v>
      </c>
      <c r="AK932" s="25">
        <v>1000</v>
      </c>
      <c r="AL932" s="25">
        <v>100</v>
      </c>
      <c r="AM932" s="26">
        <v>10</v>
      </c>
      <c r="AN932" s="26">
        <v>10</v>
      </c>
      <c r="AO932" s="22" t="s">
        <v>2211</v>
      </c>
      <c r="AP932" s="26">
        <v>0</v>
      </c>
      <c r="AQ932" s="26">
        <f t="shared" si="164"/>
        <v>60</v>
      </c>
      <c r="AR932" s="18" t="str">
        <f ca="1">CONCATENATE(OFFSET(Sheet1!$A$2,RANDBETWEEN(2,500),0,1,1),OFFSET(Sheet1!$A$2,RANDBETWEEN(2,500),RANDBETWEEN(1,5),1,1))</f>
        <v>布雷凯瑟琳</v>
      </c>
      <c r="AS932">
        <f>SUMPRODUCT(P932:AI932,Sheet2!$B$3:$U$3)</f>
        <v>30194</v>
      </c>
    </row>
    <row r="933" spans="1:45" x14ac:dyDescent="0.15">
      <c r="A933" s="18">
        <v>932</v>
      </c>
      <c r="B933" s="18" t="s">
        <v>2180</v>
      </c>
      <c r="C933" s="18">
        <f t="shared" si="154"/>
        <v>112</v>
      </c>
      <c r="D933" s="19">
        <f t="shared" si="155"/>
        <v>2</v>
      </c>
      <c r="E933" s="19">
        <f>VLOOKUP(MOD(A933,4),各职业基础配置!C$32:D$35,2,FALSE)</f>
        <v>1</v>
      </c>
      <c r="F933" s="19">
        <f>IF(A933&lt;900,INDEX(各职业基础配置!C$23:C$28,MOD(ROW(A933),4)+1),0)</f>
        <v>0</v>
      </c>
      <c r="G933" s="19">
        <f t="shared" si="156"/>
        <v>2</v>
      </c>
      <c r="H933" s="27">
        <f t="shared" si="157"/>
        <v>1</v>
      </c>
      <c r="I933" s="6" t="s">
        <v>164</v>
      </c>
      <c r="J933" s="23" t="str">
        <f>VLOOKUP(E933,各职业基础配置!$B$9:$C$12,2,FALSE)</f>
        <v>101|102|103|4201|105</v>
      </c>
      <c r="K933" s="18" t="str">
        <f>VLOOKUP(E933,各职业基础配置!$B$15:$C$18,2,FALSE)</f>
        <v>24|25|26|27</v>
      </c>
      <c r="L933" s="18" t="str">
        <f>VLOOKUP(E933,各职业基础配置!B:C,2,FALSE)</f>
        <v>[{24,1,1},{25,1,1},{26,1,1},{27,1,1},{1,1,1},{2,1,1},{3,1,1}]</v>
      </c>
      <c r="M933" s="18">
        <v>0</v>
      </c>
      <c r="N933" s="18">
        <f t="shared" si="158"/>
        <v>3</v>
      </c>
      <c r="O933" s="18">
        <f>SUMPRODUCT(P933:AI933,Sheet2!$B$3:$U$3)</f>
        <v>30169</v>
      </c>
      <c r="P933" s="18">
        <f>CEILING(INDEX([1]系统模型!$VD:$VD,MATCH(C933,[1]系统模型!$A:$A,0))*POWER(C933/220,3.8)-50+(1000-A933),1)</f>
        <v>250</v>
      </c>
      <c r="Q933" s="18">
        <f>CEILING(INDEX([1]系统模型!$VE:$VE,MATCH(C933,[1]系统模型!$A:$A,0))*POWER(C933/220,4),1)</f>
        <v>21</v>
      </c>
      <c r="R933" s="18">
        <f>INT(INDEX([1]系统模型!$VF:$VF,MATCH(C933,[1]系统模型!$A:$A,0))*MAX(POWER(C933/180,4),0.5))</f>
        <v>5869</v>
      </c>
      <c r="S933" s="5">
        <v>1000</v>
      </c>
      <c r="T933" s="25">
        <v>0</v>
      </c>
      <c r="U933" s="25">
        <v>0</v>
      </c>
      <c r="V933" s="25">
        <v>0</v>
      </c>
      <c r="W933" s="25">
        <v>0</v>
      </c>
      <c r="X933" s="25">
        <f t="shared" si="159"/>
        <v>293</v>
      </c>
      <c r="Y933" s="12">
        <v>0</v>
      </c>
      <c r="Z933" s="25">
        <v>100</v>
      </c>
      <c r="AA933" s="25">
        <v>150</v>
      </c>
      <c r="AB933" s="25">
        <v>0</v>
      </c>
      <c r="AC933" s="25">
        <v>0</v>
      </c>
      <c r="AD933" s="25">
        <v>0</v>
      </c>
      <c r="AE933" s="25">
        <f t="shared" si="160"/>
        <v>224</v>
      </c>
      <c r="AF933" s="25">
        <f t="shared" si="161"/>
        <v>224</v>
      </c>
      <c r="AG933" s="25">
        <v>0</v>
      </c>
      <c r="AH933" s="25">
        <f t="shared" si="162"/>
        <v>0</v>
      </c>
      <c r="AI933" s="25">
        <f t="shared" si="163"/>
        <v>3</v>
      </c>
      <c r="AJ933" s="25">
        <v>1</v>
      </c>
      <c r="AK933" s="25">
        <v>1000</v>
      </c>
      <c r="AL933" s="25">
        <v>100</v>
      </c>
      <c r="AM933" s="26">
        <v>10</v>
      </c>
      <c r="AN933" s="26">
        <v>10</v>
      </c>
      <c r="AO933" s="22" t="s">
        <v>2211</v>
      </c>
      <c r="AP933" s="26">
        <v>0</v>
      </c>
      <c r="AQ933" s="26">
        <f t="shared" si="164"/>
        <v>50</v>
      </c>
      <c r="AR933" s="18" t="str">
        <f ca="1">CONCATENATE(OFFSET(Sheet1!$A$2,RANDBETWEEN(2,500),0,1,1),OFFSET(Sheet1!$A$2,RANDBETWEEN(2,500),RANDBETWEEN(1,5),1,1))</f>
        <v>安</v>
      </c>
      <c r="AS933">
        <f>SUMPRODUCT(P933:AI933,Sheet2!$B$3:$U$3)</f>
        <v>30169</v>
      </c>
    </row>
    <row r="934" spans="1:45" x14ac:dyDescent="0.15">
      <c r="A934" s="23">
        <v>933</v>
      </c>
      <c r="B934" s="18" t="s">
        <v>2181</v>
      </c>
      <c r="C934" s="18">
        <f t="shared" si="154"/>
        <v>111</v>
      </c>
      <c r="D934" s="19">
        <f t="shared" si="155"/>
        <v>3</v>
      </c>
      <c r="E934" s="19">
        <f>VLOOKUP(MOD(A934,4),各职业基础配置!C$32:D$35,2,FALSE)</f>
        <v>3</v>
      </c>
      <c r="F934" s="19">
        <f>IF(A934&lt;900,INDEX(各职业基础配置!C$23:C$28,MOD(ROW(A934),4)+1),0)</f>
        <v>0</v>
      </c>
      <c r="G934" s="19">
        <f t="shared" si="156"/>
        <v>1</v>
      </c>
      <c r="H934" s="27">
        <f t="shared" si="157"/>
        <v>1</v>
      </c>
      <c r="I934" s="6" t="s">
        <v>164</v>
      </c>
      <c r="J934" s="23" t="str">
        <f>VLOOKUP(E934,各职业基础配置!$B$9:$C$12,2,FALSE)</f>
        <v>106|107|108|4201|110</v>
      </c>
      <c r="K934" s="18" t="str">
        <f>VLOOKUP(E934,各职业基础配置!$B$15:$C$18,2,FALSE)</f>
        <v>20|21|22|23</v>
      </c>
      <c r="L934" s="18" t="str">
        <f>VLOOKUP(E934,各职业基础配置!B:C,2,FALSE)</f>
        <v>[{20,1,1},{21,1,1},{22,1,1},{23,1,1},{4,1,1},{5,1,1},{6,1,1}]</v>
      </c>
      <c r="M934" s="18">
        <v>0</v>
      </c>
      <c r="N934" s="18">
        <f t="shared" si="158"/>
        <v>7</v>
      </c>
      <c r="O934" s="18">
        <f>SUMPRODUCT(P934:AI934,Sheet2!$B$3:$U$3)</f>
        <v>29679</v>
      </c>
      <c r="P934" s="18">
        <f>CEILING(INDEX([1]系统模型!$VD:$VD,MATCH(C934,[1]系统模型!$A:$A,0))*POWER(C934/220,3.8)-50+(1000-A934),1)</f>
        <v>239</v>
      </c>
      <c r="Q934" s="18">
        <f>CEILING(INDEX([1]系统模型!$VE:$VE,MATCH(C934,[1]系统模型!$A:$A,0))*POWER(C934/220,4),1)</f>
        <v>19</v>
      </c>
      <c r="R934" s="18">
        <f>INT(INDEX([1]系统模型!$VF:$VF,MATCH(C934,[1]系统模型!$A:$A,0))*MAX(POWER(C934/180,4),0.5))</f>
        <v>5804</v>
      </c>
      <c r="S934" s="5">
        <v>1000</v>
      </c>
      <c r="T934" s="25">
        <v>0</v>
      </c>
      <c r="U934" s="25">
        <v>0</v>
      </c>
      <c r="V934" s="25">
        <v>0</v>
      </c>
      <c r="W934" s="25">
        <v>0</v>
      </c>
      <c r="X934" s="25">
        <f t="shared" si="159"/>
        <v>290</v>
      </c>
      <c r="Y934" s="12">
        <v>0</v>
      </c>
      <c r="Z934" s="25">
        <v>100</v>
      </c>
      <c r="AA934" s="25">
        <v>150</v>
      </c>
      <c r="AB934" s="25">
        <v>0</v>
      </c>
      <c r="AC934" s="25">
        <v>0</v>
      </c>
      <c r="AD934" s="25">
        <v>0</v>
      </c>
      <c r="AE934" s="25">
        <f t="shared" si="160"/>
        <v>222</v>
      </c>
      <c r="AF934" s="25">
        <f t="shared" si="161"/>
        <v>222</v>
      </c>
      <c r="AG934" s="25">
        <v>0</v>
      </c>
      <c r="AH934" s="25">
        <f t="shared" si="162"/>
        <v>0</v>
      </c>
      <c r="AI934" s="25">
        <f t="shared" si="163"/>
        <v>3</v>
      </c>
      <c r="AJ934" s="25">
        <v>1</v>
      </c>
      <c r="AK934" s="25">
        <v>1000</v>
      </c>
      <c r="AL934" s="25">
        <v>100</v>
      </c>
      <c r="AM934" s="26">
        <v>10</v>
      </c>
      <c r="AN934" s="26">
        <v>10</v>
      </c>
      <c r="AO934" s="22" t="s">
        <v>2211</v>
      </c>
      <c r="AP934" s="26">
        <v>0</v>
      </c>
      <c r="AQ934" s="26">
        <f t="shared" si="164"/>
        <v>50</v>
      </c>
      <c r="AR934" s="18" t="str">
        <f ca="1">CONCATENATE(OFFSET(Sheet1!$A$2,RANDBETWEEN(2,500),0,1,1),OFFSET(Sheet1!$A$2,RANDBETWEEN(2,500),RANDBETWEEN(1,5),1,1))</f>
        <v>琼斯</v>
      </c>
      <c r="AS934">
        <f>SUMPRODUCT(P934:AI934,Sheet2!$B$3:$U$3)</f>
        <v>29679</v>
      </c>
    </row>
    <row r="935" spans="1:45" x14ac:dyDescent="0.15">
      <c r="A935" s="18">
        <v>934</v>
      </c>
      <c r="B935" s="18" t="s">
        <v>727</v>
      </c>
      <c r="C935" s="18">
        <f t="shared" si="154"/>
        <v>111</v>
      </c>
      <c r="D935" s="19">
        <f t="shared" si="155"/>
        <v>2</v>
      </c>
      <c r="E935" s="19">
        <f>VLOOKUP(MOD(A935,4),各职业基础配置!C$32:D$35,2,FALSE)</f>
        <v>6</v>
      </c>
      <c r="F935" s="19">
        <f>IF(A935&lt;900,INDEX(各职业基础配置!C$23:C$28,MOD(ROW(A935),4)+1),0)</f>
        <v>0</v>
      </c>
      <c r="G935" s="19">
        <f t="shared" si="156"/>
        <v>1</v>
      </c>
      <c r="H935" s="27">
        <f t="shared" si="157"/>
        <v>1</v>
      </c>
      <c r="I935" s="6" t="s">
        <v>164</v>
      </c>
      <c r="J935" s="23" t="str">
        <f>VLOOKUP(E935,各职业基础配置!$B$9:$C$12,2,FALSE)</f>
        <v>111|112|113|4201|115</v>
      </c>
      <c r="K935" s="18" t="str">
        <f>VLOOKUP(E935,各职业基础配置!$B$15:$C$18,2,FALSE)</f>
        <v>32|33|34</v>
      </c>
      <c r="L935" s="18" t="str">
        <f>VLOOKUP(E935,各职业基础配置!B:C,2,FALSE)</f>
        <v>[{32,1,1},{33,1,1},{34,1,1},{35,1,1},{7,1,1},{8,1,1},{9,1,1}]</v>
      </c>
      <c r="M935" s="18">
        <v>0</v>
      </c>
      <c r="N935" s="18">
        <f t="shared" si="158"/>
        <v>7</v>
      </c>
      <c r="O935" s="18">
        <f>SUMPRODUCT(P935:AI935,Sheet2!$B$3:$U$3)</f>
        <v>29654</v>
      </c>
      <c r="P935" s="18">
        <f>CEILING(INDEX([1]系统模型!$VD:$VD,MATCH(C935,[1]系统模型!$A:$A,0))*POWER(C935/220,3.8)-50+(1000-A935),1)</f>
        <v>238</v>
      </c>
      <c r="Q935" s="18">
        <f>CEILING(INDEX([1]系统模型!$VE:$VE,MATCH(C935,[1]系统模型!$A:$A,0))*POWER(C935/220,4),1)</f>
        <v>19</v>
      </c>
      <c r="R935" s="18">
        <f>INT(INDEX([1]系统模型!$VF:$VF,MATCH(C935,[1]系统模型!$A:$A,0))*MAX(POWER(C935/180,4),0.5))</f>
        <v>5804</v>
      </c>
      <c r="S935" s="5">
        <v>1000</v>
      </c>
      <c r="T935" s="25">
        <v>0</v>
      </c>
      <c r="U935" s="25">
        <v>0</v>
      </c>
      <c r="V935" s="25">
        <v>0</v>
      </c>
      <c r="W935" s="25">
        <v>0</v>
      </c>
      <c r="X935" s="25">
        <f t="shared" si="159"/>
        <v>290</v>
      </c>
      <c r="Y935" s="12">
        <v>0</v>
      </c>
      <c r="Z935" s="25">
        <v>100</v>
      </c>
      <c r="AA935" s="25">
        <v>150</v>
      </c>
      <c r="AB935" s="25">
        <v>0</v>
      </c>
      <c r="AC935" s="25">
        <v>0</v>
      </c>
      <c r="AD935" s="25">
        <v>0</v>
      </c>
      <c r="AE935" s="25">
        <f t="shared" si="160"/>
        <v>222</v>
      </c>
      <c r="AF935" s="25">
        <f t="shared" si="161"/>
        <v>222</v>
      </c>
      <c r="AG935" s="25">
        <v>0</v>
      </c>
      <c r="AH935" s="25">
        <f t="shared" si="162"/>
        <v>0</v>
      </c>
      <c r="AI935" s="25">
        <f t="shared" si="163"/>
        <v>3</v>
      </c>
      <c r="AJ935" s="25">
        <v>1</v>
      </c>
      <c r="AK935" s="25">
        <v>1000</v>
      </c>
      <c r="AL935" s="25">
        <v>100</v>
      </c>
      <c r="AM935" s="26">
        <v>10</v>
      </c>
      <c r="AN935" s="26">
        <v>10</v>
      </c>
      <c r="AO935" s="22" t="s">
        <v>2211</v>
      </c>
      <c r="AP935" s="26">
        <v>0</v>
      </c>
      <c r="AQ935" s="26">
        <f t="shared" si="164"/>
        <v>50</v>
      </c>
      <c r="AR935" s="18" t="str">
        <f ca="1">CONCATENATE(OFFSET(Sheet1!$A$2,RANDBETWEEN(2,500),0,1,1),OFFSET(Sheet1!$A$2,RANDBETWEEN(2,500),RANDBETWEEN(1,5),1,1))</f>
        <v>霍普</v>
      </c>
      <c r="AS935">
        <f>SUMPRODUCT(P935:AI935,Sheet2!$B$3:$U$3)</f>
        <v>29654</v>
      </c>
    </row>
    <row r="936" spans="1:45" x14ac:dyDescent="0.15">
      <c r="A936" s="18">
        <v>935</v>
      </c>
      <c r="B936" s="18" t="s">
        <v>2182</v>
      </c>
      <c r="C936" s="18">
        <f t="shared" si="154"/>
        <v>111</v>
      </c>
      <c r="D936" s="19">
        <f t="shared" si="155"/>
        <v>3</v>
      </c>
      <c r="E936" s="19">
        <f>VLOOKUP(MOD(A936,4),各职业基础配置!C$32:D$35,2,FALSE)</f>
        <v>9</v>
      </c>
      <c r="F936" s="19">
        <f>IF(A936&lt;900,INDEX(各职业基础配置!C$23:C$28,MOD(ROW(A936),4)+1),0)</f>
        <v>0</v>
      </c>
      <c r="G936" s="19">
        <f t="shared" si="156"/>
        <v>1</v>
      </c>
      <c r="H936" s="27">
        <f t="shared" si="157"/>
        <v>1</v>
      </c>
      <c r="I936" s="6" t="s">
        <v>164</v>
      </c>
      <c r="J936" s="23" t="str">
        <f>VLOOKUP(E936,各职业基础配置!$B$9:$C$12,2,FALSE)</f>
        <v>116|117|118|4201|120</v>
      </c>
      <c r="K936" s="18" t="str">
        <f>VLOOKUP(E936,各职业基础配置!$B$15:$C$18,2,FALSE)</f>
        <v>28|29|30|31</v>
      </c>
      <c r="L936" s="18" t="str">
        <f>VLOOKUP(E936,各职业基础配置!B:C,2,FALSE)</f>
        <v>[{28,1,1},{29,1,1},{30,1,1},{31,1,1},{10,1,1},{11,1,1},{12,1,1}]</v>
      </c>
      <c r="M936" s="18">
        <v>0</v>
      </c>
      <c r="N936" s="18">
        <f t="shared" si="158"/>
        <v>3</v>
      </c>
      <c r="O936" s="18">
        <f>SUMPRODUCT(P936:AI936,Sheet2!$B$3:$U$3)</f>
        <v>29629</v>
      </c>
      <c r="P936" s="18">
        <f>CEILING(INDEX([1]系统模型!$VD:$VD,MATCH(C936,[1]系统模型!$A:$A,0))*POWER(C936/220,3.8)-50+(1000-A936),1)</f>
        <v>237</v>
      </c>
      <c r="Q936" s="18">
        <f>CEILING(INDEX([1]系统模型!$VE:$VE,MATCH(C936,[1]系统模型!$A:$A,0))*POWER(C936/220,4),1)</f>
        <v>19</v>
      </c>
      <c r="R936" s="18">
        <f>INT(INDEX([1]系统模型!$VF:$VF,MATCH(C936,[1]系统模型!$A:$A,0))*MAX(POWER(C936/180,4),0.5))</f>
        <v>5804</v>
      </c>
      <c r="S936" s="5">
        <v>1000</v>
      </c>
      <c r="T936" s="25">
        <v>0</v>
      </c>
      <c r="U936" s="25">
        <v>0</v>
      </c>
      <c r="V936" s="25">
        <v>0</v>
      </c>
      <c r="W936" s="25">
        <v>0</v>
      </c>
      <c r="X936" s="25">
        <f t="shared" si="159"/>
        <v>290</v>
      </c>
      <c r="Y936" s="12">
        <v>0</v>
      </c>
      <c r="Z936" s="25">
        <v>100</v>
      </c>
      <c r="AA936" s="25">
        <v>150</v>
      </c>
      <c r="AB936" s="25">
        <v>0</v>
      </c>
      <c r="AC936" s="25">
        <v>0</v>
      </c>
      <c r="AD936" s="25">
        <v>0</v>
      </c>
      <c r="AE936" s="25">
        <f t="shared" si="160"/>
        <v>222</v>
      </c>
      <c r="AF936" s="25">
        <f t="shared" si="161"/>
        <v>222</v>
      </c>
      <c r="AG936" s="25">
        <v>0</v>
      </c>
      <c r="AH936" s="25">
        <f t="shared" si="162"/>
        <v>0</v>
      </c>
      <c r="AI936" s="25">
        <f t="shared" si="163"/>
        <v>3</v>
      </c>
      <c r="AJ936" s="25">
        <v>1</v>
      </c>
      <c r="AK936" s="25">
        <v>1000</v>
      </c>
      <c r="AL936" s="25">
        <v>100</v>
      </c>
      <c r="AM936" s="26">
        <v>10</v>
      </c>
      <c r="AN936" s="26">
        <v>10</v>
      </c>
      <c r="AO936" s="22" t="s">
        <v>2211</v>
      </c>
      <c r="AP936" s="26">
        <v>0</v>
      </c>
      <c r="AQ936" s="26">
        <f t="shared" si="164"/>
        <v>50</v>
      </c>
      <c r="AR936" s="18" t="str">
        <f ca="1">CONCATENATE(OFFSET(Sheet1!$A$2,RANDBETWEEN(2,500),0,1,1),OFFSET(Sheet1!$A$2,RANDBETWEEN(2,500),RANDBETWEEN(1,5),1,1))</f>
        <v>埃玛露比</v>
      </c>
      <c r="AS936">
        <f>SUMPRODUCT(P936:AI936,Sheet2!$B$3:$U$3)</f>
        <v>29629</v>
      </c>
    </row>
    <row r="937" spans="1:45" x14ac:dyDescent="0.15">
      <c r="A937" s="23">
        <v>936</v>
      </c>
      <c r="B937" s="18" t="s">
        <v>1305</v>
      </c>
      <c r="C937" s="18">
        <f t="shared" si="154"/>
        <v>111</v>
      </c>
      <c r="D937" s="19">
        <f t="shared" si="155"/>
        <v>2</v>
      </c>
      <c r="E937" s="19">
        <f>VLOOKUP(MOD(A937,4),各职业基础配置!C$32:D$35,2,FALSE)</f>
        <v>1</v>
      </c>
      <c r="F937" s="19">
        <f>IF(A937&lt;900,INDEX(各职业基础配置!C$23:C$28,MOD(ROW(A937),4)+1),0)</f>
        <v>0</v>
      </c>
      <c r="G937" s="19">
        <f t="shared" si="156"/>
        <v>1</v>
      </c>
      <c r="H937" s="27">
        <f t="shared" si="157"/>
        <v>1</v>
      </c>
      <c r="I937" s="6" t="s">
        <v>164</v>
      </c>
      <c r="J937" s="23" t="str">
        <f>VLOOKUP(E937,各职业基础配置!$B$9:$C$12,2,FALSE)</f>
        <v>101|102|103|4201|105</v>
      </c>
      <c r="K937" s="18" t="str">
        <f>VLOOKUP(E937,各职业基础配置!$B$15:$C$18,2,FALSE)</f>
        <v>24|25|26|27</v>
      </c>
      <c r="L937" s="18" t="str">
        <f>VLOOKUP(E937,各职业基础配置!B:C,2,FALSE)</f>
        <v>[{24,1,1},{25,1,1},{26,1,1},{27,1,1},{1,1,1},{2,1,1},{3,1,1}]</v>
      </c>
      <c r="M937" s="18">
        <v>0</v>
      </c>
      <c r="N937" s="18">
        <f t="shared" si="158"/>
        <v>3</v>
      </c>
      <c r="O937" s="18">
        <f>SUMPRODUCT(P937:AI937,Sheet2!$B$3:$U$3)</f>
        <v>29604</v>
      </c>
      <c r="P937" s="18">
        <f>CEILING(INDEX([1]系统模型!$VD:$VD,MATCH(C937,[1]系统模型!$A:$A,0))*POWER(C937/220,3.8)-50+(1000-A937),1)</f>
        <v>236</v>
      </c>
      <c r="Q937" s="18">
        <f>CEILING(INDEX([1]系统模型!$VE:$VE,MATCH(C937,[1]系统模型!$A:$A,0))*POWER(C937/220,4),1)</f>
        <v>19</v>
      </c>
      <c r="R937" s="18">
        <f>INT(INDEX([1]系统模型!$VF:$VF,MATCH(C937,[1]系统模型!$A:$A,0))*MAX(POWER(C937/180,4),0.5))</f>
        <v>5804</v>
      </c>
      <c r="S937" s="5">
        <v>1000</v>
      </c>
      <c r="T937" s="25">
        <v>0</v>
      </c>
      <c r="U937" s="25">
        <v>0</v>
      </c>
      <c r="V937" s="25">
        <v>0</v>
      </c>
      <c r="W937" s="25">
        <v>0</v>
      </c>
      <c r="X937" s="25">
        <f t="shared" si="159"/>
        <v>290</v>
      </c>
      <c r="Y937" s="12">
        <v>0</v>
      </c>
      <c r="Z937" s="25">
        <v>100</v>
      </c>
      <c r="AA937" s="25">
        <v>150</v>
      </c>
      <c r="AB937" s="25">
        <v>0</v>
      </c>
      <c r="AC937" s="25">
        <v>0</v>
      </c>
      <c r="AD937" s="25">
        <v>0</v>
      </c>
      <c r="AE937" s="25">
        <f t="shared" si="160"/>
        <v>222</v>
      </c>
      <c r="AF937" s="25">
        <f t="shared" si="161"/>
        <v>222</v>
      </c>
      <c r="AG937" s="25">
        <v>0</v>
      </c>
      <c r="AH937" s="25">
        <f t="shared" si="162"/>
        <v>0</v>
      </c>
      <c r="AI937" s="25">
        <f t="shared" si="163"/>
        <v>3</v>
      </c>
      <c r="AJ937" s="25">
        <v>1</v>
      </c>
      <c r="AK937" s="25">
        <v>1000</v>
      </c>
      <c r="AL937" s="25">
        <v>100</v>
      </c>
      <c r="AM937" s="26">
        <v>10</v>
      </c>
      <c r="AN937" s="26">
        <v>10</v>
      </c>
      <c r="AO937" s="22" t="s">
        <v>2211</v>
      </c>
      <c r="AP937" s="26">
        <v>0</v>
      </c>
      <c r="AQ937" s="26">
        <f t="shared" si="164"/>
        <v>50</v>
      </c>
      <c r="AR937" s="18" t="str">
        <f ca="1">CONCATENATE(OFFSET(Sheet1!$A$2,RANDBETWEEN(2,500),0,1,1),OFFSET(Sheet1!$A$2,RANDBETWEEN(2,500),RANDBETWEEN(1,5),1,1))</f>
        <v>格斯达莲娜</v>
      </c>
      <c r="AS937">
        <f>SUMPRODUCT(P937:AI937,Sheet2!$B$3:$U$3)</f>
        <v>29604</v>
      </c>
    </row>
    <row r="938" spans="1:45" x14ac:dyDescent="0.15">
      <c r="A938" s="18">
        <v>937</v>
      </c>
      <c r="B938" s="18" t="s">
        <v>2183</v>
      </c>
      <c r="C938" s="18">
        <f t="shared" si="154"/>
        <v>111</v>
      </c>
      <c r="D938" s="19">
        <f t="shared" si="155"/>
        <v>3</v>
      </c>
      <c r="E938" s="19">
        <f>VLOOKUP(MOD(A938,4),各职业基础配置!C$32:D$35,2,FALSE)</f>
        <v>3</v>
      </c>
      <c r="F938" s="19">
        <f>IF(A938&lt;900,INDEX(各职业基础配置!C$23:C$28,MOD(ROW(A938),4)+1),0)</f>
        <v>0</v>
      </c>
      <c r="G938" s="19">
        <f t="shared" si="156"/>
        <v>1</v>
      </c>
      <c r="H938" s="27">
        <f t="shared" si="157"/>
        <v>1</v>
      </c>
      <c r="I938" s="6" t="s">
        <v>164</v>
      </c>
      <c r="J938" s="23" t="str">
        <f>VLOOKUP(E938,各职业基础配置!$B$9:$C$12,2,FALSE)</f>
        <v>106|107|108|4201|110</v>
      </c>
      <c r="K938" s="18" t="str">
        <f>VLOOKUP(E938,各职业基础配置!$B$15:$C$18,2,FALSE)</f>
        <v>20|21|22|23</v>
      </c>
      <c r="L938" s="18" t="str">
        <f>VLOOKUP(E938,各职业基础配置!B:C,2,FALSE)</f>
        <v>[{20,1,1},{21,1,1},{22,1,1},{23,1,1},{4,1,1},{5,1,1},{6,1,1}]</v>
      </c>
      <c r="M938" s="18">
        <v>0</v>
      </c>
      <c r="N938" s="18">
        <f t="shared" si="158"/>
        <v>7</v>
      </c>
      <c r="O938" s="18">
        <f>SUMPRODUCT(P938:AI938,Sheet2!$B$3:$U$3)</f>
        <v>29579</v>
      </c>
      <c r="P938" s="18">
        <f>CEILING(INDEX([1]系统模型!$VD:$VD,MATCH(C938,[1]系统模型!$A:$A,0))*POWER(C938/220,3.8)-50+(1000-A938),1)</f>
        <v>235</v>
      </c>
      <c r="Q938" s="18">
        <f>CEILING(INDEX([1]系统模型!$VE:$VE,MATCH(C938,[1]系统模型!$A:$A,0))*POWER(C938/220,4),1)</f>
        <v>19</v>
      </c>
      <c r="R938" s="18">
        <f>INT(INDEX([1]系统模型!$VF:$VF,MATCH(C938,[1]系统模型!$A:$A,0))*MAX(POWER(C938/180,4),0.5))</f>
        <v>5804</v>
      </c>
      <c r="S938" s="5">
        <v>1000</v>
      </c>
      <c r="T938" s="25">
        <v>0</v>
      </c>
      <c r="U938" s="25">
        <v>0</v>
      </c>
      <c r="V938" s="25">
        <v>0</v>
      </c>
      <c r="W938" s="25">
        <v>0</v>
      </c>
      <c r="X938" s="25">
        <f t="shared" si="159"/>
        <v>290</v>
      </c>
      <c r="Y938" s="12">
        <v>0</v>
      </c>
      <c r="Z938" s="25">
        <v>100</v>
      </c>
      <c r="AA938" s="25">
        <v>150</v>
      </c>
      <c r="AB938" s="25">
        <v>0</v>
      </c>
      <c r="AC938" s="25">
        <v>0</v>
      </c>
      <c r="AD938" s="25">
        <v>0</v>
      </c>
      <c r="AE938" s="25">
        <f t="shared" si="160"/>
        <v>222</v>
      </c>
      <c r="AF938" s="25">
        <f t="shared" si="161"/>
        <v>222</v>
      </c>
      <c r="AG938" s="25">
        <v>0</v>
      </c>
      <c r="AH938" s="25">
        <f t="shared" si="162"/>
        <v>0</v>
      </c>
      <c r="AI938" s="25">
        <f t="shared" si="163"/>
        <v>3</v>
      </c>
      <c r="AJ938" s="25">
        <v>1</v>
      </c>
      <c r="AK938" s="25">
        <v>1000</v>
      </c>
      <c r="AL938" s="25">
        <v>100</v>
      </c>
      <c r="AM938" s="26">
        <v>10</v>
      </c>
      <c r="AN938" s="26">
        <v>10</v>
      </c>
      <c r="AO938" s="22" t="s">
        <v>2211</v>
      </c>
      <c r="AP938" s="26">
        <v>0</v>
      </c>
      <c r="AQ938" s="26">
        <f t="shared" si="164"/>
        <v>50</v>
      </c>
      <c r="AR938" s="18" t="str">
        <f ca="1">CONCATENATE(OFFSET(Sheet1!$A$2,RANDBETWEEN(2,500),0,1,1),OFFSET(Sheet1!$A$2,RANDBETWEEN(2,500),RANDBETWEEN(1,5),1,1))</f>
        <v>亨利</v>
      </c>
      <c r="AS938">
        <f>SUMPRODUCT(P938:AI938,Sheet2!$B$3:$U$3)</f>
        <v>29579</v>
      </c>
    </row>
    <row r="939" spans="1:45" x14ac:dyDescent="0.15">
      <c r="A939" s="18">
        <v>938</v>
      </c>
      <c r="B939" s="18" t="s">
        <v>480</v>
      </c>
      <c r="C939" s="18">
        <f t="shared" si="154"/>
        <v>111</v>
      </c>
      <c r="D939" s="19">
        <f t="shared" si="155"/>
        <v>2</v>
      </c>
      <c r="E939" s="19">
        <f>VLOOKUP(MOD(A939,4),各职业基础配置!C$32:D$35,2,FALSE)</f>
        <v>6</v>
      </c>
      <c r="F939" s="19">
        <f>IF(A939&lt;900,INDEX(各职业基础配置!C$23:C$28,MOD(ROW(A939),4)+1),0)</f>
        <v>0</v>
      </c>
      <c r="G939" s="19">
        <f t="shared" si="156"/>
        <v>1</v>
      </c>
      <c r="H939" s="27">
        <f t="shared" si="157"/>
        <v>1</v>
      </c>
      <c r="I939" s="6" t="s">
        <v>164</v>
      </c>
      <c r="J939" s="23" t="str">
        <f>VLOOKUP(E939,各职业基础配置!$B$9:$C$12,2,FALSE)</f>
        <v>111|112|113|4201|115</v>
      </c>
      <c r="K939" s="18" t="str">
        <f>VLOOKUP(E939,各职业基础配置!$B$15:$C$18,2,FALSE)</f>
        <v>32|33|34</v>
      </c>
      <c r="L939" s="18" t="str">
        <f>VLOOKUP(E939,各职业基础配置!B:C,2,FALSE)</f>
        <v>[{32,1,1},{33,1,1},{34,1,1},{35,1,1},{7,1,1},{8,1,1},{9,1,1}]</v>
      </c>
      <c r="M939" s="18">
        <v>0</v>
      </c>
      <c r="N939" s="18">
        <f t="shared" si="158"/>
        <v>7</v>
      </c>
      <c r="O939" s="18">
        <f>SUMPRODUCT(P939:AI939,Sheet2!$B$3:$U$3)</f>
        <v>29554</v>
      </c>
      <c r="P939" s="18">
        <f>CEILING(INDEX([1]系统模型!$VD:$VD,MATCH(C939,[1]系统模型!$A:$A,0))*POWER(C939/220,3.8)-50+(1000-A939),1)</f>
        <v>234</v>
      </c>
      <c r="Q939" s="18">
        <f>CEILING(INDEX([1]系统模型!$VE:$VE,MATCH(C939,[1]系统模型!$A:$A,0))*POWER(C939/220,4),1)</f>
        <v>19</v>
      </c>
      <c r="R939" s="18">
        <f>INT(INDEX([1]系统模型!$VF:$VF,MATCH(C939,[1]系统模型!$A:$A,0))*MAX(POWER(C939/180,4),0.5))</f>
        <v>5804</v>
      </c>
      <c r="S939" s="5">
        <v>1000</v>
      </c>
      <c r="T939" s="25">
        <v>0</v>
      </c>
      <c r="U939" s="25">
        <v>0</v>
      </c>
      <c r="V939" s="25">
        <v>0</v>
      </c>
      <c r="W939" s="25">
        <v>0</v>
      </c>
      <c r="X939" s="25">
        <f t="shared" si="159"/>
        <v>290</v>
      </c>
      <c r="Y939" s="12">
        <v>0</v>
      </c>
      <c r="Z939" s="25">
        <v>100</v>
      </c>
      <c r="AA939" s="25">
        <v>150</v>
      </c>
      <c r="AB939" s="25">
        <v>0</v>
      </c>
      <c r="AC939" s="25">
        <v>0</v>
      </c>
      <c r="AD939" s="25">
        <v>0</v>
      </c>
      <c r="AE939" s="25">
        <f t="shared" si="160"/>
        <v>222</v>
      </c>
      <c r="AF939" s="25">
        <f t="shared" si="161"/>
        <v>222</v>
      </c>
      <c r="AG939" s="25">
        <v>0</v>
      </c>
      <c r="AH939" s="25">
        <f t="shared" si="162"/>
        <v>0</v>
      </c>
      <c r="AI939" s="25">
        <f t="shared" si="163"/>
        <v>3</v>
      </c>
      <c r="AJ939" s="25">
        <v>1</v>
      </c>
      <c r="AK939" s="25">
        <v>1000</v>
      </c>
      <c r="AL939" s="25">
        <v>100</v>
      </c>
      <c r="AM939" s="26">
        <v>10</v>
      </c>
      <c r="AN939" s="26">
        <v>10</v>
      </c>
      <c r="AO939" s="22" t="s">
        <v>2211</v>
      </c>
      <c r="AP939" s="26">
        <v>0</v>
      </c>
      <c r="AQ939" s="26">
        <f t="shared" si="164"/>
        <v>50</v>
      </c>
      <c r="AR939" s="18" t="str">
        <f ca="1">CONCATENATE(OFFSET(Sheet1!$A$2,RANDBETWEEN(2,500),0,1,1),OFFSET(Sheet1!$A$2,RANDBETWEEN(2,500),RANDBETWEEN(1,5),1,1))</f>
        <v>汉森尔顿苏珊娜</v>
      </c>
      <c r="AS939">
        <f>SUMPRODUCT(P939:AI939,Sheet2!$B$3:$U$3)</f>
        <v>29554</v>
      </c>
    </row>
    <row r="940" spans="1:45" x14ac:dyDescent="0.15">
      <c r="A940" s="23">
        <v>939</v>
      </c>
      <c r="B940" s="18" t="s">
        <v>334</v>
      </c>
      <c r="C940" s="18">
        <f t="shared" si="154"/>
        <v>111</v>
      </c>
      <c r="D940" s="19">
        <f t="shared" si="155"/>
        <v>3</v>
      </c>
      <c r="E940" s="19">
        <f>VLOOKUP(MOD(A940,4),各职业基础配置!C$32:D$35,2,FALSE)</f>
        <v>9</v>
      </c>
      <c r="F940" s="19">
        <f>IF(A940&lt;900,INDEX(各职业基础配置!C$23:C$28,MOD(ROW(A940),4)+1),0)</f>
        <v>0</v>
      </c>
      <c r="G940" s="19">
        <f t="shared" si="156"/>
        <v>1</v>
      </c>
      <c r="H940" s="27">
        <f t="shared" si="157"/>
        <v>1</v>
      </c>
      <c r="I940" s="6" t="s">
        <v>164</v>
      </c>
      <c r="J940" s="23" t="str">
        <f>VLOOKUP(E940,各职业基础配置!$B$9:$C$12,2,FALSE)</f>
        <v>116|117|118|4201|120</v>
      </c>
      <c r="K940" s="18" t="str">
        <f>VLOOKUP(E940,各职业基础配置!$B$15:$C$18,2,FALSE)</f>
        <v>28|29|30|31</v>
      </c>
      <c r="L940" s="18" t="str">
        <f>VLOOKUP(E940,各职业基础配置!B:C,2,FALSE)</f>
        <v>[{28,1,1},{29,1,1},{30,1,1},{31,1,1},{10,1,1},{11,1,1},{12,1,1}]</v>
      </c>
      <c r="M940" s="18">
        <v>0</v>
      </c>
      <c r="N940" s="18">
        <f t="shared" si="158"/>
        <v>3</v>
      </c>
      <c r="O940" s="18">
        <f>SUMPRODUCT(P940:AI940,Sheet2!$B$3:$U$3)</f>
        <v>29529</v>
      </c>
      <c r="P940" s="18">
        <f>CEILING(INDEX([1]系统模型!$VD:$VD,MATCH(C940,[1]系统模型!$A:$A,0))*POWER(C940/220,3.8)-50+(1000-A940),1)</f>
        <v>233</v>
      </c>
      <c r="Q940" s="18">
        <f>CEILING(INDEX([1]系统模型!$VE:$VE,MATCH(C940,[1]系统模型!$A:$A,0))*POWER(C940/220,4),1)</f>
        <v>19</v>
      </c>
      <c r="R940" s="18">
        <f>INT(INDEX([1]系统模型!$VF:$VF,MATCH(C940,[1]系统模型!$A:$A,0))*MAX(POWER(C940/180,4),0.5))</f>
        <v>5804</v>
      </c>
      <c r="S940" s="5">
        <v>1000</v>
      </c>
      <c r="T940" s="25">
        <v>0</v>
      </c>
      <c r="U940" s="25">
        <v>0</v>
      </c>
      <c r="V940" s="25">
        <v>0</v>
      </c>
      <c r="W940" s="25">
        <v>0</v>
      </c>
      <c r="X940" s="25">
        <f t="shared" si="159"/>
        <v>290</v>
      </c>
      <c r="Y940" s="12">
        <v>0</v>
      </c>
      <c r="Z940" s="25">
        <v>100</v>
      </c>
      <c r="AA940" s="25">
        <v>150</v>
      </c>
      <c r="AB940" s="25">
        <v>0</v>
      </c>
      <c r="AC940" s="25">
        <v>0</v>
      </c>
      <c r="AD940" s="25">
        <v>0</v>
      </c>
      <c r="AE940" s="25">
        <f t="shared" si="160"/>
        <v>222</v>
      </c>
      <c r="AF940" s="25">
        <f t="shared" si="161"/>
        <v>222</v>
      </c>
      <c r="AG940" s="25">
        <v>0</v>
      </c>
      <c r="AH940" s="25">
        <f t="shared" si="162"/>
        <v>0</v>
      </c>
      <c r="AI940" s="25">
        <f t="shared" si="163"/>
        <v>3</v>
      </c>
      <c r="AJ940" s="25">
        <v>1</v>
      </c>
      <c r="AK940" s="25">
        <v>1000</v>
      </c>
      <c r="AL940" s="25">
        <v>100</v>
      </c>
      <c r="AM940" s="26">
        <v>10</v>
      </c>
      <c r="AN940" s="26">
        <v>10</v>
      </c>
      <c r="AO940" s="22" t="s">
        <v>2211</v>
      </c>
      <c r="AP940" s="26">
        <v>0</v>
      </c>
      <c r="AQ940" s="26">
        <f t="shared" si="164"/>
        <v>50</v>
      </c>
      <c r="AR940" s="18" t="str">
        <f ca="1">CONCATENATE(OFFSET(Sheet1!$A$2,RANDBETWEEN(2,500),0,1,1),OFFSET(Sheet1!$A$2,RANDBETWEEN(2,500),RANDBETWEEN(1,5),1,1))</f>
        <v> 福尔摩斯挚爱</v>
      </c>
      <c r="AS940">
        <f>SUMPRODUCT(P940:AI940,Sheet2!$B$3:$U$3)</f>
        <v>29529</v>
      </c>
    </row>
    <row r="941" spans="1:45" x14ac:dyDescent="0.15">
      <c r="A941" s="18">
        <v>940</v>
      </c>
      <c r="B941" s="18" t="s">
        <v>2184</v>
      </c>
      <c r="C941" s="18">
        <f t="shared" si="154"/>
        <v>110</v>
      </c>
      <c r="D941" s="19">
        <f t="shared" si="155"/>
        <v>2</v>
      </c>
      <c r="E941" s="19">
        <f>VLOOKUP(MOD(A941,4),各职业基础配置!C$32:D$35,2,FALSE)</f>
        <v>1</v>
      </c>
      <c r="F941" s="19">
        <f>IF(A941&lt;900,INDEX(各职业基础配置!C$23:C$28,MOD(ROW(A941),4)+1),0)</f>
        <v>0</v>
      </c>
      <c r="G941" s="19">
        <f t="shared" si="156"/>
        <v>1</v>
      </c>
      <c r="H941" s="27">
        <f t="shared" si="157"/>
        <v>1</v>
      </c>
      <c r="I941" s="6" t="s">
        <v>164</v>
      </c>
      <c r="J941" s="23" t="str">
        <f>VLOOKUP(E941,各职业基础配置!$B$9:$C$12,2,FALSE)</f>
        <v>101|102|103|4201|105</v>
      </c>
      <c r="K941" s="18" t="str">
        <f>VLOOKUP(E941,各职业基础配置!$B$15:$C$18,2,FALSE)</f>
        <v>24|25|26|27</v>
      </c>
      <c r="L941" s="18" t="str">
        <f>VLOOKUP(E941,各职业基础配置!B:C,2,FALSE)</f>
        <v>[{24,1,1},{25,1,1},{26,1,1},{27,1,1},{1,1,1},{2,1,1},{3,1,1}]</v>
      </c>
      <c r="M941" s="18">
        <v>0</v>
      </c>
      <c r="N941" s="18">
        <f t="shared" si="158"/>
        <v>3</v>
      </c>
      <c r="O941" s="18">
        <f>SUMPRODUCT(P941:AI941,Sheet2!$B$3:$U$3)</f>
        <v>28936</v>
      </c>
      <c r="P941" s="18">
        <f>CEILING(INDEX([1]系统模型!$VD:$VD,MATCH(C941,[1]系统模型!$A:$A,0))*POWER(C941/220,3.8)-50+(1000-A941),1)</f>
        <v>220</v>
      </c>
      <c r="Q941" s="18">
        <f>CEILING(INDEX([1]系统模型!$VE:$VE,MATCH(C941,[1]系统模型!$A:$A,0))*POWER(C941/220,4),1)</f>
        <v>18</v>
      </c>
      <c r="R941" s="18">
        <f>INT(INDEX([1]系统模型!$VF:$VF,MATCH(C941,[1]系统模型!$A:$A,0))*MAX(POWER(C941/180,4),0.5))</f>
        <v>5686</v>
      </c>
      <c r="S941" s="5">
        <v>1000</v>
      </c>
      <c r="T941" s="25">
        <v>0</v>
      </c>
      <c r="U941" s="25">
        <v>0</v>
      </c>
      <c r="V941" s="25">
        <v>0</v>
      </c>
      <c r="W941" s="25">
        <v>0</v>
      </c>
      <c r="X941" s="25">
        <f t="shared" si="159"/>
        <v>284</v>
      </c>
      <c r="Y941" s="12">
        <v>0</v>
      </c>
      <c r="Z941" s="25">
        <v>100</v>
      </c>
      <c r="AA941" s="25">
        <v>150</v>
      </c>
      <c r="AB941" s="25">
        <v>0</v>
      </c>
      <c r="AC941" s="25">
        <v>0</v>
      </c>
      <c r="AD941" s="25">
        <v>0</v>
      </c>
      <c r="AE941" s="25">
        <f t="shared" si="160"/>
        <v>220</v>
      </c>
      <c r="AF941" s="25">
        <f t="shared" si="161"/>
        <v>220</v>
      </c>
      <c r="AG941" s="25">
        <v>0</v>
      </c>
      <c r="AH941" s="25">
        <f t="shared" si="162"/>
        <v>0</v>
      </c>
      <c r="AI941" s="25">
        <f t="shared" si="163"/>
        <v>2</v>
      </c>
      <c r="AJ941" s="25">
        <v>1</v>
      </c>
      <c r="AK941" s="25">
        <v>1000</v>
      </c>
      <c r="AL941" s="25">
        <v>100</v>
      </c>
      <c r="AM941" s="26">
        <v>10</v>
      </c>
      <c r="AN941" s="26">
        <v>10</v>
      </c>
      <c r="AO941" s="22" t="s">
        <v>2211</v>
      </c>
      <c r="AP941" s="26">
        <v>0</v>
      </c>
      <c r="AQ941" s="26">
        <f t="shared" si="164"/>
        <v>50</v>
      </c>
      <c r="AR941" s="18" t="str">
        <f ca="1">CONCATENATE(OFFSET(Sheet1!$A$2,RANDBETWEEN(2,500),0,1,1),OFFSET(Sheet1!$A$2,RANDBETWEEN(2,500),RANDBETWEEN(1,5),1,1))</f>
        <v>杰罗姆</v>
      </c>
      <c r="AS941">
        <f>SUMPRODUCT(P941:AI941,Sheet2!$B$3:$U$3)</f>
        <v>28936</v>
      </c>
    </row>
    <row r="942" spans="1:45" x14ac:dyDescent="0.15">
      <c r="A942" s="18">
        <v>941</v>
      </c>
      <c r="B942" s="18" t="s">
        <v>2185</v>
      </c>
      <c r="C942" s="18">
        <f t="shared" si="154"/>
        <v>110</v>
      </c>
      <c r="D942" s="19">
        <f t="shared" si="155"/>
        <v>3</v>
      </c>
      <c r="E942" s="19">
        <f>VLOOKUP(MOD(A942,4),各职业基础配置!C$32:D$35,2,FALSE)</f>
        <v>3</v>
      </c>
      <c r="F942" s="19">
        <f>IF(A942&lt;900,INDEX(各职业基础配置!C$23:C$28,MOD(ROW(A942),4)+1),0)</f>
        <v>0</v>
      </c>
      <c r="G942" s="19">
        <f t="shared" si="156"/>
        <v>1</v>
      </c>
      <c r="H942" s="27">
        <f t="shared" si="157"/>
        <v>1</v>
      </c>
      <c r="I942" s="6" t="s">
        <v>164</v>
      </c>
      <c r="J942" s="23" t="str">
        <f>VLOOKUP(E942,各职业基础配置!$B$9:$C$12,2,FALSE)</f>
        <v>106|107|108|4201|110</v>
      </c>
      <c r="K942" s="18" t="str">
        <f>VLOOKUP(E942,各职业基础配置!$B$15:$C$18,2,FALSE)</f>
        <v>20|21|22|23</v>
      </c>
      <c r="L942" s="18" t="str">
        <f>VLOOKUP(E942,各职业基础配置!B:C,2,FALSE)</f>
        <v>[{20,1,1},{21,1,1},{22,1,1},{23,1,1},{4,1,1},{5,1,1},{6,1,1}]</v>
      </c>
      <c r="M942" s="18">
        <v>0</v>
      </c>
      <c r="N942" s="18">
        <f t="shared" si="158"/>
        <v>7</v>
      </c>
      <c r="O942" s="18">
        <f>SUMPRODUCT(P942:AI942,Sheet2!$B$3:$U$3)</f>
        <v>28911</v>
      </c>
      <c r="P942" s="18">
        <f>CEILING(INDEX([1]系统模型!$VD:$VD,MATCH(C942,[1]系统模型!$A:$A,0))*POWER(C942/220,3.8)-50+(1000-A942),1)</f>
        <v>219</v>
      </c>
      <c r="Q942" s="18">
        <f>CEILING(INDEX([1]系统模型!$VE:$VE,MATCH(C942,[1]系统模型!$A:$A,0))*POWER(C942/220,4),1)</f>
        <v>18</v>
      </c>
      <c r="R942" s="18">
        <f>INT(INDEX([1]系统模型!$VF:$VF,MATCH(C942,[1]系统模型!$A:$A,0))*MAX(POWER(C942/180,4),0.5))</f>
        <v>5686</v>
      </c>
      <c r="S942" s="5">
        <v>1000</v>
      </c>
      <c r="T942" s="25">
        <v>0</v>
      </c>
      <c r="U942" s="25">
        <v>0</v>
      </c>
      <c r="V942" s="25">
        <v>0</v>
      </c>
      <c r="W942" s="25">
        <v>0</v>
      </c>
      <c r="X942" s="25">
        <f t="shared" si="159"/>
        <v>284</v>
      </c>
      <c r="Y942" s="12">
        <v>0</v>
      </c>
      <c r="Z942" s="25">
        <v>100</v>
      </c>
      <c r="AA942" s="25">
        <v>150</v>
      </c>
      <c r="AB942" s="25">
        <v>0</v>
      </c>
      <c r="AC942" s="25">
        <v>0</v>
      </c>
      <c r="AD942" s="25">
        <v>0</v>
      </c>
      <c r="AE942" s="25">
        <f t="shared" si="160"/>
        <v>220</v>
      </c>
      <c r="AF942" s="25">
        <f t="shared" si="161"/>
        <v>220</v>
      </c>
      <c r="AG942" s="25">
        <v>0</v>
      </c>
      <c r="AH942" s="25">
        <f t="shared" si="162"/>
        <v>0</v>
      </c>
      <c r="AI942" s="25">
        <f t="shared" si="163"/>
        <v>2</v>
      </c>
      <c r="AJ942" s="25">
        <v>1</v>
      </c>
      <c r="AK942" s="25">
        <v>1000</v>
      </c>
      <c r="AL942" s="25">
        <v>100</v>
      </c>
      <c r="AM942" s="26">
        <v>10</v>
      </c>
      <c r="AN942" s="26">
        <v>10</v>
      </c>
      <c r="AO942" s="22" t="s">
        <v>2211</v>
      </c>
      <c r="AP942" s="26">
        <v>0</v>
      </c>
      <c r="AQ942" s="26">
        <f t="shared" si="164"/>
        <v>50</v>
      </c>
      <c r="AR942" s="18" t="str">
        <f ca="1">CONCATENATE(OFFSET(Sheet1!$A$2,RANDBETWEEN(2,500),0,1,1),OFFSET(Sheet1!$A$2,RANDBETWEEN(2,500),RANDBETWEEN(1,5),1,1))</f>
        <v>赫特</v>
      </c>
      <c r="AS942">
        <f>SUMPRODUCT(P942:AI942,Sheet2!$B$3:$U$3)</f>
        <v>28911</v>
      </c>
    </row>
    <row r="943" spans="1:45" x14ac:dyDescent="0.15">
      <c r="A943" s="23">
        <v>942</v>
      </c>
      <c r="B943" s="18" t="s">
        <v>459</v>
      </c>
      <c r="C943" s="18">
        <f t="shared" si="154"/>
        <v>110</v>
      </c>
      <c r="D943" s="19">
        <f t="shared" si="155"/>
        <v>2</v>
      </c>
      <c r="E943" s="19">
        <f>VLOOKUP(MOD(A943,4),各职业基础配置!C$32:D$35,2,FALSE)</f>
        <v>6</v>
      </c>
      <c r="F943" s="19">
        <f>IF(A943&lt;900,INDEX(各职业基础配置!C$23:C$28,MOD(ROW(A943),4)+1),0)</f>
        <v>0</v>
      </c>
      <c r="G943" s="19">
        <f t="shared" si="156"/>
        <v>1</v>
      </c>
      <c r="H943" s="27">
        <f t="shared" si="157"/>
        <v>1</v>
      </c>
      <c r="I943" s="6" t="s">
        <v>164</v>
      </c>
      <c r="J943" s="23" t="str">
        <f>VLOOKUP(E943,各职业基础配置!$B$9:$C$12,2,FALSE)</f>
        <v>111|112|113|4201|115</v>
      </c>
      <c r="K943" s="18" t="str">
        <f>VLOOKUP(E943,各职业基础配置!$B$15:$C$18,2,FALSE)</f>
        <v>32|33|34</v>
      </c>
      <c r="L943" s="18" t="str">
        <f>VLOOKUP(E943,各职业基础配置!B:C,2,FALSE)</f>
        <v>[{32,1,1},{33,1,1},{34,1,1},{35,1,1},{7,1,1},{8,1,1},{9,1,1}]</v>
      </c>
      <c r="M943" s="18">
        <v>0</v>
      </c>
      <c r="N943" s="18">
        <f t="shared" si="158"/>
        <v>7</v>
      </c>
      <c r="O943" s="18">
        <f>SUMPRODUCT(P943:AI943,Sheet2!$B$3:$U$3)</f>
        <v>28886</v>
      </c>
      <c r="P943" s="18">
        <f>CEILING(INDEX([1]系统模型!$VD:$VD,MATCH(C943,[1]系统模型!$A:$A,0))*POWER(C943/220,3.8)-50+(1000-A943),1)</f>
        <v>218</v>
      </c>
      <c r="Q943" s="18">
        <f>CEILING(INDEX([1]系统模型!$VE:$VE,MATCH(C943,[1]系统模型!$A:$A,0))*POWER(C943/220,4),1)</f>
        <v>18</v>
      </c>
      <c r="R943" s="18">
        <f>INT(INDEX([1]系统模型!$VF:$VF,MATCH(C943,[1]系统模型!$A:$A,0))*MAX(POWER(C943/180,4),0.5))</f>
        <v>5686</v>
      </c>
      <c r="S943" s="5">
        <v>1000</v>
      </c>
      <c r="T943" s="25">
        <v>0</v>
      </c>
      <c r="U943" s="25">
        <v>0</v>
      </c>
      <c r="V943" s="25">
        <v>0</v>
      </c>
      <c r="W943" s="25">
        <v>0</v>
      </c>
      <c r="X943" s="25">
        <f t="shared" si="159"/>
        <v>284</v>
      </c>
      <c r="Y943" s="12">
        <v>0</v>
      </c>
      <c r="Z943" s="25">
        <v>100</v>
      </c>
      <c r="AA943" s="25">
        <v>150</v>
      </c>
      <c r="AB943" s="25">
        <v>0</v>
      </c>
      <c r="AC943" s="25">
        <v>0</v>
      </c>
      <c r="AD943" s="25">
        <v>0</v>
      </c>
      <c r="AE943" s="25">
        <f t="shared" si="160"/>
        <v>220</v>
      </c>
      <c r="AF943" s="25">
        <f t="shared" si="161"/>
        <v>220</v>
      </c>
      <c r="AG943" s="25">
        <v>0</v>
      </c>
      <c r="AH943" s="25">
        <f t="shared" si="162"/>
        <v>0</v>
      </c>
      <c r="AI943" s="25">
        <f t="shared" si="163"/>
        <v>2</v>
      </c>
      <c r="AJ943" s="25">
        <v>1</v>
      </c>
      <c r="AK943" s="25">
        <v>1000</v>
      </c>
      <c r="AL943" s="25">
        <v>100</v>
      </c>
      <c r="AM943" s="26">
        <v>10</v>
      </c>
      <c r="AN943" s="26">
        <v>10</v>
      </c>
      <c r="AO943" s="22" t="s">
        <v>2211</v>
      </c>
      <c r="AP943" s="26">
        <v>0</v>
      </c>
      <c r="AQ943" s="26">
        <f t="shared" si="164"/>
        <v>40</v>
      </c>
      <c r="AR943" s="18" t="str">
        <f ca="1">CONCATENATE(OFFSET(Sheet1!$A$2,RANDBETWEEN(2,500),0,1,1),OFFSET(Sheet1!$A$2,RANDBETWEEN(2,500),RANDBETWEEN(1,5),1,1))</f>
        <v>埃玛</v>
      </c>
      <c r="AS943">
        <f>SUMPRODUCT(P943:AI943,Sheet2!$B$3:$U$3)</f>
        <v>28886</v>
      </c>
    </row>
    <row r="944" spans="1:45" x14ac:dyDescent="0.15">
      <c r="A944" s="18">
        <v>943</v>
      </c>
      <c r="B944" s="18" t="s">
        <v>2186</v>
      </c>
      <c r="C944" s="18">
        <f t="shared" si="154"/>
        <v>110</v>
      </c>
      <c r="D944" s="19">
        <f t="shared" si="155"/>
        <v>3</v>
      </c>
      <c r="E944" s="19">
        <f>VLOOKUP(MOD(A944,4),各职业基础配置!C$32:D$35,2,FALSE)</f>
        <v>9</v>
      </c>
      <c r="F944" s="19">
        <f>IF(A944&lt;900,INDEX(各职业基础配置!C$23:C$28,MOD(ROW(A944),4)+1),0)</f>
        <v>0</v>
      </c>
      <c r="G944" s="19">
        <f t="shared" si="156"/>
        <v>1</v>
      </c>
      <c r="H944" s="27">
        <f t="shared" si="157"/>
        <v>1</v>
      </c>
      <c r="I944" s="6" t="s">
        <v>164</v>
      </c>
      <c r="J944" s="23" t="str">
        <f>VLOOKUP(E944,各职业基础配置!$B$9:$C$12,2,FALSE)</f>
        <v>116|117|118|4201|120</v>
      </c>
      <c r="K944" s="18" t="str">
        <f>VLOOKUP(E944,各职业基础配置!$B$15:$C$18,2,FALSE)</f>
        <v>28|29|30|31</v>
      </c>
      <c r="L944" s="18" t="str">
        <f>VLOOKUP(E944,各职业基础配置!B:C,2,FALSE)</f>
        <v>[{28,1,1},{29,1,1},{30,1,1},{31,1,1},{10,1,1},{11,1,1},{12,1,1}]</v>
      </c>
      <c r="M944" s="18">
        <v>0</v>
      </c>
      <c r="N944" s="18">
        <f t="shared" si="158"/>
        <v>3</v>
      </c>
      <c r="O944" s="18">
        <f>SUMPRODUCT(P944:AI944,Sheet2!$B$3:$U$3)</f>
        <v>28861</v>
      </c>
      <c r="P944" s="18">
        <f>CEILING(INDEX([1]系统模型!$VD:$VD,MATCH(C944,[1]系统模型!$A:$A,0))*POWER(C944/220,3.8)-50+(1000-A944),1)</f>
        <v>217</v>
      </c>
      <c r="Q944" s="18">
        <f>CEILING(INDEX([1]系统模型!$VE:$VE,MATCH(C944,[1]系统模型!$A:$A,0))*POWER(C944/220,4),1)</f>
        <v>18</v>
      </c>
      <c r="R944" s="18">
        <f>INT(INDEX([1]系统模型!$VF:$VF,MATCH(C944,[1]系统模型!$A:$A,0))*MAX(POWER(C944/180,4),0.5))</f>
        <v>5686</v>
      </c>
      <c r="S944" s="5">
        <v>1000</v>
      </c>
      <c r="T944" s="25">
        <v>0</v>
      </c>
      <c r="U944" s="25">
        <v>0</v>
      </c>
      <c r="V944" s="25">
        <v>0</v>
      </c>
      <c r="W944" s="25">
        <v>0</v>
      </c>
      <c r="X944" s="25">
        <f t="shared" si="159"/>
        <v>284</v>
      </c>
      <c r="Y944" s="12">
        <v>0</v>
      </c>
      <c r="Z944" s="25">
        <v>100</v>
      </c>
      <c r="AA944" s="25">
        <v>150</v>
      </c>
      <c r="AB944" s="25">
        <v>0</v>
      </c>
      <c r="AC944" s="25">
        <v>0</v>
      </c>
      <c r="AD944" s="25">
        <v>0</v>
      </c>
      <c r="AE944" s="25">
        <f t="shared" si="160"/>
        <v>220</v>
      </c>
      <c r="AF944" s="25">
        <f t="shared" si="161"/>
        <v>220</v>
      </c>
      <c r="AG944" s="25">
        <v>0</v>
      </c>
      <c r="AH944" s="25">
        <f t="shared" si="162"/>
        <v>0</v>
      </c>
      <c r="AI944" s="25">
        <f t="shared" si="163"/>
        <v>2</v>
      </c>
      <c r="AJ944" s="25">
        <v>1</v>
      </c>
      <c r="AK944" s="25">
        <v>1000</v>
      </c>
      <c r="AL944" s="25">
        <v>100</v>
      </c>
      <c r="AM944" s="26">
        <v>10</v>
      </c>
      <c r="AN944" s="26">
        <v>10</v>
      </c>
      <c r="AO944" s="22" t="s">
        <v>2211</v>
      </c>
      <c r="AP944" s="26">
        <v>0</v>
      </c>
      <c r="AQ944" s="26">
        <f t="shared" si="164"/>
        <v>40</v>
      </c>
      <c r="AR944" s="18" t="str">
        <f ca="1">CONCATENATE(OFFSET(Sheet1!$A$2,RANDBETWEEN(2,500),0,1,1),OFFSET(Sheet1!$A$2,RANDBETWEEN(2,500),RANDBETWEEN(1,5),1,1))</f>
        <v>杰姆斯莉娜</v>
      </c>
      <c r="AS944">
        <f>SUMPRODUCT(P944:AI944,Sheet2!$B$3:$U$3)</f>
        <v>28861</v>
      </c>
    </row>
    <row r="945" spans="1:45" x14ac:dyDescent="0.15">
      <c r="A945" s="18">
        <v>944</v>
      </c>
      <c r="B945" s="18" t="s">
        <v>2187</v>
      </c>
      <c r="C945" s="18">
        <f t="shared" si="154"/>
        <v>110</v>
      </c>
      <c r="D945" s="19">
        <f t="shared" si="155"/>
        <v>2</v>
      </c>
      <c r="E945" s="19">
        <f>VLOOKUP(MOD(A945,4),各职业基础配置!C$32:D$35,2,FALSE)</f>
        <v>1</v>
      </c>
      <c r="F945" s="19">
        <f>IF(A945&lt;900,INDEX(各职业基础配置!C$23:C$28,MOD(ROW(A945),4)+1),0)</f>
        <v>0</v>
      </c>
      <c r="G945" s="19">
        <f t="shared" si="156"/>
        <v>1</v>
      </c>
      <c r="H945" s="27">
        <f t="shared" si="157"/>
        <v>1</v>
      </c>
      <c r="I945" s="6" t="s">
        <v>164</v>
      </c>
      <c r="J945" s="23" t="str">
        <f>VLOOKUP(E945,各职业基础配置!$B$9:$C$12,2,FALSE)</f>
        <v>101|102|103|4201|105</v>
      </c>
      <c r="K945" s="18" t="str">
        <f>VLOOKUP(E945,各职业基础配置!$B$15:$C$18,2,FALSE)</f>
        <v>24|25|26|27</v>
      </c>
      <c r="L945" s="18" t="str">
        <f>VLOOKUP(E945,各职业基础配置!B:C,2,FALSE)</f>
        <v>[{24,1,1},{25,1,1},{26,1,1},{27,1,1},{1,1,1},{2,1,1},{3,1,1}]</v>
      </c>
      <c r="M945" s="18">
        <v>0</v>
      </c>
      <c r="N945" s="18">
        <f t="shared" si="158"/>
        <v>3</v>
      </c>
      <c r="O945" s="18">
        <f>SUMPRODUCT(P945:AI945,Sheet2!$B$3:$U$3)</f>
        <v>28836</v>
      </c>
      <c r="P945" s="18">
        <f>CEILING(INDEX([1]系统模型!$VD:$VD,MATCH(C945,[1]系统模型!$A:$A,0))*POWER(C945/220,3.8)-50+(1000-A945),1)</f>
        <v>216</v>
      </c>
      <c r="Q945" s="18">
        <f>CEILING(INDEX([1]系统模型!$VE:$VE,MATCH(C945,[1]系统模型!$A:$A,0))*POWER(C945/220,4),1)</f>
        <v>18</v>
      </c>
      <c r="R945" s="18">
        <f>INT(INDEX([1]系统模型!$VF:$VF,MATCH(C945,[1]系统模型!$A:$A,0))*MAX(POWER(C945/180,4),0.5))</f>
        <v>5686</v>
      </c>
      <c r="S945" s="5">
        <v>1000</v>
      </c>
      <c r="T945" s="25">
        <v>0</v>
      </c>
      <c r="U945" s="25">
        <v>0</v>
      </c>
      <c r="V945" s="25">
        <v>0</v>
      </c>
      <c r="W945" s="25">
        <v>0</v>
      </c>
      <c r="X945" s="25">
        <f t="shared" si="159"/>
        <v>284</v>
      </c>
      <c r="Y945" s="12">
        <v>0</v>
      </c>
      <c r="Z945" s="25">
        <v>100</v>
      </c>
      <c r="AA945" s="25">
        <v>150</v>
      </c>
      <c r="AB945" s="25">
        <v>0</v>
      </c>
      <c r="AC945" s="25">
        <v>0</v>
      </c>
      <c r="AD945" s="25">
        <v>0</v>
      </c>
      <c r="AE945" s="25">
        <f t="shared" si="160"/>
        <v>220</v>
      </c>
      <c r="AF945" s="25">
        <f t="shared" si="161"/>
        <v>220</v>
      </c>
      <c r="AG945" s="25">
        <v>0</v>
      </c>
      <c r="AH945" s="25">
        <f t="shared" si="162"/>
        <v>0</v>
      </c>
      <c r="AI945" s="25">
        <f t="shared" si="163"/>
        <v>2</v>
      </c>
      <c r="AJ945" s="25">
        <v>1</v>
      </c>
      <c r="AK945" s="25">
        <v>1000</v>
      </c>
      <c r="AL945" s="25">
        <v>100</v>
      </c>
      <c r="AM945" s="26">
        <v>10</v>
      </c>
      <c r="AN945" s="26">
        <v>10</v>
      </c>
      <c r="AO945" s="22" t="s">
        <v>2211</v>
      </c>
      <c r="AP945" s="26">
        <v>0</v>
      </c>
      <c r="AQ945" s="26">
        <f t="shared" si="164"/>
        <v>40</v>
      </c>
      <c r="AR945" s="18" t="str">
        <f ca="1">CONCATENATE(OFFSET(Sheet1!$A$2,RANDBETWEEN(2,500),0,1,1),OFFSET(Sheet1!$A$2,RANDBETWEEN(2,500),RANDBETWEEN(1,5),1,1))</f>
        <v>布卢默</v>
      </c>
      <c r="AS945">
        <f>SUMPRODUCT(P945:AI945,Sheet2!$B$3:$U$3)</f>
        <v>28836</v>
      </c>
    </row>
    <row r="946" spans="1:45" x14ac:dyDescent="0.15">
      <c r="A946" s="23">
        <v>945</v>
      </c>
      <c r="B946" s="18" t="s">
        <v>1279</v>
      </c>
      <c r="C946" s="18">
        <f t="shared" si="154"/>
        <v>110</v>
      </c>
      <c r="D946" s="19">
        <f t="shared" si="155"/>
        <v>3</v>
      </c>
      <c r="E946" s="19">
        <f>VLOOKUP(MOD(A946,4),各职业基础配置!C$32:D$35,2,FALSE)</f>
        <v>3</v>
      </c>
      <c r="F946" s="19">
        <f>IF(A946&lt;900,INDEX(各职业基础配置!C$23:C$28,MOD(ROW(A946),4)+1),0)</f>
        <v>0</v>
      </c>
      <c r="G946" s="19">
        <f t="shared" si="156"/>
        <v>1</v>
      </c>
      <c r="H946" s="27">
        <f t="shared" si="157"/>
        <v>1</v>
      </c>
      <c r="I946" s="6" t="s">
        <v>164</v>
      </c>
      <c r="J946" s="23" t="str">
        <f>VLOOKUP(E946,各职业基础配置!$B$9:$C$12,2,FALSE)</f>
        <v>106|107|108|4201|110</v>
      </c>
      <c r="K946" s="18" t="str">
        <f>VLOOKUP(E946,各职业基础配置!$B$15:$C$18,2,FALSE)</f>
        <v>20|21|22|23</v>
      </c>
      <c r="L946" s="18" t="str">
        <f>VLOOKUP(E946,各职业基础配置!B:C,2,FALSE)</f>
        <v>[{20,1,1},{21,1,1},{22,1,1},{23,1,1},{4,1,1},{5,1,1},{6,1,1}]</v>
      </c>
      <c r="M946" s="18">
        <v>0</v>
      </c>
      <c r="N946" s="18">
        <f t="shared" si="158"/>
        <v>7</v>
      </c>
      <c r="O946" s="18">
        <f>SUMPRODUCT(P946:AI946,Sheet2!$B$3:$U$3)</f>
        <v>28811</v>
      </c>
      <c r="P946" s="18">
        <f>CEILING(INDEX([1]系统模型!$VD:$VD,MATCH(C946,[1]系统模型!$A:$A,0))*POWER(C946/220,3.8)-50+(1000-A946),1)</f>
        <v>215</v>
      </c>
      <c r="Q946" s="18">
        <f>CEILING(INDEX([1]系统模型!$VE:$VE,MATCH(C946,[1]系统模型!$A:$A,0))*POWER(C946/220,4),1)</f>
        <v>18</v>
      </c>
      <c r="R946" s="18">
        <f>INT(INDEX([1]系统模型!$VF:$VF,MATCH(C946,[1]系统模型!$A:$A,0))*MAX(POWER(C946/180,4),0.5))</f>
        <v>5686</v>
      </c>
      <c r="S946" s="5">
        <v>1000</v>
      </c>
      <c r="T946" s="25">
        <v>0</v>
      </c>
      <c r="U946" s="25">
        <v>0</v>
      </c>
      <c r="V946" s="25">
        <v>0</v>
      </c>
      <c r="W946" s="25">
        <v>0</v>
      </c>
      <c r="X946" s="25">
        <f t="shared" si="159"/>
        <v>284</v>
      </c>
      <c r="Y946" s="12">
        <v>0</v>
      </c>
      <c r="Z946" s="25">
        <v>100</v>
      </c>
      <c r="AA946" s="25">
        <v>150</v>
      </c>
      <c r="AB946" s="25">
        <v>0</v>
      </c>
      <c r="AC946" s="25">
        <v>0</v>
      </c>
      <c r="AD946" s="25">
        <v>0</v>
      </c>
      <c r="AE946" s="25">
        <f t="shared" si="160"/>
        <v>220</v>
      </c>
      <c r="AF946" s="25">
        <f t="shared" si="161"/>
        <v>220</v>
      </c>
      <c r="AG946" s="25">
        <v>0</v>
      </c>
      <c r="AH946" s="25">
        <f t="shared" si="162"/>
        <v>0</v>
      </c>
      <c r="AI946" s="25">
        <f t="shared" si="163"/>
        <v>2</v>
      </c>
      <c r="AJ946" s="25">
        <v>1</v>
      </c>
      <c r="AK946" s="25">
        <v>1000</v>
      </c>
      <c r="AL946" s="25">
        <v>100</v>
      </c>
      <c r="AM946" s="26">
        <v>10</v>
      </c>
      <c r="AN946" s="26">
        <v>10</v>
      </c>
      <c r="AO946" s="22" t="s">
        <v>2211</v>
      </c>
      <c r="AP946" s="26">
        <v>0</v>
      </c>
      <c r="AQ946" s="26">
        <f t="shared" si="164"/>
        <v>40</v>
      </c>
      <c r="AR946" s="18" t="str">
        <f ca="1">CONCATENATE(OFFSET(Sheet1!$A$2,RANDBETWEEN(2,500),0,1,1),OFFSET(Sheet1!$A$2,RANDBETWEEN(2,500),RANDBETWEEN(1,5),1,1))</f>
        <v>休斯敦蜜妮安</v>
      </c>
      <c r="AS946">
        <f>SUMPRODUCT(P946:AI946,Sheet2!$B$3:$U$3)</f>
        <v>28811</v>
      </c>
    </row>
    <row r="947" spans="1:45" x14ac:dyDescent="0.15">
      <c r="A947" s="18">
        <v>946</v>
      </c>
      <c r="B947" s="18" t="s">
        <v>2188</v>
      </c>
      <c r="C947" s="18">
        <f t="shared" si="154"/>
        <v>109</v>
      </c>
      <c r="D947" s="19">
        <f t="shared" si="155"/>
        <v>2</v>
      </c>
      <c r="E947" s="19">
        <f>VLOOKUP(MOD(A947,4),各职业基础配置!C$32:D$35,2,FALSE)</f>
        <v>6</v>
      </c>
      <c r="F947" s="19">
        <f>IF(A947&lt;900,INDEX(各职业基础配置!C$23:C$28,MOD(ROW(A947),4)+1),0)</f>
        <v>0</v>
      </c>
      <c r="G947" s="19">
        <f t="shared" si="156"/>
        <v>1</v>
      </c>
      <c r="H947" s="27">
        <f t="shared" si="157"/>
        <v>1</v>
      </c>
      <c r="I947" s="6" t="s">
        <v>164</v>
      </c>
      <c r="J947" s="23" t="str">
        <f>VLOOKUP(E947,各职业基础配置!$B$9:$C$12,2,FALSE)</f>
        <v>111|112|113|4201|115</v>
      </c>
      <c r="K947" s="18" t="str">
        <f>VLOOKUP(E947,各职业基础配置!$B$15:$C$18,2,FALSE)</f>
        <v>32|33|34</v>
      </c>
      <c r="L947" s="18" t="str">
        <f>VLOOKUP(E947,各职业基础配置!B:C,2,FALSE)</f>
        <v>[{32,1,1},{33,1,1},{34,1,1},{35,1,1},{7,1,1},{8,1,1},{9,1,1}]</v>
      </c>
      <c r="M947" s="18">
        <v>0</v>
      </c>
      <c r="N947" s="18">
        <f t="shared" si="158"/>
        <v>7</v>
      </c>
      <c r="O947" s="18">
        <f>SUMPRODUCT(P947:AI947,Sheet2!$B$3:$U$3)</f>
        <v>28271</v>
      </c>
      <c r="P947" s="18">
        <f>CEILING(INDEX([1]系统模型!$VD:$VD,MATCH(C947,[1]系统模型!$A:$A,0))*POWER(C947/220,3.8)-50+(1000-A947),1)</f>
        <v>204</v>
      </c>
      <c r="Q947" s="18">
        <f>CEILING(INDEX([1]系统模型!$VE:$VE,MATCH(C947,[1]系统模型!$A:$A,0))*POWER(C947/220,4),1)</f>
        <v>16</v>
      </c>
      <c r="R947" s="18">
        <f>INT(INDEX([1]系统模型!$VF:$VF,MATCH(C947,[1]系统模型!$A:$A,0))*MAX(POWER(C947/180,4),0.5))</f>
        <v>5571</v>
      </c>
      <c r="S947" s="5">
        <v>1000</v>
      </c>
      <c r="T947" s="25">
        <v>0</v>
      </c>
      <c r="U947" s="25">
        <v>0</v>
      </c>
      <c r="V947" s="25">
        <v>0</v>
      </c>
      <c r="W947" s="25">
        <v>0</v>
      </c>
      <c r="X947" s="25">
        <f t="shared" si="159"/>
        <v>278</v>
      </c>
      <c r="Y947" s="12">
        <v>0</v>
      </c>
      <c r="Z947" s="25">
        <v>100</v>
      </c>
      <c r="AA947" s="25">
        <v>150</v>
      </c>
      <c r="AB947" s="25">
        <v>0</v>
      </c>
      <c r="AC947" s="25">
        <v>0</v>
      </c>
      <c r="AD947" s="25">
        <v>0</v>
      </c>
      <c r="AE947" s="25">
        <f t="shared" si="160"/>
        <v>218</v>
      </c>
      <c r="AF947" s="25">
        <f t="shared" si="161"/>
        <v>218</v>
      </c>
      <c r="AG947" s="25">
        <v>0</v>
      </c>
      <c r="AH947" s="25">
        <f t="shared" si="162"/>
        <v>0</v>
      </c>
      <c r="AI947" s="25">
        <f t="shared" si="163"/>
        <v>2</v>
      </c>
      <c r="AJ947" s="25">
        <v>1</v>
      </c>
      <c r="AK947" s="25">
        <v>1000</v>
      </c>
      <c r="AL947" s="25">
        <v>100</v>
      </c>
      <c r="AM947" s="26">
        <v>10</v>
      </c>
      <c r="AN947" s="26">
        <v>10</v>
      </c>
      <c r="AO947" s="22" t="s">
        <v>2211</v>
      </c>
      <c r="AP947" s="26">
        <v>0</v>
      </c>
      <c r="AQ947" s="26">
        <f t="shared" si="164"/>
        <v>40</v>
      </c>
      <c r="AR947" s="18" t="str">
        <f ca="1">CONCATENATE(OFFSET(Sheet1!$A$2,RANDBETWEEN(2,500),0,1,1),OFFSET(Sheet1!$A$2,RANDBETWEEN(2,500),RANDBETWEEN(1,5),1,1))</f>
        <v>伊娃</v>
      </c>
      <c r="AS947">
        <f>SUMPRODUCT(P947:AI947,Sheet2!$B$3:$U$3)</f>
        <v>28271</v>
      </c>
    </row>
    <row r="948" spans="1:45" x14ac:dyDescent="0.15">
      <c r="A948" s="18">
        <v>947</v>
      </c>
      <c r="B948" s="18" t="s">
        <v>1381</v>
      </c>
      <c r="C948" s="18">
        <f t="shared" si="154"/>
        <v>109</v>
      </c>
      <c r="D948" s="19">
        <f t="shared" si="155"/>
        <v>3</v>
      </c>
      <c r="E948" s="19">
        <f>VLOOKUP(MOD(A948,4),各职业基础配置!C$32:D$35,2,FALSE)</f>
        <v>9</v>
      </c>
      <c r="F948" s="19">
        <f>IF(A948&lt;900,INDEX(各职业基础配置!C$23:C$28,MOD(ROW(A948),4)+1),0)</f>
        <v>0</v>
      </c>
      <c r="G948" s="19">
        <f t="shared" si="156"/>
        <v>1</v>
      </c>
      <c r="H948" s="27">
        <f t="shared" si="157"/>
        <v>1</v>
      </c>
      <c r="I948" s="6" t="s">
        <v>164</v>
      </c>
      <c r="J948" s="23" t="str">
        <f>VLOOKUP(E948,各职业基础配置!$B$9:$C$12,2,FALSE)</f>
        <v>116|117|118|4201|120</v>
      </c>
      <c r="K948" s="18" t="str">
        <f>VLOOKUP(E948,各职业基础配置!$B$15:$C$18,2,FALSE)</f>
        <v>28|29|30|31</v>
      </c>
      <c r="L948" s="18" t="str">
        <f>VLOOKUP(E948,各职业基础配置!B:C,2,FALSE)</f>
        <v>[{28,1,1},{29,1,1},{30,1,1},{31,1,1},{10,1,1},{11,1,1},{12,1,1}]</v>
      </c>
      <c r="M948" s="18">
        <v>0</v>
      </c>
      <c r="N948" s="18">
        <f t="shared" si="158"/>
        <v>3</v>
      </c>
      <c r="O948" s="18">
        <f>SUMPRODUCT(P948:AI948,Sheet2!$B$3:$U$3)</f>
        <v>28246</v>
      </c>
      <c r="P948" s="18">
        <f>CEILING(INDEX([1]系统模型!$VD:$VD,MATCH(C948,[1]系统模型!$A:$A,0))*POWER(C948/220,3.8)-50+(1000-A948),1)</f>
        <v>203</v>
      </c>
      <c r="Q948" s="18">
        <f>CEILING(INDEX([1]系统模型!$VE:$VE,MATCH(C948,[1]系统模型!$A:$A,0))*POWER(C948/220,4),1)</f>
        <v>16</v>
      </c>
      <c r="R948" s="18">
        <f>INT(INDEX([1]系统模型!$VF:$VF,MATCH(C948,[1]系统模型!$A:$A,0))*MAX(POWER(C948/180,4),0.5))</f>
        <v>5571</v>
      </c>
      <c r="S948" s="5">
        <v>1000</v>
      </c>
      <c r="T948" s="25">
        <v>0</v>
      </c>
      <c r="U948" s="25">
        <v>0</v>
      </c>
      <c r="V948" s="25">
        <v>0</v>
      </c>
      <c r="W948" s="25">
        <v>0</v>
      </c>
      <c r="X948" s="25">
        <f t="shared" si="159"/>
        <v>278</v>
      </c>
      <c r="Y948" s="12">
        <v>0</v>
      </c>
      <c r="Z948" s="25">
        <v>100</v>
      </c>
      <c r="AA948" s="25">
        <v>150</v>
      </c>
      <c r="AB948" s="25">
        <v>0</v>
      </c>
      <c r="AC948" s="25">
        <v>0</v>
      </c>
      <c r="AD948" s="25">
        <v>0</v>
      </c>
      <c r="AE948" s="25">
        <f t="shared" si="160"/>
        <v>218</v>
      </c>
      <c r="AF948" s="25">
        <f t="shared" si="161"/>
        <v>218</v>
      </c>
      <c r="AG948" s="25">
        <v>0</v>
      </c>
      <c r="AH948" s="25">
        <f t="shared" si="162"/>
        <v>0</v>
      </c>
      <c r="AI948" s="25">
        <f t="shared" si="163"/>
        <v>2</v>
      </c>
      <c r="AJ948" s="25">
        <v>1</v>
      </c>
      <c r="AK948" s="25">
        <v>1000</v>
      </c>
      <c r="AL948" s="25">
        <v>100</v>
      </c>
      <c r="AM948" s="26">
        <v>10</v>
      </c>
      <c r="AN948" s="26">
        <v>10</v>
      </c>
      <c r="AO948" s="22" t="s">
        <v>2211</v>
      </c>
      <c r="AP948" s="26">
        <v>0</v>
      </c>
      <c r="AQ948" s="26">
        <f t="shared" si="164"/>
        <v>40</v>
      </c>
      <c r="AR948" s="18" t="str">
        <f ca="1">CONCATENATE(OFFSET(Sheet1!$A$2,RANDBETWEEN(2,500),0,1,1),OFFSET(Sheet1!$A$2,RANDBETWEEN(2,500),RANDBETWEEN(1,5),1,1))</f>
        <v>亚历山大若伊</v>
      </c>
      <c r="AS948">
        <f>SUMPRODUCT(P948:AI948,Sheet2!$B$3:$U$3)</f>
        <v>28246</v>
      </c>
    </row>
    <row r="949" spans="1:45" x14ac:dyDescent="0.15">
      <c r="A949" s="23">
        <v>948</v>
      </c>
      <c r="B949" s="18" t="s">
        <v>181</v>
      </c>
      <c r="C949" s="18">
        <f t="shared" si="154"/>
        <v>109</v>
      </c>
      <c r="D949" s="19">
        <f t="shared" si="155"/>
        <v>2</v>
      </c>
      <c r="E949" s="19">
        <f>VLOOKUP(MOD(A949,4),各职业基础配置!C$32:D$35,2,FALSE)</f>
        <v>1</v>
      </c>
      <c r="F949" s="19">
        <f>IF(A949&lt;900,INDEX(各职业基础配置!C$23:C$28,MOD(ROW(A949),4)+1),0)</f>
        <v>0</v>
      </c>
      <c r="G949" s="19">
        <f t="shared" si="156"/>
        <v>1</v>
      </c>
      <c r="H949" s="27">
        <f t="shared" si="157"/>
        <v>1</v>
      </c>
      <c r="I949" s="6" t="s">
        <v>164</v>
      </c>
      <c r="J949" s="23" t="str">
        <f>VLOOKUP(E949,各职业基础配置!$B$9:$C$12,2,FALSE)</f>
        <v>101|102|103|4201|105</v>
      </c>
      <c r="K949" s="18" t="str">
        <f>VLOOKUP(E949,各职业基础配置!$B$15:$C$18,2,FALSE)</f>
        <v>24|25|26|27</v>
      </c>
      <c r="L949" s="18" t="str">
        <f>VLOOKUP(E949,各职业基础配置!B:C,2,FALSE)</f>
        <v>[{24,1,1},{25,1,1},{26,1,1},{27,1,1},{1,1,1},{2,1,1},{3,1,1}]</v>
      </c>
      <c r="M949" s="18">
        <v>0</v>
      </c>
      <c r="N949" s="18">
        <f t="shared" si="158"/>
        <v>3</v>
      </c>
      <c r="O949" s="18">
        <f>SUMPRODUCT(P949:AI949,Sheet2!$B$3:$U$3)</f>
        <v>28221</v>
      </c>
      <c r="P949" s="18">
        <f>CEILING(INDEX([1]系统模型!$VD:$VD,MATCH(C949,[1]系统模型!$A:$A,0))*POWER(C949/220,3.8)-50+(1000-A949),1)</f>
        <v>202</v>
      </c>
      <c r="Q949" s="18">
        <f>CEILING(INDEX([1]系统模型!$VE:$VE,MATCH(C949,[1]系统模型!$A:$A,0))*POWER(C949/220,4),1)</f>
        <v>16</v>
      </c>
      <c r="R949" s="18">
        <f>INT(INDEX([1]系统模型!$VF:$VF,MATCH(C949,[1]系统模型!$A:$A,0))*MAX(POWER(C949/180,4),0.5))</f>
        <v>5571</v>
      </c>
      <c r="S949" s="5">
        <v>1000</v>
      </c>
      <c r="T949" s="25">
        <v>0</v>
      </c>
      <c r="U949" s="25">
        <v>0</v>
      </c>
      <c r="V949" s="25">
        <v>0</v>
      </c>
      <c r="W949" s="25">
        <v>0</v>
      </c>
      <c r="X949" s="25">
        <f t="shared" si="159"/>
        <v>278</v>
      </c>
      <c r="Y949" s="12">
        <v>0</v>
      </c>
      <c r="Z949" s="25">
        <v>100</v>
      </c>
      <c r="AA949" s="25">
        <v>150</v>
      </c>
      <c r="AB949" s="25">
        <v>0</v>
      </c>
      <c r="AC949" s="25">
        <v>0</v>
      </c>
      <c r="AD949" s="25">
        <v>0</v>
      </c>
      <c r="AE949" s="25">
        <f t="shared" si="160"/>
        <v>218</v>
      </c>
      <c r="AF949" s="25">
        <f t="shared" si="161"/>
        <v>218</v>
      </c>
      <c r="AG949" s="25">
        <v>0</v>
      </c>
      <c r="AH949" s="25">
        <f t="shared" si="162"/>
        <v>0</v>
      </c>
      <c r="AI949" s="25">
        <f t="shared" si="163"/>
        <v>2</v>
      </c>
      <c r="AJ949" s="25">
        <v>1</v>
      </c>
      <c r="AK949" s="25">
        <v>1000</v>
      </c>
      <c r="AL949" s="25">
        <v>100</v>
      </c>
      <c r="AM949" s="26">
        <v>10</v>
      </c>
      <c r="AN949" s="26">
        <v>10</v>
      </c>
      <c r="AO949" s="22" t="s">
        <v>2211</v>
      </c>
      <c r="AP949" s="26">
        <v>0</v>
      </c>
      <c r="AQ949" s="26">
        <f t="shared" si="164"/>
        <v>40</v>
      </c>
      <c r="AR949" s="18" t="str">
        <f ca="1">CONCATENATE(OFFSET(Sheet1!$A$2,RANDBETWEEN(2,500),0,1,1),OFFSET(Sheet1!$A$2,RANDBETWEEN(2,500),RANDBETWEEN(1,5),1,1))</f>
        <v>屈莱顿芝妮雅</v>
      </c>
      <c r="AS949">
        <f>SUMPRODUCT(P949:AI949,Sheet2!$B$3:$U$3)</f>
        <v>28221</v>
      </c>
    </row>
    <row r="950" spans="1:45" x14ac:dyDescent="0.15">
      <c r="A950" s="18">
        <v>949</v>
      </c>
      <c r="B950" s="18" t="s">
        <v>2189</v>
      </c>
      <c r="C950" s="18">
        <f t="shared" si="154"/>
        <v>109</v>
      </c>
      <c r="D950" s="19">
        <f t="shared" si="155"/>
        <v>3</v>
      </c>
      <c r="E950" s="19">
        <f>VLOOKUP(MOD(A950,4),各职业基础配置!C$32:D$35,2,FALSE)</f>
        <v>3</v>
      </c>
      <c r="F950" s="19">
        <f>IF(A950&lt;900,INDEX(各职业基础配置!C$23:C$28,MOD(ROW(A950),4)+1),0)</f>
        <v>0</v>
      </c>
      <c r="G950" s="19">
        <f t="shared" si="156"/>
        <v>1</v>
      </c>
      <c r="H950" s="27">
        <f t="shared" si="157"/>
        <v>1</v>
      </c>
      <c r="I950" s="6" t="s">
        <v>164</v>
      </c>
      <c r="J950" s="23" t="str">
        <f>VLOOKUP(E950,各职业基础配置!$B$9:$C$12,2,FALSE)</f>
        <v>106|107|108|4201|110</v>
      </c>
      <c r="K950" s="18" t="str">
        <f>VLOOKUP(E950,各职业基础配置!$B$15:$C$18,2,FALSE)</f>
        <v>20|21|22|23</v>
      </c>
      <c r="L950" s="18" t="str">
        <f>VLOOKUP(E950,各职业基础配置!B:C,2,FALSE)</f>
        <v>[{20,1,1},{21,1,1},{22,1,1},{23,1,1},{4,1,1},{5,1,1},{6,1,1}]</v>
      </c>
      <c r="M950" s="18">
        <v>0</v>
      </c>
      <c r="N950" s="18">
        <f t="shared" si="158"/>
        <v>7</v>
      </c>
      <c r="O950" s="18">
        <f>SUMPRODUCT(P950:AI950,Sheet2!$B$3:$U$3)</f>
        <v>28196</v>
      </c>
      <c r="P950" s="18">
        <f>CEILING(INDEX([1]系统模型!$VD:$VD,MATCH(C950,[1]系统模型!$A:$A,0))*POWER(C950/220,3.8)-50+(1000-A950),1)</f>
        <v>201</v>
      </c>
      <c r="Q950" s="18">
        <f>CEILING(INDEX([1]系统模型!$VE:$VE,MATCH(C950,[1]系统模型!$A:$A,0))*POWER(C950/220,4),1)</f>
        <v>16</v>
      </c>
      <c r="R950" s="18">
        <f>INT(INDEX([1]系统模型!$VF:$VF,MATCH(C950,[1]系统模型!$A:$A,0))*MAX(POWER(C950/180,4),0.5))</f>
        <v>5571</v>
      </c>
      <c r="S950" s="5">
        <v>1000</v>
      </c>
      <c r="T950" s="25">
        <v>0</v>
      </c>
      <c r="U950" s="25">
        <v>0</v>
      </c>
      <c r="V950" s="25">
        <v>0</v>
      </c>
      <c r="W950" s="25">
        <v>0</v>
      </c>
      <c r="X950" s="25">
        <f t="shared" si="159"/>
        <v>278</v>
      </c>
      <c r="Y950" s="12">
        <v>0</v>
      </c>
      <c r="Z950" s="25">
        <v>100</v>
      </c>
      <c r="AA950" s="25">
        <v>150</v>
      </c>
      <c r="AB950" s="25">
        <v>0</v>
      </c>
      <c r="AC950" s="25">
        <v>0</v>
      </c>
      <c r="AD950" s="25">
        <v>0</v>
      </c>
      <c r="AE950" s="25">
        <f t="shared" si="160"/>
        <v>218</v>
      </c>
      <c r="AF950" s="25">
        <f t="shared" si="161"/>
        <v>218</v>
      </c>
      <c r="AG950" s="25">
        <v>0</v>
      </c>
      <c r="AH950" s="25">
        <f t="shared" si="162"/>
        <v>0</v>
      </c>
      <c r="AI950" s="25">
        <f t="shared" si="163"/>
        <v>2</v>
      </c>
      <c r="AJ950" s="25">
        <v>1</v>
      </c>
      <c r="AK950" s="25">
        <v>1000</v>
      </c>
      <c r="AL950" s="25">
        <v>100</v>
      </c>
      <c r="AM950" s="26">
        <v>10</v>
      </c>
      <c r="AN950" s="26">
        <v>10</v>
      </c>
      <c r="AO950" s="22" t="s">
        <v>2211</v>
      </c>
      <c r="AP950" s="26">
        <v>0</v>
      </c>
      <c r="AQ950" s="26">
        <f t="shared" si="164"/>
        <v>40</v>
      </c>
      <c r="AR950" s="18" t="str">
        <f ca="1">CONCATENATE(OFFSET(Sheet1!$A$2,RANDBETWEEN(2,500),0,1,1),OFFSET(Sheet1!$A$2,RANDBETWEEN(2,500),RANDBETWEEN(1,5),1,1))</f>
        <v>冈特</v>
      </c>
      <c r="AS950">
        <f>SUMPRODUCT(P950:AI950,Sheet2!$B$3:$U$3)</f>
        <v>28196</v>
      </c>
    </row>
    <row r="951" spans="1:45" x14ac:dyDescent="0.15">
      <c r="A951" s="18">
        <v>950</v>
      </c>
      <c r="B951" s="18" t="s">
        <v>1046</v>
      </c>
      <c r="C951" s="18">
        <f t="shared" si="154"/>
        <v>109</v>
      </c>
      <c r="D951" s="19">
        <f t="shared" si="155"/>
        <v>2</v>
      </c>
      <c r="E951" s="19">
        <f>VLOOKUP(MOD(A951,4),各职业基础配置!C$32:D$35,2,FALSE)</f>
        <v>6</v>
      </c>
      <c r="F951" s="19">
        <f>IF(A951&lt;900,INDEX(各职业基础配置!C$23:C$28,MOD(ROW(A951),4)+1),0)</f>
        <v>0</v>
      </c>
      <c r="G951" s="19">
        <f t="shared" si="156"/>
        <v>1</v>
      </c>
      <c r="H951" s="27">
        <f t="shared" si="157"/>
        <v>1</v>
      </c>
      <c r="I951" s="6" t="s">
        <v>164</v>
      </c>
      <c r="J951" s="23" t="str">
        <f>VLOOKUP(E951,各职业基础配置!$B$9:$C$12,2,FALSE)</f>
        <v>111|112|113|4201|115</v>
      </c>
      <c r="K951" s="18" t="str">
        <f>VLOOKUP(E951,各职业基础配置!$B$15:$C$18,2,FALSE)</f>
        <v>32|33|34</v>
      </c>
      <c r="L951" s="18" t="str">
        <f>VLOOKUP(E951,各职业基础配置!B:C,2,FALSE)</f>
        <v>[{32,1,1},{33,1,1},{34,1,1},{35,1,1},{7,1,1},{8,1,1},{9,1,1}]</v>
      </c>
      <c r="M951" s="18">
        <v>0</v>
      </c>
      <c r="N951" s="18">
        <f t="shared" si="158"/>
        <v>7</v>
      </c>
      <c r="O951" s="18">
        <f>SUMPRODUCT(P951:AI951,Sheet2!$B$3:$U$3)</f>
        <v>28171</v>
      </c>
      <c r="P951" s="18">
        <f>CEILING(INDEX([1]系统模型!$VD:$VD,MATCH(C951,[1]系统模型!$A:$A,0))*POWER(C951/220,3.8)-50+(1000-A951),1)</f>
        <v>200</v>
      </c>
      <c r="Q951" s="18">
        <f>CEILING(INDEX([1]系统模型!$VE:$VE,MATCH(C951,[1]系统模型!$A:$A,0))*POWER(C951/220,4),1)</f>
        <v>16</v>
      </c>
      <c r="R951" s="18">
        <f>INT(INDEX([1]系统模型!$VF:$VF,MATCH(C951,[1]系统模型!$A:$A,0))*MAX(POWER(C951/180,4),0.5))</f>
        <v>5571</v>
      </c>
      <c r="S951" s="5">
        <v>1000</v>
      </c>
      <c r="T951" s="25">
        <v>0</v>
      </c>
      <c r="U951" s="25">
        <v>0</v>
      </c>
      <c r="V951" s="25">
        <v>0</v>
      </c>
      <c r="W951" s="25">
        <v>0</v>
      </c>
      <c r="X951" s="25">
        <f t="shared" si="159"/>
        <v>278</v>
      </c>
      <c r="Y951" s="12">
        <v>0</v>
      </c>
      <c r="Z951" s="25">
        <v>100</v>
      </c>
      <c r="AA951" s="25">
        <v>150</v>
      </c>
      <c r="AB951" s="25">
        <v>0</v>
      </c>
      <c r="AC951" s="25">
        <v>0</v>
      </c>
      <c r="AD951" s="25">
        <v>0</v>
      </c>
      <c r="AE951" s="25">
        <f t="shared" si="160"/>
        <v>218</v>
      </c>
      <c r="AF951" s="25">
        <f t="shared" si="161"/>
        <v>218</v>
      </c>
      <c r="AG951" s="25">
        <v>0</v>
      </c>
      <c r="AH951" s="25">
        <f t="shared" si="162"/>
        <v>0</v>
      </c>
      <c r="AI951" s="25">
        <f t="shared" si="163"/>
        <v>2</v>
      </c>
      <c r="AJ951" s="25">
        <v>1</v>
      </c>
      <c r="AK951" s="25">
        <v>1000</v>
      </c>
      <c r="AL951" s="25">
        <v>100</v>
      </c>
      <c r="AM951" s="26">
        <v>10</v>
      </c>
      <c r="AN951" s="26">
        <v>10</v>
      </c>
      <c r="AO951" s="22" t="s">
        <v>2211</v>
      </c>
      <c r="AP951" s="26">
        <v>0</v>
      </c>
      <c r="AQ951" s="26">
        <f t="shared" si="164"/>
        <v>40</v>
      </c>
      <c r="AR951" s="18" t="str">
        <f ca="1">CONCATENATE(OFFSET(Sheet1!$A$2,RANDBETWEEN(2,500),0,1,1),OFFSET(Sheet1!$A$2,RANDBETWEEN(2,500),RANDBETWEEN(1,5),1,1))</f>
        <v>布罗德娜娜</v>
      </c>
      <c r="AS951">
        <f>SUMPRODUCT(P951:AI951,Sheet2!$B$3:$U$3)</f>
        <v>28171</v>
      </c>
    </row>
    <row r="952" spans="1:45" x14ac:dyDescent="0.15">
      <c r="A952" s="23">
        <v>951</v>
      </c>
      <c r="B952" s="18" t="s">
        <v>1039</v>
      </c>
      <c r="C952" s="18">
        <f t="shared" si="154"/>
        <v>109</v>
      </c>
      <c r="D952" s="19">
        <f t="shared" si="155"/>
        <v>3</v>
      </c>
      <c r="E952" s="19">
        <f>VLOOKUP(MOD(A952,4),各职业基础配置!C$32:D$35,2,FALSE)</f>
        <v>9</v>
      </c>
      <c r="F952" s="19">
        <f>IF(A952&lt;900,INDEX(各职业基础配置!C$23:C$28,MOD(ROW(A952),4)+1),0)</f>
        <v>0</v>
      </c>
      <c r="G952" s="19">
        <f t="shared" si="156"/>
        <v>1</v>
      </c>
      <c r="H952" s="27">
        <f t="shared" si="157"/>
        <v>1</v>
      </c>
      <c r="I952" s="6" t="s">
        <v>164</v>
      </c>
      <c r="J952" s="23" t="str">
        <f>VLOOKUP(E952,各职业基础配置!$B$9:$C$12,2,FALSE)</f>
        <v>116|117|118|4201|120</v>
      </c>
      <c r="K952" s="18" t="str">
        <f>VLOOKUP(E952,各职业基础配置!$B$15:$C$18,2,FALSE)</f>
        <v>28|29|30|31</v>
      </c>
      <c r="L952" s="18" t="str">
        <f>VLOOKUP(E952,各职业基础配置!B:C,2,FALSE)</f>
        <v>[{28,1,1},{29,1,1},{30,1,1},{31,1,1},{10,1,1},{11,1,1},{12,1,1}]</v>
      </c>
      <c r="M952" s="18">
        <v>0</v>
      </c>
      <c r="N952" s="18">
        <f t="shared" si="158"/>
        <v>3</v>
      </c>
      <c r="O952" s="18">
        <f>SUMPRODUCT(P952:AI952,Sheet2!$B$3:$U$3)</f>
        <v>28146</v>
      </c>
      <c r="P952" s="18">
        <f>CEILING(INDEX([1]系统模型!$VD:$VD,MATCH(C952,[1]系统模型!$A:$A,0))*POWER(C952/220,3.8)-50+(1000-A952),1)</f>
        <v>199</v>
      </c>
      <c r="Q952" s="18">
        <f>CEILING(INDEX([1]系统模型!$VE:$VE,MATCH(C952,[1]系统模型!$A:$A,0))*POWER(C952/220,4),1)</f>
        <v>16</v>
      </c>
      <c r="R952" s="18">
        <f>INT(INDEX([1]系统模型!$VF:$VF,MATCH(C952,[1]系统模型!$A:$A,0))*MAX(POWER(C952/180,4),0.5))</f>
        <v>5571</v>
      </c>
      <c r="S952" s="5">
        <v>1000</v>
      </c>
      <c r="T952" s="25">
        <v>0</v>
      </c>
      <c r="U952" s="25">
        <v>0</v>
      </c>
      <c r="V952" s="25">
        <v>0</v>
      </c>
      <c r="W952" s="25">
        <v>0</v>
      </c>
      <c r="X952" s="25">
        <f t="shared" si="159"/>
        <v>278</v>
      </c>
      <c r="Y952" s="12">
        <v>0</v>
      </c>
      <c r="Z952" s="25">
        <v>100</v>
      </c>
      <c r="AA952" s="25">
        <v>150</v>
      </c>
      <c r="AB952" s="25">
        <v>0</v>
      </c>
      <c r="AC952" s="25">
        <v>0</v>
      </c>
      <c r="AD952" s="25">
        <v>0</v>
      </c>
      <c r="AE952" s="25">
        <f t="shared" si="160"/>
        <v>218</v>
      </c>
      <c r="AF952" s="25">
        <f t="shared" si="161"/>
        <v>218</v>
      </c>
      <c r="AG952" s="25">
        <v>0</v>
      </c>
      <c r="AH952" s="25">
        <f t="shared" si="162"/>
        <v>0</v>
      </c>
      <c r="AI952" s="25">
        <f t="shared" si="163"/>
        <v>2</v>
      </c>
      <c r="AJ952" s="25">
        <v>1</v>
      </c>
      <c r="AK952" s="25">
        <v>1000</v>
      </c>
      <c r="AL952" s="25">
        <v>100</v>
      </c>
      <c r="AM952" s="26">
        <v>10</v>
      </c>
      <c r="AN952" s="26">
        <v>10</v>
      </c>
      <c r="AO952" s="22" t="s">
        <v>2211</v>
      </c>
      <c r="AP952" s="26">
        <v>0</v>
      </c>
      <c r="AQ952" s="26">
        <f t="shared" si="164"/>
        <v>30</v>
      </c>
      <c r="AR952" s="18" t="str">
        <f ca="1">CONCATENATE(OFFSET(Sheet1!$A$2,RANDBETWEEN(2,500),0,1,1),OFFSET(Sheet1!$A$2,RANDBETWEEN(2,500),RANDBETWEEN(1,5),1,1))</f>
        <v>福勒布兰琪</v>
      </c>
      <c r="AS952">
        <f>SUMPRODUCT(P952:AI952,Sheet2!$B$3:$U$3)</f>
        <v>28146</v>
      </c>
    </row>
    <row r="953" spans="1:45" x14ac:dyDescent="0.15">
      <c r="A953" s="18">
        <v>952</v>
      </c>
      <c r="B953" s="18" t="s">
        <v>2190</v>
      </c>
      <c r="C953" s="18">
        <f t="shared" si="154"/>
        <v>109</v>
      </c>
      <c r="D953" s="19">
        <f t="shared" si="155"/>
        <v>2</v>
      </c>
      <c r="E953" s="19">
        <f>VLOOKUP(MOD(A953,4),各职业基础配置!C$32:D$35,2,FALSE)</f>
        <v>1</v>
      </c>
      <c r="F953" s="19">
        <f>IF(A953&lt;900,INDEX(各职业基础配置!C$23:C$28,MOD(ROW(A953),4)+1),0)</f>
        <v>0</v>
      </c>
      <c r="G953" s="19">
        <f t="shared" si="156"/>
        <v>1</v>
      </c>
      <c r="H953" s="27">
        <f t="shared" si="157"/>
        <v>1</v>
      </c>
      <c r="I953" s="6" t="s">
        <v>164</v>
      </c>
      <c r="J953" s="23" t="str">
        <f>VLOOKUP(E953,各职业基础配置!$B$9:$C$12,2,FALSE)</f>
        <v>101|102|103|4201|105</v>
      </c>
      <c r="K953" s="18" t="str">
        <f>VLOOKUP(E953,各职业基础配置!$B$15:$C$18,2,FALSE)</f>
        <v>24|25|26|27</v>
      </c>
      <c r="L953" s="18" t="str">
        <f>VLOOKUP(E953,各职业基础配置!B:C,2,FALSE)</f>
        <v>[{24,1,1},{25,1,1},{26,1,1},{27,1,1},{1,1,1},{2,1,1},{3,1,1}]</v>
      </c>
      <c r="M953" s="18">
        <v>0</v>
      </c>
      <c r="N953" s="18">
        <f t="shared" si="158"/>
        <v>3</v>
      </c>
      <c r="O953" s="18">
        <f>SUMPRODUCT(P953:AI953,Sheet2!$B$3:$U$3)</f>
        <v>28121</v>
      </c>
      <c r="P953" s="18">
        <f>CEILING(INDEX([1]系统模型!$VD:$VD,MATCH(C953,[1]系统模型!$A:$A,0))*POWER(C953/220,3.8)-50+(1000-A953),1)</f>
        <v>198</v>
      </c>
      <c r="Q953" s="18">
        <f>CEILING(INDEX([1]系统模型!$VE:$VE,MATCH(C953,[1]系统模型!$A:$A,0))*POWER(C953/220,4),1)</f>
        <v>16</v>
      </c>
      <c r="R953" s="18">
        <f>INT(INDEX([1]系统模型!$VF:$VF,MATCH(C953,[1]系统模型!$A:$A,0))*MAX(POWER(C953/180,4),0.5))</f>
        <v>5571</v>
      </c>
      <c r="S953" s="5">
        <v>1000</v>
      </c>
      <c r="T953" s="25">
        <v>0</v>
      </c>
      <c r="U953" s="25">
        <v>0</v>
      </c>
      <c r="V953" s="25">
        <v>0</v>
      </c>
      <c r="W953" s="25">
        <v>0</v>
      </c>
      <c r="X953" s="25">
        <f t="shared" si="159"/>
        <v>278</v>
      </c>
      <c r="Y953" s="12">
        <v>0</v>
      </c>
      <c r="Z953" s="25">
        <v>100</v>
      </c>
      <c r="AA953" s="25">
        <v>150</v>
      </c>
      <c r="AB953" s="25">
        <v>0</v>
      </c>
      <c r="AC953" s="25">
        <v>0</v>
      </c>
      <c r="AD953" s="25">
        <v>0</v>
      </c>
      <c r="AE953" s="25">
        <f t="shared" si="160"/>
        <v>218</v>
      </c>
      <c r="AF953" s="25">
        <f t="shared" si="161"/>
        <v>218</v>
      </c>
      <c r="AG953" s="25">
        <v>0</v>
      </c>
      <c r="AH953" s="25">
        <f t="shared" si="162"/>
        <v>0</v>
      </c>
      <c r="AI953" s="25">
        <f t="shared" si="163"/>
        <v>2</v>
      </c>
      <c r="AJ953" s="25">
        <v>1</v>
      </c>
      <c r="AK953" s="25">
        <v>1000</v>
      </c>
      <c r="AL953" s="25">
        <v>100</v>
      </c>
      <c r="AM953" s="26">
        <v>10</v>
      </c>
      <c r="AN953" s="26">
        <v>10</v>
      </c>
      <c r="AO953" s="22" t="s">
        <v>2211</v>
      </c>
      <c r="AP953" s="26">
        <v>0</v>
      </c>
      <c r="AQ953" s="26">
        <f t="shared" si="164"/>
        <v>30</v>
      </c>
      <c r="AR953" s="18" t="str">
        <f ca="1">CONCATENATE(OFFSET(Sheet1!$A$2,RANDBETWEEN(2,500),0,1,1),OFFSET(Sheet1!$A$2,RANDBETWEEN(2,500),RANDBETWEEN(1,5),1,1))</f>
        <v>霍布斯</v>
      </c>
      <c r="AS953">
        <f>SUMPRODUCT(P953:AI953,Sheet2!$B$3:$U$3)</f>
        <v>28121</v>
      </c>
    </row>
    <row r="954" spans="1:45" x14ac:dyDescent="0.15">
      <c r="A954" s="18">
        <v>953</v>
      </c>
      <c r="B954" s="18" t="s">
        <v>981</v>
      </c>
      <c r="C954" s="18">
        <f t="shared" si="154"/>
        <v>108</v>
      </c>
      <c r="D954" s="19">
        <f t="shared" si="155"/>
        <v>3</v>
      </c>
      <c r="E954" s="19">
        <f>VLOOKUP(MOD(A954,4),各职业基础配置!C$32:D$35,2,FALSE)</f>
        <v>3</v>
      </c>
      <c r="F954" s="19">
        <f>IF(A954&lt;900,INDEX(各职业基础配置!C$23:C$28,MOD(ROW(A954),4)+1),0)</f>
        <v>0</v>
      </c>
      <c r="G954" s="19">
        <f t="shared" si="156"/>
        <v>1</v>
      </c>
      <c r="H954" s="27">
        <f t="shared" si="157"/>
        <v>1</v>
      </c>
      <c r="I954" s="6" t="s">
        <v>164</v>
      </c>
      <c r="J954" s="23" t="str">
        <f>VLOOKUP(E954,各职业基础配置!$B$9:$C$12,2,FALSE)</f>
        <v>106|107|108|4201|110</v>
      </c>
      <c r="K954" s="18" t="str">
        <f>VLOOKUP(E954,各职业基础配置!$B$15:$C$18,2,FALSE)</f>
        <v>20|21|22|23</v>
      </c>
      <c r="L954" s="18" t="str">
        <f>VLOOKUP(E954,各职业基础配置!B:C,2,FALSE)</f>
        <v>[{20,1,1},{21,1,1},{22,1,1},{23,1,1},{4,1,1},{5,1,1},{6,1,1}]</v>
      </c>
      <c r="M954" s="18">
        <v>0</v>
      </c>
      <c r="N954" s="18">
        <f t="shared" si="158"/>
        <v>7</v>
      </c>
      <c r="O954" s="18">
        <f>SUMPRODUCT(P954:AI954,Sheet2!$B$3:$U$3)</f>
        <v>27674</v>
      </c>
      <c r="P954" s="18">
        <f>CEILING(INDEX([1]系统模型!$VD:$VD,MATCH(C954,[1]系统模型!$A:$A,0))*POWER(C954/220,3.8)-50+(1000-A954),1)</f>
        <v>188</v>
      </c>
      <c r="Q954" s="18">
        <f>CEILING(INDEX([1]系统模型!$VE:$VE,MATCH(C954,[1]系统模型!$A:$A,0))*POWER(C954/220,4),1)</f>
        <v>15</v>
      </c>
      <c r="R954" s="18">
        <f>INT(INDEX([1]系统模型!$VF:$VF,MATCH(C954,[1]系统模型!$A:$A,0))*MAX(POWER(C954/180,4),0.5))</f>
        <v>5499</v>
      </c>
      <c r="S954" s="5">
        <v>1000</v>
      </c>
      <c r="T954" s="25">
        <v>0</v>
      </c>
      <c r="U954" s="25">
        <v>0</v>
      </c>
      <c r="V954" s="25">
        <v>0</v>
      </c>
      <c r="W954" s="25">
        <v>0</v>
      </c>
      <c r="X954" s="25">
        <f t="shared" si="159"/>
        <v>274</v>
      </c>
      <c r="Y954" s="12">
        <v>0</v>
      </c>
      <c r="Z954" s="25">
        <v>100</v>
      </c>
      <c r="AA954" s="25">
        <v>150</v>
      </c>
      <c r="AB954" s="25">
        <v>0</v>
      </c>
      <c r="AC954" s="25">
        <v>0</v>
      </c>
      <c r="AD954" s="25">
        <v>0</v>
      </c>
      <c r="AE954" s="25">
        <f t="shared" si="160"/>
        <v>216</v>
      </c>
      <c r="AF954" s="25">
        <f t="shared" si="161"/>
        <v>216</v>
      </c>
      <c r="AG954" s="25">
        <v>0</v>
      </c>
      <c r="AH954" s="25">
        <f t="shared" si="162"/>
        <v>0</v>
      </c>
      <c r="AI954" s="25">
        <f t="shared" si="163"/>
        <v>2</v>
      </c>
      <c r="AJ954" s="25">
        <v>1</v>
      </c>
      <c r="AK954" s="25">
        <v>1000</v>
      </c>
      <c r="AL954" s="25">
        <v>100</v>
      </c>
      <c r="AM954" s="26">
        <v>10</v>
      </c>
      <c r="AN954" s="26">
        <v>10</v>
      </c>
      <c r="AO954" s="22" t="s">
        <v>2211</v>
      </c>
      <c r="AP954" s="26">
        <v>0</v>
      </c>
      <c r="AQ954" s="26">
        <f t="shared" si="164"/>
        <v>30</v>
      </c>
      <c r="AR954" s="18" t="str">
        <f ca="1">CONCATENATE(OFFSET(Sheet1!$A$2,RANDBETWEEN(2,500),0,1,1),OFFSET(Sheet1!$A$2,RANDBETWEEN(2,500),RANDBETWEEN(1,5),1,1))</f>
        <v>费尔顿昆娜</v>
      </c>
      <c r="AS954">
        <f>SUMPRODUCT(P954:AI954,Sheet2!$B$3:$U$3)</f>
        <v>27674</v>
      </c>
    </row>
    <row r="955" spans="1:45" x14ac:dyDescent="0.15">
      <c r="A955" s="23">
        <v>954</v>
      </c>
      <c r="B955" s="18" t="s">
        <v>1082</v>
      </c>
      <c r="C955" s="18">
        <f t="shared" si="154"/>
        <v>108</v>
      </c>
      <c r="D955" s="19">
        <f t="shared" si="155"/>
        <v>2</v>
      </c>
      <c r="E955" s="19">
        <f>VLOOKUP(MOD(A955,4),各职业基础配置!C$32:D$35,2,FALSE)</f>
        <v>6</v>
      </c>
      <c r="F955" s="19">
        <f>IF(A955&lt;900,INDEX(各职业基础配置!C$23:C$28,MOD(ROW(A955),4)+1),0)</f>
        <v>0</v>
      </c>
      <c r="G955" s="19">
        <f t="shared" si="156"/>
        <v>1</v>
      </c>
      <c r="H955" s="27">
        <f t="shared" si="157"/>
        <v>1</v>
      </c>
      <c r="I955" s="6" t="s">
        <v>164</v>
      </c>
      <c r="J955" s="23" t="str">
        <f>VLOOKUP(E955,各职业基础配置!$B$9:$C$12,2,FALSE)</f>
        <v>111|112|113|4201|115</v>
      </c>
      <c r="K955" s="18" t="str">
        <f>VLOOKUP(E955,各职业基础配置!$B$15:$C$18,2,FALSE)</f>
        <v>32|33|34</v>
      </c>
      <c r="L955" s="18" t="str">
        <f>VLOOKUP(E955,各职业基础配置!B:C,2,FALSE)</f>
        <v>[{32,1,1},{33,1,1},{34,1,1},{35,1,1},{7,1,1},{8,1,1},{9,1,1}]</v>
      </c>
      <c r="M955" s="18">
        <v>0</v>
      </c>
      <c r="N955" s="18">
        <f t="shared" si="158"/>
        <v>7</v>
      </c>
      <c r="O955" s="18">
        <f>SUMPRODUCT(P955:AI955,Sheet2!$B$3:$U$3)</f>
        <v>27649</v>
      </c>
      <c r="P955" s="18">
        <f>CEILING(INDEX([1]系统模型!$VD:$VD,MATCH(C955,[1]系统模型!$A:$A,0))*POWER(C955/220,3.8)-50+(1000-A955),1)</f>
        <v>187</v>
      </c>
      <c r="Q955" s="18">
        <f>CEILING(INDEX([1]系统模型!$VE:$VE,MATCH(C955,[1]系统模型!$A:$A,0))*POWER(C955/220,4),1)</f>
        <v>15</v>
      </c>
      <c r="R955" s="18">
        <f>INT(INDEX([1]系统模型!$VF:$VF,MATCH(C955,[1]系统模型!$A:$A,0))*MAX(POWER(C955/180,4),0.5))</f>
        <v>5499</v>
      </c>
      <c r="S955" s="5">
        <v>1000</v>
      </c>
      <c r="T955" s="25">
        <v>0</v>
      </c>
      <c r="U955" s="25">
        <v>0</v>
      </c>
      <c r="V955" s="25">
        <v>0</v>
      </c>
      <c r="W955" s="25">
        <v>0</v>
      </c>
      <c r="X955" s="25">
        <f t="shared" si="159"/>
        <v>274</v>
      </c>
      <c r="Y955" s="12">
        <v>0</v>
      </c>
      <c r="Z955" s="25">
        <v>100</v>
      </c>
      <c r="AA955" s="25">
        <v>150</v>
      </c>
      <c r="AB955" s="25">
        <v>0</v>
      </c>
      <c r="AC955" s="25">
        <v>0</v>
      </c>
      <c r="AD955" s="25">
        <v>0</v>
      </c>
      <c r="AE955" s="25">
        <f t="shared" si="160"/>
        <v>216</v>
      </c>
      <c r="AF955" s="25">
        <f t="shared" si="161"/>
        <v>216</v>
      </c>
      <c r="AG955" s="25">
        <v>0</v>
      </c>
      <c r="AH955" s="25">
        <f t="shared" si="162"/>
        <v>0</v>
      </c>
      <c r="AI955" s="25">
        <f t="shared" si="163"/>
        <v>2</v>
      </c>
      <c r="AJ955" s="25">
        <v>1</v>
      </c>
      <c r="AK955" s="25">
        <v>1000</v>
      </c>
      <c r="AL955" s="25">
        <v>100</v>
      </c>
      <c r="AM955" s="26">
        <v>10</v>
      </c>
      <c r="AN955" s="26">
        <v>10</v>
      </c>
      <c r="AO955" s="22" t="s">
        <v>2211</v>
      </c>
      <c r="AP955" s="26">
        <v>0</v>
      </c>
      <c r="AQ955" s="26">
        <f t="shared" si="164"/>
        <v>30</v>
      </c>
      <c r="AR955" s="18" t="str">
        <f ca="1">CONCATENATE(OFFSET(Sheet1!$A$2,RANDBETWEEN(2,500),0,1,1),OFFSET(Sheet1!$A$2,RANDBETWEEN(2,500),RANDBETWEEN(1,5),1,1))</f>
        <v>科波菲尔洛兰</v>
      </c>
      <c r="AS955">
        <f>SUMPRODUCT(P955:AI955,Sheet2!$B$3:$U$3)</f>
        <v>27649</v>
      </c>
    </row>
    <row r="956" spans="1:45" x14ac:dyDescent="0.15">
      <c r="A956" s="18">
        <v>955</v>
      </c>
      <c r="B956" s="18" t="s">
        <v>565</v>
      </c>
      <c r="C956" s="18">
        <f t="shared" si="154"/>
        <v>108</v>
      </c>
      <c r="D956" s="19">
        <f t="shared" si="155"/>
        <v>3</v>
      </c>
      <c r="E956" s="19">
        <f>VLOOKUP(MOD(A956,4),各职业基础配置!C$32:D$35,2,FALSE)</f>
        <v>9</v>
      </c>
      <c r="F956" s="19">
        <f>IF(A956&lt;900,INDEX(各职业基础配置!C$23:C$28,MOD(ROW(A956),4)+1),0)</f>
        <v>0</v>
      </c>
      <c r="G956" s="19">
        <f t="shared" si="156"/>
        <v>1</v>
      </c>
      <c r="H956" s="27">
        <f t="shared" si="157"/>
        <v>1</v>
      </c>
      <c r="I956" s="6" t="s">
        <v>164</v>
      </c>
      <c r="J956" s="23" t="str">
        <f>VLOOKUP(E956,各职业基础配置!$B$9:$C$12,2,FALSE)</f>
        <v>116|117|118|4201|120</v>
      </c>
      <c r="K956" s="18" t="str">
        <f>VLOOKUP(E956,各职业基础配置!$B$15:$C$18,2,FALSE)</f>
        <v>28|29|30|31</v>
      </c>
      <c r="L956" s="18" t="str">
        <f>VLOOKUP(E956,各职业基础配置!B:C,2,FALSE)</f>
        <v>[{28,1,1},{29,1,1},{30,1,1},{31,1,1},{10,1,1},{11,1,1},{12,1,1}]</v>
      </c>
      <c r="M956" s="18">
        <v>0</v>
      </c>
      <c r="N956" s="18">
        <f t="shared" si="158"/>
        <v>3</v>
      </c>
      <c r="O956" s="18">
        <f>SUMPRODUCT(P956:AI956,Sheet2!$B$3:$U$3)</f>
        <v>27624</v>
      </c>
      <c r="P956" s="18">
        <f>CEILING(INDEX([1]系统模型!$VD:$VD,MATCH(C956,[1]系统模型!$A:$A,0))*POWER(C956/220,3.8)-50+(1000-A956),1)</f>
        <v>186</v>
      </c>
      <c r="Q956" s="18">
        <f>CEILING(INDEX([1]系统模型!$VE:$VE,MATCH(C956,[1]系统模型!$A:$A,0))*POWER(C956/220,4),1)</f>
        <v>15</v>
      </c>
      <c r="R956" s="18">
        <f>INT(INDEX([1]系统模型!$VF:$VF,MATCH(C956,[1]系统模型!$A:$A,0))*MAX(POWER(C956/180,4),0.5))</f>
        <v>5499</v>
      </c>
      <c r="S956" s="5">
        <v>1000</v>
      </c>
      <c r="T956" s="25">
        <v>0</v>
      </c>
      <c r="U956" s="25">
        <v>0</v>
      </c>
      <c r="V956" s="25">
        <v>0</v>
      </c>
      <c r="W956" s="25">
        <v>0</v>
      </c>
      <c r="X956" s="25">
        <f t="shared" si="159"/>
        <v>274</v>
      </c>
      <c r="Y956" s="12">
        <v>0</v>
      </c>
      <c r="Z956" s="25">
        <v>100</v>
      </c>
      <c r="AA956" s="25">
        <v>150</v>
      </c>
      <c r="AB956" s="25">
        <v>0</v>
      </c>
      <c r="AC956" s="25">
        <v>0</v>
      </c>
      <c r="AD956" s="25">
        <v>0</v>
      </c>
      <c r="AE956" s="25">
        <f t="shared" si="160"/>
        <v>216</v>
      </c>
      <c r="AF956" s="25">
        <f t="shared" si="161"/>
        <v>216</v>
      </c>
      <c r="AG956" s="25">
        <v>0</v>
      </c>
      <c r="AH956" s="25">
        <f t="shared" si="162"/>
        <v>0</v>
      </c>
      <c r="AI956" s="25">
        <f t="shared" si="163"/>
        <v>2</v>
      </c>
      <c r="AJ956" s="25">
        <v>1</v>
      </c>
      <c r="AK956" s="25">
        <v>1000</v>
      </c>
      <c r="AL956" s="25">
        <v>100</v>
      </c>
      <c r="AM956" s="26">
        <v>10</v>
      </c>
      <c r="AN956" s="26">
        <v>10</v>
      </c>
      <c r="AO956" s="22" t="s">
        <v>2211</v>
      </c>
      <c r="AP956" s="26">
        <v>0</v>
      </c>
      <c r="AQ956" s="26">
        <f t="shared" si="164"/>
        <v>30</v>
      </c>
      <c r="AR956" s="18" t="str">
        <f ca="1">CONCATENATE(OFFSET(Sheet1!$A$2,RANDBETWEEN(2,500),0,1,1),OFFSET(Sheet1!$A$2,RANDBETWEEN(2,500),RANDBETWEEN(1,5),1,1))</f>
        <v>约翰逊泰丝</v>
      </c>
      <c r="AS956">
        <f>SUMPRODUCT(P956:AI956,Sheet2!$B$3:$U$3)</f>
        <v>27624</v>
      </c>
    </row>
    <row r="957" spans="1:45" x14ac:dyDescent="0.15">
      <c r="A957" s="18">
        <v>956</v>
      </c>
      <c r="B957" s="18" t="s">
        <v>2191</v>
      </c>
      <c r="C957" s="18">
        <f t="shared" si="154"/>
        <v>108</v>
      </c>
      <c r="D957" s="19">
        <f t="shared" si="155"/>
        <v>2</v>
      </c>
      <c r="E957" s="19">
        <f>VLOOKUP(MOD(A957,4),各职业基础配置!C$32:D$35,2,FALSE)</f>
        <v>1</v>
      </c>
      <c r="F957" s="19">
        <f>IF(A957&lt;900,INDEX(各职业基础配置!C$23:C$28,MOD(ROW(A957),4)+1),0)</f>
        <v>0</v>
      </c>
      <c r="G957" s="19">
        <f t="shared" si="156"/>
        <v>1</v>
      </c>
      <c r="H957" s="27">
        <f t="shared" si="157"/>
        <v>1</v>
      </c>
      <c r="I957" s="6" t="s">
        <v>164</v>
      </c>
      <c r="J957" s="23" t="str">
        <f>VLOOKUP(E957,各职业基础配置!$B$9:$C$12,2,FALSE)</f>
        <v>101|102|103|4201|105</v>
      </c>
      <c r="K957" s="18" t="str">
        <f>VLOOKUP(E957,各职业基础配置!$B$15:$C$18,2,FALSE)</f>
        <v>24|25|26|27</v>
      </c>
      <c r="L957" s="18" t="str">
        <f>VLOOKUP(E957,各职业基础配置!B:C,2,FALSE)</f>
        <v>[{24,1,1},{25,1,1},{26,1,1},{27,1,1},{1,1,1},{2,1,1},{3,1,1}]</v>
      </c>
      <c r="M957" s="18">
        <v>0</v>
      </c>
      <c r="N957" s="18">
        <f t="shared" si="158"/>
        <v>3</v>
      </c>
      <c r="O957" s="18">
        <f>SUMPRODUCT(P957:AI957,Sheet2!$B$3:$U$3)</f>
        <v>27599</v>
      </c>
      <c r="P957" s="18">
        <f>CEILING(INDEX([1]系统模型!$VD:$VD,MATCH(C957,[1]系统模型!$A:$A,0))*POWER(C957/220,3.8)-50+(1000-A957),1)</f>
        <v>185</v>
      </c>
      <c r="Q957" s="18">
        <f>CEILING(INDEX([1]系统模型!$VE:$VE,MATCH(C957,[1]系统模型!$A:$A,0))*POWER(C957/220,4),1)</f>
        <v>15</v>
      </c>
      <c r="R957" s="18">
        <f>INT(INDEX([1]系统模型!$VF:$VF,MATCH(C957,[1]系统模型!$A:$A,0))*MAX(POWER(C957/180,4),0.5))</f>
        <v>5499</v>
      </c>
      <c r="S957" s="5">
        <v>1000</v>
      </c>
      <c r="T957" s="25">
        <v>0</v>
      </c>
      <c r="U957" s="25">
        <v>0</v>
      </c>
      <c r="V957" s="25">
        <v>0</v>
      </c>
      <c r="W957" s="25">
        <v>0</v>
      </c>
      <c r="X957" s="25">
        <f t="shared" si="159"/>
        <v>274</v>
      </c>
      <c r="Y957" s="12">
        <v>0</v>
      </c>
      <c r="Z957" s="25">
        <v>100</v>
      </c>
      <c r="AA957" s="25">
        <v>150</v>
      </c>
      <c r="AB957" s="25">
        <v>0</v>
      </c>
      <c r="AC957" s="25">
        <v>0</v>
      </c>
      <c r="AD957" s="25">
        <v>0</v>
      </c>
      <c r="AE957" s="25">
        <f t="shared" si="160"/>
        <v>216</v>
      </c>
      <c r="AF957" s="25">
        <f t="shared" si="161"/>
        <v>216</v>
      </c>
      <c r="AG957" s="25">
        <v>0</v>
      </c>
      <c r="AH957" s="25">
        <f t="shared" si="162"/>
        <v>0</v>
      </c>
      <c r="AI957" s="25">
        <f t="shared" si="163"/>
        <v>2</v>
      </c>
      <c r="AJ957" s="25">
        <v>1</v>
      </c>
      <c r="AK957" s="25">
        <v>1000</v>
      </c>
      <c r="AL957" s="25">
        <v>100</v>
      </c>
      <c r="AM957" s="26">
        <v>10</v>
      </c>
      <c r="AN957" s="26">
        <v>10</v>
      </c>
      <c r="AO957" s="22" t="s">
        <v>2211</v>
      </c>
      <c r="AP957" s="26">
        <v>0</v>
      </c>
      <c r="AQ957" s="26">
        <f t="shared" si="164"/>
        <v>30</v>
      </c>
      <c r="AR957" s="18" t="str">
        <f ca="1">CONCATENATE(OFFSET(Sheet1!$A$2,RANDBETWEEN(2,500),0,1,1),OFFSET(Sheet1!$A$2,RANDBETWEEN(2,500),RANDBETWEEN(1,5),1,1))</f>
        <v>比勒尔凯丝</v>
      </c>
      <c r="AS957">
        <f>SUMPRODUCT(P957:AI957,Sheet2!$B$3:$U$3)</f>
        <v>27599</v>
      </c>
    </row>
    <row r="958" spans="1:45" x14ac:dyDescent="0.15">
      <c r="A958" s="23">
        <v>957</v>
      </c>
      <c r="B958" s="18" t="s">
        <v>1349</v>
      </c>
      <c r="C958" s="18">
        <f t="shared" si="154"/>
        <v>108</v>
      </c>
      <c r="D958" s="19">
        <f t="shared" si="155"/>
        <v>3</v>
      </c>
      <c r="E958" s="19">
        <f>VLOOKUP(MOD(A958,4),各职业基础配置!C$32:D$35,2,FALSE)</f>
        <v>3</v>
      </c>
      <c r="F958" s="19">
        <f>IF(A958&lt;900,INDEX(各职业基础配置!C$23:C$28,MOD(ROW(A958),4)+1),0)</f>
        <v>0</v>
      </c>
      <c r="G958" s="19">
        <f t="shared" si="156"/>
        <v>1</v>
      </c>
      <c r="H958" s="27">
        <f t="shared" si="157"/>
        <v>1</v>
      </c>
      <c r="I958" s="6" t="s">
        <v>164</v>
      </c>
      <c r="J958" s="23" t="str">
        <f>VLOOKUP(E958,各职业基础配置!$B$9:$C$12,2,FALSE)</f>
        <v>106|107|108|4201|110</v>
      </c>
      <c r="K958" s="18" t="str">
        <f>VLOOKUP(E958,各职业基础配置!$B$15:$C$18,2,FALSE)</f>
        <v>20|21|22|23</v>
      </c>
      <c r="L958" s="18" t="str">
        <f>VLOOKUP(E958,各职业基础配置!B:C,2,FALSE)</f>
        <v>[{20,1,1},{21,1,1},{22,1,1},{23,1,1},{4,1,1},{5,1,1},{6,1,1}]</v>
      </c>
      <c r="M958" s="18">
        <v>0</v>
      </c>
      <c r="N958" s="18">
        <f t="shared" si="158"/>
        <v>7</v>
      </c>
      <c r="O958" s="18">
        <f>SUMPRODUCT(P958:AI958,Sheet2!$B$3:$U$3)</f>
        <v>27574</v>
      </c>
      <c r="P958" s="18">
        <f>CEILING(INDEX([1]系统模型!$VD:$VD,MATCH(C958,[1]系统模型!$A:$A,0))*POWER(C958/220,3.8)-50+(1000-A958),1)</f>
        <v>184</v>
      </c>
      <c r="Q958" s="18">
        <f>CEILING(INDEX([1]系统模型!$VE:$VE,MATCH(C958,[1]系统模型!$A:$A,0))*POWER(C958/220,4),1)</f>
        <v>15</v>
      </c>
      <c r="R958" s="18">
        <f>INT(INDEX([1]系统模型!$VF:$VF,MATCH(C958,[1]系统模型!$A:$A,0))*MAX(POWER(C958/180,4),0.5))</f>
        <v>5499</v>
      </c>
      <c r="S958" s="5">
        <v>1000</v>
      </c>
      <c r="T958" s="25">
        <v>0</v>
      </c>
      <c r="U958" s="25">
        <v>0</v>
      </c>
      <c r="V958" s="25">
        <v>0</v>
      </c>
      <c r="W958" s="25">
        <v>0</v>
      </c>
      <c r="X958" s="25">
        <f t="shared" si="159"/>
        <v>274</v>
      </c>
      <c r="Y958" s="12">
        <v>0</v>
      </c>
      <c r="Z958" s="25">
        <v>100</v>
      </c>
      <c r="AA958" s="25">
        <v>150</v>
      </c>
      <c r="AB958" s="25">
        <v>0</v>
      </c>
      <c r="AC958" s="25">
        <v>0</v>
      </c>
      <c r="AD958" s="25">
        <v>0</v>
      </c>
      <c r="AE958" s="25">
        <f t="shared" si="160"/>
        <v>216</v>
      </c>
      <c r="AF958" s="25">
        <f t="shared" si="161"/>
        <v>216</v>
      </c>
      <c r="AG958" s="25">
        <v>0</v>
      </c>
      <c r="AH958" s="25">
        <f t="shared" si="162"/>
        <v>0</v>
      </c>
      <c r="AI958" s="25">
        <f t="shared" si="163"/>
        <v>2</v>
      </c>
      <c r="AJ958" s="25">
        <v>1</v>
      </c>
      <c r="AK958" s="25">
        <v>1000</v>
      </c>
      <c r="AL958" s="25">
        <v>100</v>
      </c>
      <c r="AM958" s="26">
        <v>10</v>
      </c>
      <c r="AN958" s="26">
        <v>10</v>
      </c>
      <c r="AO958" s="22" t="s">
        <v>2211</v>
      </c>
      <c r="AP958" s="26">
        <v>0</v>
      </c>
      <c r="AQ958" s="26">
        <f t="shared" si="164"/>
        <v>30</v>
      </c>
      <c r="AR958" s="18" t="str">
        <f ca="1">CONCATENATE(OFFSET(Sheet1!$A$2,RANDBETWEEN(2,500),0,1,1),OFFSET(Sheet1!$A$2,RANDBETWEEN(2,500),RANDBETWEEN(1,5),1,1))</f>
        <v>安托瓦妮特</v>
      </c>
      <c r="AS958">
        <f>SUMPRODUCT(P958:AI958,Sheet2!$B$3:$U$3)</f>
        <v>27574</v>
      </c>
    </row>
    <row r="959" spans="1:45" x14ac:dyDescent="0.15">
      <c r="A959" s="18">
        <v>958</v>
      </c>
      <c r="B959" s="18" t="s">
        <v>1001</v>
      </c>
      <c r="C959" s="18">
        <f t="shared" si="154"/>
        <v>108</v>
      </c>
      <c r="D959" s="19">
        <f t="shared" si="155"/>
        <v>2</v>
      </c>
      <c r="E959" s="19">
        <f>VLOOKUP(MOD(A959,4),各职业基础配置!C$32:D$35,2,FALSE)</f>
        <v>6</v>
      </c>
      <c r="F959" s="19">
        <f>IF(A959&lt;900,INDEX(各职业基础配置!C$23:C$28,MOD(ROW(A959),4)+1),0)</f>
        <v>0</v>
      </c>
      <c r="G959" s="19">
        <f t="shared" si="156"/>
        <v>1</v>
      </c>
      <c r="H959" s="27">
        <f t="shared" si="157"/>
        <v>1</v>
      </c>
      <c r="I959" s="6" t="s">
        <v>164</v>
      </c>
      <c r="J959" s="23" t="str">
        <f>VLOOKUP(E959,各职业基础配置!$B$9:$C$12,2,FALSE)</f>
        <v>111|112|113|4201|115</v>
      </c>
      <c r="K959" s="18" t="str">
        <f>VLOOKUP(E959,各职业基础配置!$B$15:$C$18,2,FALSE)</f>
        <v>32|33|34</v>
      </c>
      <c r="L959" s="18" t="str">
        <f>VLOOKUP(E959,各职业基础配置!B:C,2,FALSE)</f>
        <v>[{32,1,1},{33,1,1},{34,1,1},{35,1,1},{7,1,1},{8,1,1},{9,1,1}]</v>
      </c>
      <c r="M959" s="18">
        <v>0</v>
      </c>
      <c r="N959" s="18">
        <f t="shared" si="158"/>
        <v>7</v>
      </c>
      <c r="O959" s="18">
        <f>SUMPRODUCT(P959:AI959,Sheet2!$B$3:$U$3)</f>
        <v>27549</v>
      </c>
      <c r="P959" s="18">
        <f>CEILING(INDEX([1]系统模型!$VD:$VD,MATCH(C959,[1]系统模型!$A:$A,0))*POWER(C959/220,3.8)-50+(1000-A959),1)</f>
        <v>183</v>
      </c>
      <c r="Q959" s="18">
        <f>CEILING(INDEX([1]系统模型!$VE:$VE,MATCH(C959,[1]系统模型!$A:$A,0))*POWER(C959/220,4),1)</f>
        <v>15</v>
      </c>
      <c r="R959" s="18">
        <f>INT(INDEX([1]系统模型!$VF:$VF,MATCH(C959,[1]系统模型!$A:$A,0))*MAX(POWER(C959/180,4),0.5))</f>
        <v>5499</v>
      </c>
      <c r="S959" s="5">
        <v>1000</v>
      </c>
      <c r="T959" s="25">
        <v>0</v>
      </c>
      <c r="U959" s="25">
        <v>0</v>
      </c>
      <c r="V959" s="25">
        <v>0</v>
      </c>
      <c r="W959" s="25">
        <v>0</v>
      </c>
      <c r="X959" s="25">
        <f t="shared" si="159"/>
        <v>274</v>
      </c>
      <c r="Y959" s="12">
        <v>0</v>
      </c>
      <c r="Z959" s="25">
        <v>100</v>
      </c>
      <c r="AA959" s="25">
        <v>150</v>
      </c>
      <c r="AB959" s="25">
        <v>0</v>
      </c>
      <c r="AC959" s="25">
        <v>0</v>
      </c>
      <c r="AD959" s="25">
        <v>0</v>
      </c>
      <c r="AE959" s="25">
        <f t="shared" si="160"/>
        <v>216</v>
      </c>
      <c r="AF959" s="25">
        <f t="shared" si="161"/>
        <v>216</v>
      </c>
      <c r="AG959" s="25">
        <v>0</v>
      </c>
      <c r="AH959" s="25">
        <f t="shared" si="162"/>
        <v>0</v>
      </c>
      <c r="AI959" s="25">
        <f t="shared" si="163"/>
        <v>2</v>
      </c>
      <c r="AJ959" s="25">
        <v>1</v>
      </c>
      <c r="AK959" s="25">
        <v>1000</v>
      </c>
      <c r="AL959" s="25">
        <v>100</v>
      </c>
      <c r="AM959" s="26">
        <v>10</v>
      </c>
      <c r="AN959" s="26">
        <v>10</v>
      </c>
      <c r="AO959" s="22" t="s">
        <v>2211</v>
      </c>
      <c r="AP959" s="26">
        <v>0</v>
      </c>
      <c r="AQ959" s="26">
        <f t="shared" si="164"/>
        <v>30</v>
      </c>
      <c r="AR959" s="18" t="str">
        <f ca="1">CONCATENATE(OFFSET(Sheet1!$A$2,RANDBETWEEN(2,500),0,1,1),OFFSET(Sheet1!$A$2,RANDBETWEEN(2,500),RANDBETWEEN(1,5),1,1))</f>
        <v>布朗宁格拉迪斯</v>
      </c>
      <c r="AS959">
        <f>SUMPRODUCT(P959:AI959,Sheet2!$B$3:$U$3)</f>
        <v>27549</v>
      </c>
    </row>
    <row r="960" spans="1:45" x14ac:dyDescent="0.15">
      <c r="A960" s="18">
        <v>959</v>
      </c>
      <c r="B960" s="18" t="s">
        <v>2192</v>
      </c>
      <c r="C960" s="18">
        <f t="shared" si="154"/>
        <v>108</v>
      </c>
      <c r="D960" s="19">
        <f t="shared" si="155"/>
        <v>3</v>
      </c>
      <c r="E960" s="19">
        <f>VLOOKUP(MOD(A960,4),各职业基础配置!C$32:D$35,2,FALSE)</f>
        <v>9</v>
      </c>
      <c r="F960" s="19">
        <f>IF(A960&lt;900,INDEX(各职业基础配置!C$23:C$28,MOD(ROW(A960),4)+1),0)</f>
        <v>0</v>
      </c>
      <c r="G960" s="19">
        <f t="shared" si="156"/>
        <v>1</v>
      </c>
      <c r="H960" s="27">
        <f t="shared" si="157"/>
        <v>1</v>
      </c>
      <c r="I960" s="6" t="s">
        <v>164</v>
      </c>
      <c r="J960" s="23" t="str">
        <f>VLOOKUP(E960,各职业基础配置!$B$9:$C$12,2,FALSE)</f>
        <v>116|117|118|4201|120</v>
      </c>
      <c r="K960" s="18" t="str">
        <f>VLOOKUP(E960,各职业基础配置!$B$15:$C$18,2,FALSE)</f>
        <v>28|29|30|31</v>
      </c>
      <c r="L960" s="18" t="str">
        <f>VLOOKUP(E960,各职业基础配置!B:C,2,FALSE)</f>
        <v>[{28,1,1},{29,1,1},{30,1,1},{31,1,1},{10,1,1},{11,1,1},{12,1,1}]</v>
      </c>
      <c r="M960" s="18">
        <v>0</v>
      </c>
      <c r="N960" s="18">
        <f t="shared" si="158"/>
        <v>3</v>
      </c>
      <c r="O960" s="18">
        <f>SUMPRODUCT(P960:AI960,Sheet2!$B$3:$U$3)</f>
        <v>27524</v>
      </c>
      <c r="P960" s="18">
        <f>CEILING(INDEX([1]系统模型!$VD:$VD,MATCH(C960,[1]系统模型!$A:$A,0))*POWER(C960/220,3.8)-50+(1000-A960),1)</f>
        <v>182</v>
      </c>
      <c r="Q960" s="18">
        <f>CEILING(INDEX([1]系统模型!$VE:$VE,MATCH(C960,[1]系统模型!$A:$A,0))*POWER(C960/220,4),1)</f>
        <v>15</v>
      </c>
      <c r="R960" s="18">
        <f>INT(INDEX([1]系统模型!$VF:$VF,MATCH(C960,[1]系统模型!$A:$A,0))*MAX(POWER(C960/180,4),0.5))</f>
        <v>5499</v>
      </c>
      <c r="S960" s="5">
        <v>1000</v>
      </c>
      <c r="T960" s="25">
        <v>0</v>
      </c>
      <c r="U960" s="25">
        <v>0</v>
      </c>
      <c r="V960" s="25">
        <v>0</v>
      </c>
      <c r="W960" s="25">
        <v>0</v>
      </c>
      <c r="X960" s="25">
        <f t="shared" si="159"/>
        <v>274</v>
      </c>
      <c r="Y960" s="12">
        <v>0</v>
      </c>
      <c r="Z960" s="25">
        <v>100</v>
      </c>
      <c r="AA960" s="25">
        <v>150</v>
      </c>
      <c r="AB960" s="25">
        <v>0</v>
      </c>
      <c r="AC960" s="25">
        <v>0</v>
      </c>
      <c r="AD960" s="25">
        <v>0</v>
      </c>
      <c r="AE960" s="25">
        <f t="shared" si="160"/>
        <v>216</v>
      </c>
      <c r="AF960" s="25">
        <f t="shared" si="161"/>
        <v>216</v>
      </c>
      <c r="AG960" s="25">
        <v>0</v>
      </c>
      <c r="AH960" s="25">
        <f t="shared" si="162"/>
        <v>0</v>
      </c>
      <c r="AI960" s="25">
        <f t="shared" si="163"/>
        <v>2</v>
      </c>
      <c r="AJ960" s="25">
        <v>1</v>
      </c>
      <c r="AK960" s="25">
        <v>1000</v>
      </c>
      <c r="AL960" s="25">
        <v>100</v>
      </c>
      <c r="AM960" s="26">
        <v>10</v>
      </c>
      <c r="AN960" s="26">
        <v>10</v>
      </c>
      <c r="AO960" s="22" t="s">
        <v>2211</v>
      </c>
      <c r="AP960" s="26">
        <v>0</v>
      </c>
      <c r="AQ960" s="26">
        <f t="shared" si="164"/>
        <v>30</v>
      </c>
      <c r="AR960" s="18" t="str">
        <f ca="1">CONCATENATE(OFFSET(Sheet1!$A$2,RANDBETWEEN(2,500),0,1,1),OFFSET(Sheet1!$A$2,RANDBETWEEN(2,500),RANDBETWEEN(1,5),1,1))</f>
        <v>查普曼</v>
      </c>
      <c r="AS960">
        <f>SUMPRODUCT(P960:AI960,Sheet2!$B$3:$U$3)</f>
        <v>27524</v>
      </c>
    </row>
    <row r="961" spans="1:45" x14ac:dyDescent="0.15">
      <c r="A961" s="23">
        <v>960</v>
      </c>
      <c r="B961" s="18" t="s">
        <v>1260</v>
      </c>
      <c r="C961" s="18">
        <f t="shared" si="154"/>
        <v>107</v>
      </c>
      <c r="D961" s="19">
        <f t="shared" si="155"/>
        <v>2</v>
      </c>
      <c r="E961" s="19">
        <f>VLOOKUP(MOD(A961,4),各职业基础配置!C$32:D$35,2,FALSE)</f>
        <v>1</v>
      </c>
      <c r="F961" s="19">
        <f>IF(A961&lt;900,INDEX(各职业基础配置!C$23:C$28,MOD(ROW(A961),4)+1),0)</f>
        <v>0</v>
      </c>
      <c r="G961" s="19">
        <f t="shared" si="156"/>
        <v>1</v>
      </c>
      <c r="H961" s="27">
        <f t="shared" si="157"/>
        <v>1</v>
      </c>
      <c r="I961" s="6" t="s">
        <v>164</v>
      </c>
      <c r="J961" s="23" t="str">
        <f>VLOOKUP(E961,各职业基础配置!$B$9:$C$12,2,FALSE)</f>
        <v>101|102|103|4201|105</v>
      </c>
      <c r="K961" s="18" t="str">
        <f>VLOOKUP(E961,各职业基础配置!$B$15:$C$18,2,FALSE)</f>
        <v>24|25|26|27</v>
      </c>
      <c r="L961" s="18" t="str">
        <f>VLOOKUP(E961,各职业基础配置!B:C,2,FALSE)</f>
        <v>[{24,1,1},{25,1,1},{26,1,1},{27,1,1},{1,1,1},{2,1,1},{3,1,1}]</v>
      </c>
      <c r="M961" s="18">
        <v>0</v>
      </c>
      <c r="N961" s="18">
        <f t="shared" si="158"/>
        <v>3</v>
      </c>
      <c r="O961" s="18">
        <f>SUMPRODUCT(P961:AI961,Sheet2!$B$3:$U$3)</f>
        <v>27076</v>
      </c>
      <c r="P961" s="18">
        <f>CEILING(INDEX([1]系统模型!$VD:$VD,MATCH(C961,[1]系统模型!$A:$A,0))*POWER(C961/220,3.8)-50+(1000-A961),1)</f>
        <v>172</v>
      </c>
      <c r="Q961" s="18">
        <f>CEILING(INDEX([1]系统模型!$VE:$VE,MATCH(C961,[1]系统模型!$A:$A,0))*POWER(C961/220,4),1)</f>
        <v>14</v>
      </c>
      <c r="R961" s="18">
        <f>INT(INDEX([1]系统模型!$VF:$VF,MATCH(C961,[1]系统模型!$A:$A,0))*MAX(POWER(C961/180,4),0.5))</f>
        <v>5426</v>
      </c>
      <c r="S961" s="5">
        <v>1000</v>
      </c>
      <c r="T961" s="25">
        <v>0</v>
      </c>
      <c r="U961" s="25">
        <v>0</v>
      </c>
      <c r="V961" s="25">
        <v>0</v>
      </c>
      <c r="W961" s="25">
        <v>0</v>
      </c>
      <c r="X961" s="25">
        <f t="shared" si="159"/>
        <v>271</v>
      </c>
      <c r="Y961" s="12">
        <v>0</v>
      </c>
      <c r="Z961" s="25">
        <v>100</v>
      </c>
      <c r="AA961" s="25">
        <v>150</v>
      </c>
      <c r="AB961" s="25">
        <v>0</v>
      </c>
      <c r="AC961" s="25">
        <v>0</v>
      </c>
      <c r="AD961" s="25">
        <v>0</v>
      </c>
      <c r="AE961" s="25">
        <f t="shared" si="160"/>
        <v>214</v>
      </c>
      <c r="AF961" s="25">
        <f t="shared" si="161"/>
        <v>214</v>
      </c>
      <c r="AG961" s="25">
        <v>0</v>
      </c>
      <c r="AH961" s="25">
        <f t="shared" si="162"/>
        <v>0</v>
      </c>
      <c r="AI961" s="25">
        <f t="shared" si="163"/>
        <v>2</v>
      </c>
      <c r="AJ961" s="25">
        <v>1</v>
      </c>
      <c r="AK961" s="25">
        <v>1000</v>
      </c>
      <c r="AL961" s="25">
        <v>100</v>
      </c>
      <c r="AM961" s="26">
        <v>10</v>
      </c>
      <c r="AN961" s="26">
        <v>10</v>
      </c>
      <c r="AO961" s="22" t="s">
        <v>2211</v>
      </c>
      <c r="AP961" s="26">
        <v>0</v>
      </c>
      <c r="AQ961" s="26">
        <f t="shared" si="164"/>
        <v>30</v>
      </c>
      <c r="AR961" s="18" t="str">
        <f ca="1">CONCATENATE(OFFSET(Sheet1!$A$2,RANDBETWEEN(2,500),0,1,1),OFFSET(Sheet1!$A$2,RANDBETWEEN(2,500),RANDBETWEEN(1,5),1,1))</f>
        <v>埃拉优雅</v>
      </c>
      <c r="AS961">
        <f>SUMPRODUCT(P961:AI961,Sheet2!$B$3:$U$3)</f>
        <v>27076</v>
      </c>
    </row>
    <row r="962" spans="1:45" x14ac:dyDescent="0.15">
      <c r="A962" s="18">
        <v>961</v>
      </c>
      <c r="B962" s="18" t="s">
        <v>1155</v>
      </c>
      <c r="C962" s="18">
        <f t="shared" si="154"/>
        <v>107</v>
      </c>
      <c r="D962" s="19">
        <f t="shared" si="155"/>
        <v>3</v>
      </c>
      <c r="E962" s="19">
        <f>VLOOKUP(MOD(A962,4),各职业基础配置!C$32:D$35,2,FALSE)</f>
        <v>3</v>
      </c>
      <c r="F962" s="19">
        <f>IF(A962&lt;900,INDEX(各职业基础配置!C$23:C$28,MOD(ROW(A962),4)+1),0)</f>
        <v>0</v>
      </c>
      <c r="G962" s="19">
        <f t="shared" si="156"/>
        <v>1</v>
      </c>
      <c r="H962" s="27">
        <f t="shared" si="157"/>
        <v>1</v>
      </c>
      <c r="I962" s="6" t="s">
        <v>164</v>
      </c>
      <c r="J962" s="23" t="str">
        <f>VLOOKUP(E962,各职业基础配置!$B$9:$C$12,2,FALSE)</f>
        <v>106|107|108|4201|110</v>
      </c>
      <c r="K962" s="18" t="str">
        <f>VLOOKUP(E962,各职业基础配置!$B$15:$C$18,2,FALSE)</f>
        <v>20|21|22|23</v>
      </c>
      <c r="L962" s="18" t="str">
        <f>VLOOKUP(E962,各职业基础配置!B:C,2,FALSE)</f>
        <v>[{20,1,1},{21,1,1},{22,1,1},{23,1,1},{4,1,1},{5,1,1},{6,1,1}]</v>
      </c>
      <c r="M962" s="18">
        <v>0</v>
      </c>
      <c r="N962" s="18">
        <f t="shared" si="158"/>
        <v>7</v>
      </c>
      <c r="O962" s="18">
        <f>SUMPRODUCT(P962:AI962,Sheet2!$B$3:$U$3)</f>
        <v>27051</v>
      </c>
      <c r="P962" s="18">
        <f>CEILING(INDEX([1]系统模型!$VD:$VD,MATCH(C962,[1]系统模型!$A:$A,0))*POWER(C962/220,3.8)-50+(1000-A962),1)</f>
        <v>171</v>
      </c>
      <c r="Q962" s="18">
        <f>CEILING(INDEX([1]系统模型!$VE:$VE,MATCH(C962,[1]系统模型!$A:$A,0))*POWER(C962/220,4),1)</f>
        <v>14</v>
      </c>
      <c r="R962" s="18">
        <f>INT(INDEX([1]系统模型!$VF:$VF,MATCH(C962,[1]系统模型!$A:$A,0))*MAX(POWER(C962/180,4),0.5))</f>
        <v>5426</v>
      </c>
      <c r="S962" s="5">
        <v>1000</v>
      </c>
      <c r="T962" s="25">
        <v>0</v>
      </c>
      <c r="U962" s="25">
        <v>0</v>
      </c>
      <c r="V962" s="25">
        <v>0</v>
      </c>
      <c r="W962" s="25">
        <v>0</v>
      </c>
      <c r="X962" s="25">
        <f t="shared" si="159"/>
        <v>271</v>
      </c>
      <c r="Y962" s="12">
        <v>0</v>
      </c>
      <c r="Z962" s="25">
        <v>100</v>
      </c>
      <c r="AA962" s="25">
        <v>150</v>
      </c>
      <c r="AB962" s="25">
        <v>0</v>
      </c>
      <c r="AC962" s="25">
        <v>0</v>
      </c>
      <c r="AD962" s="25">
        <v>0</v>
      </c>
      <c r="AE962" s="25">
        <f t="shared" si="160"/>
        <v>214</v>
      </c>
      <c r="AF962" s="25">
        <f t="shared" si="161"/>
        <v>214</v>
      </c>
      <c r="AG962" s="25">
        <v>0</v>
      </c>
      <c r="AH962" s="25">
        <f t="shared" si="162"/>
        <v>0</v>
      </c>
      <c r="AI962" s="25">
        <f t="shared" si="163"/>
        <v>2</v>
      </c>
      <c r="AJ962" s="25">
        <v>1</v>
      </c>
      <c r="AK962" s="25">
        <v>1000</v>
      </c>
      <c r="AL962" s="25">
        <v>100</v>
      </c>
      <c r="AM962" s="26">
        <v>10</v>
      </c>
      <c r="AN962" s="26">
        <v>10</v>
      </c>
      <c r="AO962" s="22" t="s">
        <v>2211</v>
      </c>
      <c r="AP962" s="26">
        <v>0</v>
      </c>
      <c r="AQ962" s="26">
        <f t="shared" si="164"/>
        <v>20</v>
      </c>
      <c r="AR962" s="18" t="str">
        <f ca="1">CONCATENATE(OFFSET(Sheet1!$A$2,RANDBETWEEN(2,500),0,1,1),OFFSET(Sheet1!$A$2,RANDBETWEEN(2,500),RANDBETWEEN(1,5),1,1))</f>
        <v>查尔斯</v>
      </c>
      <c r="AS962">
        <f>SUMPRODUCT(P962:AI962,Sheet2!$B$3:$U$3)</f>
        <v>27051</v>
      </c>
    </row>
    <row r="963" spans="1:45" x14ac:dyDescent="0.15">
      <c r="A963" s="18">
        <v>962</v>
      </c>
      <c r="B963" s="18" t="s">
        <v>241</v>
      </c>
      <c r="C963" s="18">
        <f t="shared" ref="C963:C1001" si="165">INT(250-(150-2)/1000*A963)</f>
        <v>107</v>
      </c>
      <c r="D963" s="19">
        <f t="shared" ref="D963:D1001" si="166">MOD(A963,2)+2</f>
        <v>2</v>
      </c>
      <c r="E963" s="19">
        <f>VLOOKUP(MOD(A963,4),各职业基础配置!C$32:D$35,2,FALSE)</f>
        <v>6</v>
      </c>
      <c r="F963" s="19">
        <f>IF(A963&lt;900,INDEX(各职业基础配置!C$23:C$28,MOD(ROW(A963),4)+1),0)</f>
        <v>0</v>
      </c>
      <c r="G963" s="19">
        <f t="shared" ref="G963:G1001" si="167">INT(C963*POWER(C963/250,5))</f>
        <v>1</v>
      </c>
      <c r="H963" s="27">
        <f t="shared" ref="H963:H1001" si="168">CEILING(C963/75,1)-1</f>
        <v>1</v>
      </c>
      <c r="I963" s="6" t="s">
        <v>164</v>
      </c>
      <c r="J963" s="23" t="str">
        <f>VLOOKUP(E963,各职业基础配置!$B$9:$C$12,2,FALSE)</f>
        <v>111|112|113|4201|115</v>
      </c>
      <c r="K963" s="18" t="str">
        <f>VLOOKUP(E963,各职业基础配置!$B$15:$C$18,2,FALSE)</f>
        <v>32|33|34</v>
      </c>
      <c r="L963" s="18" t="str">
        <f>VLOOKUP(E963,各职业基础配置!B:C,2,FALSE)</f>
        <v>[{32,1,1},{33,1,1},{34,1,1},{35,1,1},{7,1,1},{8,1,1},{9,1,1}]</v>
      </c>
      <c r="M963" s="18">
        <v>0</v>
      </c>
      <c r="N963" s="18">
        <f t="shared" ref="N963:N1001" si="169">IF(OR(E963=3,E963=6),7,3)</f>
        <v>7</v>
      </c>
      <c r="O963" s="18">
        <f>SUMPRODUCT(P963:AI963,Sheet2!$B$3:$U$3)</f>
        <v>27026</v>
      </c>
      <c r="P963" s="18">
        <f>CEILING(INDEX([1]系统模型!$VD:$VD,MATCH(C963,[1]系统模型!$A:$A,0))*POWER(C963/220,3.8)-50+(1000-A963),1)</f>
        <v>170</v>
      </c>
      <c r="Q963" s="18">
        <f>CEILING(INDEX([1]系统模型!$VE:$VE,MATCH(C963,[1]系统模型!$A:$A,0))*POWER(C963/220,4),1)</f>
        <v>14</v>
      </c>
      <c r="R963" s="18">
        <f>INT(INDEX([1]系统模型!$VF:$VF,MATCH(C963,[1]系统模型!$A:$A,0))*MAX(POWER(C963/180,4),0.5))</f>
        <v>5426</v>
      </c>
      <c r="S963" s="5">
        <v>1000</v>
      </c>
      <c r="T963" s="25">
        <v>0</v>
      </c>
      <c r="U963" s="25">
        <v>0</v>
      </c>
      <c r="V963" s="25">
        <v>0</v>
      </c>
      <c r="W963" s="25">
        <v>0</v>
      </c>
      <c r="X963" s="25">
        <f t="shared" ref="X963:X1001" si="170">INT(R963/20)</f>
        <v>271</v>
      </c>
      <c r="Y963" s="12">
        <v>0</v>
      </c>
      <c r="Z963" s="25">
        <v>100</v>
      </c>
      <c r="AA963" s="25">
        <v>150</v>
      </c>
      <c r="AB963" s="25">
        <v>0</v>
      </c>
      <c r="AC963" s="25">
        <v>0</v>
      </c>
      <c r="AD963" s="25">
        <v>0</v>
      </c>
      <c r="AE963" s="25">
        <f t="shared" ref="AE963:AE1001" si="171">C963*2</f>
        <v>214</v>
      </c>
      <c r="AF963" s="25">
        <f t="shared" ref="AF963:AF1001" si="172">C963*2</f>
        <v>214</v>
      </c>
      <c r="AG963" s="25">
        <v>0</v>
      </c>
      <c r="AH963" s="25">
        <f t="shared" ref="AH963:AH1001" si="173">MAX(10000-(250-C963)*75,0)</f>
        <v>0</v>
      </c>
      <c r="AI963" s="25">
        <f t="shared" ref="AI963:AI1001" si="174">INT(P963/75)</f>
        <v>2</v>
      </c>
      <c r="AJ963" s="25">
        <v>1</v>
      </c>
      <c r="AK963" s="25">
        <v>1000</v>
      </c>
      <c r="AL963" s="25">
        <v>100</v>
      </c>
      <c r="AM963" s="26">
        <v>10</v>
      </c>
      <c r="AN963" s="26">
        <v>10</v>
      </c>
      <c r="AO963" s="22" t="s">
        <v>2211</v>
      </c>
      <c r="AP963" s="26">
        <v>0</v>
      </c>
      <c r="AQ963" s="26">
        <f t="shared" ref="AQ963:AQ1001" si="175">MAX(CEILING(1000-A963*1.02,10),0)</f>
        <v>20</v>
      </c>
      <c r="AR963" s="18" t="str">
        <f ca="1">CONCATENATE(OFFSET(Sheet1!$A$2,RANDBETWEEN(2,500),0,1,1),OFFSET(Sheet1!$A$2,RANDBETWEEN(2,500),RANDBETWEEN(1,5),1,1))</f>
        <v>胡德莎洛姆</v>
      </c>
      <c r="AS963">
        <f>SUMPRODUCT(P963:AI963,Sheet2!$B$3:$U$3)</f>
        <v>27026</v>
      </c>
    </row>
    <row r="964" spans="1:45" x14ac:dyDescent="0.15">
      <c r="A964" s="23">
        <v>963</v>
      </c>
      <c r="B964" s="18" t="s">
        <v>2193</v>
      </c>
      <c r="C964" s="18">
        <f t="shared" si="165"/>
        <v>107</v>
      </c>
      <c r="D964" s="19">
        <f t="shared" si="166"/>
        <v>3</v>
      </c>
      <c r="E964" s="19">
        <f>VLOOKUP(MOD(A964,4),各职业基础配置!C$32:D$35,2,FALSE)</f>
        <v>9</v>
      </c>
      <c r="F964" s="19">
        <f>IF(A964&lt;900,INDEX(各职业基础配置!C$23:C$28,MOD(ROW(A964),4)+1),0)</f>
        <v>0</v>
      </c>
      <c r="G964" s="19">
        <f t="shared" si="167"/>
        <v>1</v>
      </c>
      <c r="H964" s="27">
        <f t="shared" si="168"/>
        <v>1</v>
      </c>
      <c r="I964" s="6" t="s">
        <v>164</v>
      </c>
      <c r="J964" s="23" t="str">
        <f>VLOOKUP(E964,各职业基础配置!$B$9:$C$12,2,FALSE)</f>
        <v>116|117|118|4201|120</v>
      </c>
      <c r="K964" s="18" t="str">
        <f>VLOOKUP(E964,各职业基础配置!$B$15:$C$18,2,FALSE)</f>
        <v>28|29|30|31</v>
      </c>
      <c r="L964" s="18" t="str">
        <f>VLOOKUP(E964,各职业基础配置!B:C,2,FALSE)</f>
        <v>[{28,1,1},{29,1,1},{30,1,1},{31,1,1},{10,1,1},{11,1,1},{12,1,1}]</v>
      </c>
      <c r="M964" s="18">
        <v>0</v>
      </c>
      <c r="N964" s="18">
        <f t="shared" si="169"/>
        <v>3</v>
      </c>
      <c r="O964" s="18">
        <f>SUMPRODUCT(P964:AI964,Sheet2!$B$3:$U$3)</f>
        <v>27001</v>
      </c>
      <c r="P964" s="18">
        <f>CEILING(INDEX([1]系统模型!$VD:$VD,MATCH(C964,[1]系统模型!$A:$A,0))*POWER(C964/220,3.8)-50+(1000-A964),1)</f>
        <v>169</v>
      </c>
      <c r="Q964" s="18">
        <f>CEILING(INDEX([1]系统模型!$VE:$VE,MATCH(C964,[1]系统模型!$A:$A,0))*POWER(C964/220,4),1)</f>
        <v>14</v>
      </c>
      <c r="R964" s="18">
        <f>INT(INDEX([1]系统模型!$VF:$VF,MATCH(C964,[1]系统模型!$A:$A,0))*MAX(POWER(C964/180,4),0.5))</f>
        <v>5426</v>
      </c>
      <c r="S964" s="5">
        <v>1000</v>
      </c>
      <c r="T964" s="25">
        <v>0</v>
      </c>
      <c r="U964" s="25">
        <v>0</v>
      </c>
      <c r="V964" s="25">
        <v>0</v>
      </c>
      <c r="W964" s="25">
        <v>0</v>
      </c>
      <c r="X964" s="25">
        <f t="shared" si="170"/>
        <v>271</v>
      </c>
      <c r="Y964" s="12">
        <v>0</v>
      </c>
      <c r="Z964" s="25">
        <v>100</v>
      </c>
      <c r="AA964" s="25">
        <v>150</v>
      </c>
      <c r="AB964" s="25">
        <v>0</v>
      </c>
      <c r="AC964" s="25">
        <v>0</v>
      </c>
      <c r="AD964" s="25">
        <v>0</v>
      </c>
      <c r="AE964" s="25">
        <f t="shared" si="171"/>
        <v>214</v>
      </c>
      <c r="AF964" s="25">
        <f t="shared" si="172"/>
        <v>214</v>
      </c>
      <c r="AG964" s="25">
        <v>0</v>
      </c>
      <c r="AH964" s="25">
        <f t="shared" si="173"/>
        <v>0</v>
      </c>
      <c r="AI964" s="25">
        <f t="shared" si="174"/>
        <v>2</v>
      </c>
      <c r="AJ964" s="25">
        <v>1</v>
      </c>
      <c r="AK964" s="25">
        <v>1000</v>
      </c>
      <c r="AL964" s="25">
        <v>100</v>
      </c>
      <c r="AM964" s="26">
        <v>10</v>
      </c>
      <c r="AN964" s="26">
        <v>10</v>
      </c>
      <c r="AO964" s="22" t="s">
        <v>2211</v>
      </c>
      <c r="AP964" s="26">
        <v>0</v>
      </c>
      <c r="AQ964" s="26">
        <f t="shared" si="175"/>
        <v>20</v>
      </c>
      <c r="AR964" s="18" t="str">
        <f ca="1">CONCATENATE(OFFSET(Sheet1!$A$2,RANDBETWEEN(2,500),0,1,1),OFFSET(Sheet1!$A$2,RANDBETWEEN(2,500),RANDBETWEEN(1,5),1,1))</f>
        <v>克拉丽莎</v>
      </c>
      <c r="AS964">
        <f>SUMPRODUCT(P964:AI964,Sheet2!$B$3:$U$3)</f>
        <v>27001</v>
      </c>
    </row>
    <row r="965" spans="1:45" x14ac:dyDescent="0.15">
      <c r="A965" s="18">
        <v>964</v>
      </c>
      <c r="B965" s="18" t="s">
        <v>2194</v>
      </c>
      <c r="C965" s="18">
        <f t="shared" si="165"/>
        <v>107</v>
      </c>
      <c r="D965" s="19">
        <f t="shared" si="166"/>
        <v>2</v>
      </c>
      <c r="E965" s="19">
        <f>VLOOKUP(MOD(A965,4),各职业基础配置!C$32:D$35,2,FALSE)</f>
        <v>1</v>
      </c>
      <c r="F965" s="19">
        <f>IF(A965&lt;900,INDEX(各职业基础配置!C$23:C$28,MOD(ROW(A965),4)+1),0)</f>
        <v>0</v>
      </c>
      <c r="G965" s="19">
        <f t="shared" si="167"/>
        <v>1</v>
      </c>
      <c r="H965" s="27">
        <f t="shared" si="168"/>
        <v>1</v>
      </c>
      <c r="I965" s="6" t="s">
        <v>164</v>
      </c>
      <c r="J965" s="23" t="str">
        <f>VLOOKUP(E965,各职业基础配置!$B$9:$C$12,2,FALSE)</f>
        <v>101|102|103|4201|105</v>
      </c>
      <c r="K965" s="18" t="str">
        <f>VLOOKUP(E965,各职业基础配置!$B$15:$C$18,2,FALSE)</f>
        <v>24|25|26|27</v>
      </c>
      <c r="L965" s="18" t="str">
        <f>VLOOKUP(E965,各职业基础配置!B:C,2,FALSE)</f>
        <v>[{24,1,1},{25,1,1},{26,1,1},{27,1,1},{1,1,1},{2,1,1},{3,1,1}]</v>
      </c>
      <c r="M965" s="18">
        <v>0</v>
      </c>
      <c r="N965" s="18">
        <f t="shared" si="169"/>
        <v>3</v>
      </c>
      <c r="O965" s="18">
        <f>SUMPRODUCT(P965:AI965,Sheet2!$B$3:$U$3)</f>
        <v>26976</v>
      </c>
      <c r="P965" s="18">
        <f>CEILING(INDEX([1]系统模型!$VD:$VD,MATCH(C965,[1]系统模型!$A:$A,0))*POWER(C965/220,3.8)-50+(1000-A965),1)</f>
        <v>168</v>
      </c>
      <c r="Q965" s="18">
        <f>CEILING(INDEX([1]系统模型!$VE:$VE,MATCH(C965,[1]系统模型!$A:$A,0))*POWER(C965/220,4),1)</f>
        <v>14</v>
      </c>
      <c r="R965" s="18">
        <f>INT(INDEX([1]系统模型!$VF:$VF,MATCH(C965,[1]系统模型!$A:$A,0))*MAX(POWER(C965/180,4),0.5))</f>
        <v>5426</v>
      </c>
      <c r="S965" s="5">
        <v>1000</v>
      </c>
      <c r="T965" s="25">
        <v>0</v>
      </c>
      <c r="U965" s="25">
        <v>0</v>
      </c>
      <c r="V965" s="25">
        <v>0</v>
      </c>
      <c r="W965" s="25">
        <v>0</v>
      </c>
      <c r="X965" s="25">
        <f t="shared" si="170"/>
        <v>271</v>
      </c>
      <c r="Y965" s="12">
        <v>0</v>
      </c>
      <c r="Z965" s="25">
        <v>100</v>
      </c>
      <c r="AA965" s="25">
        <v>150</v>
      </c>
      <c r="AB965" s="25">
        <v>0</v>
      </c>
      <c r="AC965" s="25">
        <v>0</v>
      </c>
      <c r="AD965" s="25">
        <v>0</v>
      </c>
      <c r="AE965" s="25">
        <f t="shared" si="171"/>
        <v>214</v>
      </c>
      <c r="AF965" s="25">
        <f t="shared" si="172"/>
        <v>214</v>
      </c>
      <c r="AG965" s="25">
        <v>0</v>
      </c>
      <c r="AH965" s="25">
        <f t="shared" si="173"/>
        <v>0</v>
      </c>
      <c r="AI965" s="25">
        <f t="shared" si="174"/>
        <v>2</v>
      </c>
      <c r="AJ965" s="25">
        <v>1</v>
      </c>
      <c r="AK965" s="25">
        <v>1000</v>
      </c>
      <c r="AL965" s="25">
        <v>100</v>
      </c>
      <c r="AM965" s="26">
        <v>10</v>
      </c>
      <c r="AN965" s="26">
        <v>10</v>
      </c>
      <c r="AO965" s="22" t="s">
        <v>2211</v>
      </c>
      <c r="AP965" s="26">
        <v>0</v>
      </c>
      <c r="AQ965" s="26">
        <f t="shared" si="175"/>
        <v>20</v>
      </c>
      <c r="AR965" s="18" t="str">
        <f ca="1">CONCATENATE(OFFSET(Sheet1!$A$2,RANDBETWEEN(2,500),0,1,1),OFFSET(Sheet1!$A$2,RANDBETWEEN(2,500),RANDBETWEEN(1,5),1,1))</f>
        <v>贝克</v>
      </c>
      <c r="AS965">
        <f>SUMPRODUCT(P965:AI965,Sheet2!$B$3:$U$3)</f>
        <v>26976</v>
      </c>
    </row>
    <row r="966" spans="1:45" x14ac:dyDescent="0.15">
      <c r="A966" s="18">
        <v>965</v>
      </c>
      <c r="B966" s="18" t="s">
        <v>1069</v>
      </c>
      <c r="C966" s="18">
        <f t="shared" si="165"/>
        <v>107</v>
      </c>
      <c r="D966" s="19">
        <f t="shared" si="166"/>
        <v>3</v>
      </c>
      <c r="E966" s="19">
        <f>VLOOKUP(MOD(A966,4),各职业基础配置!C$32:D$35,2,FALSE)</f>
        <v>3</v>
      </c>
      <c r="F966" s="19">
        <f>IF(A966&lt;900,INDEX(各职业基础配置!C$23:C$28,MOD(ROW(A966),4)+1),0)</f>
        <v>0</v>
      </c>
      <c r="G966" s="19">
        <f t="shared" si="167"/>
        <v>1</v>
      </c>
      <c r="H966" s="27">
        <f t="shared" si="168"/>
        <v>1</v>
      </c>
      <c r="I966" s="6" t="s">
        <v>164</v>
      </c>
      <c r="J966" s="23" t="str">
        <f>VLOOKUP(E966,各职业基础配置!$B$9:$C$12,2,FALSE)</f>
        <v>106|107|108|4201|110</v>
      </c>
      <c r="K966" s="18" t="str">
        <f>VLOOKUP(E966,各职业基础配置!$B$15:$C$18,2,FALSE)</f>
        <v>20|21|22|23</v>
      </c>
      <c r="L966" s="18" t="str">
        <f>VLOOKUP(E966,各职业基础配置!B:C,2,FALSE)</f>
        <v>[{20,1,1},{21,1,1},{22,1,1},{23,1,1},{4,1,1},{5,1,1},{6,1,1}]</v>
      </c>
      <c r="M966" s="18">
        <v>0</v>
      </c>
      <c r="N966" s="18">
        <f t="shared" si="169"/>
        <v>7</v>
      </c>
      <c r="O966" s="18">
        <f>SUMPRODUCT(P966:AI966,Sheet2!$B$3:$U$3)</f>
        <v>26951</v>
      </c>
      <c r="P966" s="18">
        <f>CEILING(INDEX([1]系统模型!$VD:$VD,MATCH(C966,[1]系统模型!$A:$A,0))*POWER(C966/220,3.8)-50+(1000-A966),1)</f>
        <v>167</v>
      </c>
      <c r="Q966" s="18">
        <f>CEILING(INDEX([1]系统模型!$VE:$VE,MATCH(C966,[1]系统模型!$A:$A,0))*POWER(C966/220,4),1)</f>
        <v>14</v>
      </c>
      <c r="R966" s="18">
        <f>INT(INDEX([1]系统模型!$VF:$VF,MATCH(C966,[1]系统模型!$A:$A,0))*MAX(POWER(C966/180,4),0.5))</f>
        <v>5426</v>
      </c>
      <c r="S966" s="5">
        <v>1000</v>
      </c>
      <c r="T966" s="25">
        <v>0</v>
      </c>
      <c r="U966" s="25">
        <v>0</v>
      </c>
      <c r="V966" s="25">
        <v>0</v>
      </c>
      <c r="W966" s="25">
        <v>0</v>
      </c>
      <c r="X966" s="25">
        <f t="shared" si="170"/>
        <v>271</v>
      </c>
      <c r="Y966" s="12">
        <v>0</v>
      </c>
      <c r="Z966" s="25">
        <v>100</v>
      </c>
      <c r="AA966" s="25">
        <v>150</v>
      </c>
      <c r="AB966" s="25">
        <v>0</v>
      </c>
      <c r="AC966" s="25">
        <v>0</v>
      </c>
      <c r="AD966" s="25">
        <v>0</v>
      </c>
      <c r="AE966" s="25">
        <f t="shared" si="171"/>
        <v>214</v>
      </c>
      <c r="AF966" s="25">
        <f t="shared" si="172"/>
        <v>214</v>
      </c>
      <c r="AG966" s="25">
        <v>0</v>
      </c>
      <c r="AH966" s="25">
        <f t="shared" si="173"/>
        <v>0</v>
      </c>
      <c r="AI966" s="25">
        <f t="shared" si="174"/>
        <v>2</v>
      </c>
      <c r="AJ966" s="25">
        <v>1</v>
      </c>
      <c r="AK966" s="25">
        <v>1000</v>
      </c>
      <c r="AL966" s="25">
        <v>100</v>
      </c>
      <c r="AM966" s="26">
        <v>10</v>
      </c>
      <c r="AN966" s="26">
        <v>10</v>
      </c>
      <c r="AO966" s="22" t="s">
        <v>2211</v>
      </c>
      <c r="AP966" s="26">
        <v>0</v>
      </c>
      <c r="AQ966" s="26">
        <f t="shared" si="175"/>
        <v>20</v>
      </c>
      <c r="AR966" s="18" t="str">
        <f ca="1">CONCATENATE(OFFSET(Sheet1!$A$2,RANDBETWEEN(2,500),0,1,1),OFFSET(Sheet1!$A$2,RANDBETWEEN(2,500),RANDBETWEEN(1,5),1,1))</f>
        <v>哈金斯演绎</v>
      </c>
      <c r="AS966">
        <f>SUMPRODUCT(P966:AI966,Sheet2!$B$3:$U$3)</f>
        <v>26951</v>
      </c>
    </row>
    <row r="967" spans="1:45" x14ac:dyDescent="0.15">
      <c r="A967" s="23">
        <v>966</v>
      </c>
      <c r="B967" s="18" t="s">
        <v>2195</v>
      </c>
      <c r="C967" s="18">
        <f t="shared" si="165"/>
        <v>107</v>
      </c>
      <c r="D967" s="19">
        <f t="shared" si="166"/>
        <v>2</v>
      </c>
      <c r="E967" s="19">
        <f>VLOOKUP(MOD(A967,4),各职业基础配置!C$32:D$35,2,FALSE)</f>
        <v>6</v>
      </c>
      <c r="F967" s="19">
        <f>IF(A967&lt;900,INDEX(各职业基础配置!C$23:C$28,MOD(ROW(A967),4)+1),0)</f>
        <v>0</v>
      </c>
      <c r="G967" s="19">
        <f t="shared" si="167"/>
        <v>1</v>
      </c>
      <c r="H967" s="27">
        <f t="shared" si="168"/>
        <v>1</v>
      </c>
      <c r="I967" s="6" t="s">
        <v>164</v>
      </c>
      <c r="J967" s="23" t="str">
        <f>VLOOKUP(E967,各职业基础配置!$B$9:$C$12,2,FALSE)</f>
        <v>111|112|113|4201|115</v>
      </c>
      <c r="K967" s="18" t="str">
        <f>VLOOKUP(E967,各职业基础配置!$B$15:$C$18,2,FALSE)</f>
        <v>32|33|34</v>
      </c>
      <c r="L967" s="18" t="str">
        <f>VLOOKUP(E967,各职业基础配置!B:C,2,FALSE)</f>
        <v>[{32,1,1},{33,1,1},{34,1,1},{35,1,1},{7,1,1},{8,1,1},{9,1,1}]</v>
      </c>
      <c r="M967" s="18">
        <v>0</v>
      </c>
      <c r="N967" s="18">
        <f t="shared" si="169"/>
        <v>7</v>
      </c>
      <c r="O967" s="18">
        <f>SUMPRODUCT(P967:AI967,Sheet2!$B$3:$U$3)</f>
        <v>26926</v>
      </c>
      <c r="P967" s="18">
        <f>CEILING(INDEX([1]系统模型!$VD:$VD,MATCH(C967,[1]系统模型!$A:$A,0))*POWER(C967/220,3.8)-50+(1000-A967),1)</f>
        <v>166</v>
      </c>
      <c r="Q967" s="18">
        <f>CEILING(INDEX([1]系统模型!$VE:$VE,MATCH(C967,[1]系统模型!$A:$A,0))*POWER(C967/220,4),1)</f>
        <v>14</v>
      </c>
      <c r="R967" s="18">
        <f>INT(INDEX([1]系统模型!$VF:$VF,MATCH(C967,[1]系统模型!$A:$A,0))*MAX(POWER(C967/180,4),0.5))</f>
        <v>5426</v>
      </c>
      <c r="S967" s="5">
        <v>1000</v>
      </c>
      <c r="T967" s="25">
        <v>0</v>
      </c>
      <c r="U967" s="25">
        <v>0</v>
      </c>
      <c r="V967" s="25">
        <v>0</v>
      </c>
      <c r="W967" s="25">
        <v>0</v>
      </c>
      <c r="X967" s="25">
        <f t="shared" si="170"/>
        <v>271</v>
      </c>
      <c r="Y967" s="12">
        <v>0</v>
      </c>
      <c r="Z967" s="25">
        <v>100</v>
      </c>
      <c r="AA967" s="25">
        <v>150</v>
      </c>
      <c r="AB967" s="25">
        <v>0</v>
      </c>
      <c r="AC967" s="25">
        <v>0</v>
      </c>
      <c r="AD967" s="25">
        <v>0</v>
      </c>
      <c r="AE967" s="25">
        <f t="shared" si="171"/>
        <v>214</v>
      </c>
      <c r="AF967" s="25">
        <f t="shared" si="172"/>
        <v>214</v>
      </c>
      <c r="AG967" s="25">
        <v>0</v>
      </c>
      <c r="AH967" s="25">
        <f t="shared" si="173"/>
        <v>0</v>
      </c>
      <c r="AI967" s="25">
        <f t="shared" si="174"/>
        <v>2</v>
      </c>
      <c r="AJ967" s="25">
        <v>1</v>
      </c>
      <c r="AK967" s="25">
        <v>1000</v>
      </c>
      <c r="AL967" s="25">
        <v>100</v>
      </c>
      <c r="AM967" s="26">
        <v>10</v>
      </c>
      <c r="AN967" s="26">
        <v>10</v>
      </c>
      <c r="AO967" s="22" t="s">
        <v>2211</v>
      </c>
      <c r="AP967" s="26">
        <v>0</v>
      </c>
      <c r="AQ967" s="26">
        <f t="shared" si="175"/>
        <v>20</v>
      </c>
      <c r="AR967" s="18" t="str">
        <f ca="1">CONCATENATE(OFFSET(Sheet1!$A$2,RANDBETWEEN(2,500),0,1,1),OFFSET(Sheet1!$A$2,RANDBETWEEN(2,500),RANDBETWEEN(1,5),1,1))</f>
        <v>芬恩</v>
      </c>
      <c r="AS967">
        <f>SUMPRODUCT(P967:AI967,Sheet2!$B$3:$U$3)</f>
        <v>26926</v>
      </c>
    </row>
    <row r="968" spans="1:45" x14ac:dyDescent="0.15">
      <c r="A968" s="18">
        <v>967</v>
      </c>
      <c r="B968" s="18" t="s">
        <v>868</v>
      </c>
      <c r="C968" s="18">
        <f t="shared" si="165"/>
        <v>106</v>
      </c>
      <c r="D968" s="19">
        <f t="shared" si="166"/>
        <v>3</v>
      </c>
      <c r="E968" s="19">
        <f>VLOOKUP(MOD(A968,4),各职业基础配置!C$32:D$35,2,FALSE)</f>
        <v>9</v>
      </c>
      <c r="F968" s="19">
        <f>IF(A968&lt;900,INDEX(各职业基础配置!C$23:C$28,MOD(ROW(A968),4)+1),0)</f>
        <v>0</v>
      </c>
      <c r="G968" s="19">
        <f t="shared" si="167"/>
        <v>1</v>
      </c>
      <c r="H968" s="27">
        <f t="shared" si="168"/>
        <v>1</v>
      </c>
      <c r="I968" s="6" t="s">
        <v>164</v>
      </c>
      <c r="J968" s="23" t="str">
        <f>VLOOKUP(E968,各职业基础配置!$B$9:$C$12,2,FALSE)</f>
        <v>116|117|118|4201|120</v>
      </c>
      <c r="K968" s="18" t="str">
        <f>VLOOKUP(E968,各职业基础配置!$B$15:$C$18,2,FALSE)</f>
        <v>28|29|30|31</v>
      </c>
      <c r="L968" s="18" t="str">
        <f>VLOOKUP(E968,各职业基础配置!B:C,2,FALSE)</f>
        <v>[{28,1,1},{29,1,1},{30,1,1},{31,1,1},{10,1,1},{11,1,1},{12,1,1}]</v>
      </c>
      <c r="M968" s="18">
        <v>0</v>
      </c>
      <c r="N968" s="18">
        <f t="shared" si="169"/>
        <v>3</v>
      </c>
      <c r="O968" s="18">
        <f>SUMPRODUCT(P968:AI968,Sheet2!$B$3:$U$3)</f>
        <v>26563</v>
      </c>
      <c r="P968" s="18">
        <f>CEILING(INDEX([1]系统模型!$VD:$VD,MATCH(C968,[1]系统模型!$A:$A,0))*POWER(C968/220,3.8)-50+(1000-A968),1)</f>
        <v>158</v>
      </c>
      <c r="Q968" s="18">
        <f>CEILING(INDEX([1]系统模型!$VE:$VE,MATCH(C968,[1]系统模型!$A:$A,0))*POWER(C968/220,4),1)</f>
        <v>14</v>
      </c>
      <c r="R968" s="18">
        <f>INT(INDEX([1]系统模型!$VF:$VF,MATCH(C968,[1]系统模型!$A:$A,0))*MAX(POWER(C968/180,4),0.5))</f>
        <v>5363</v>
      </c>
      <c r="S968" s="5">
        <v>1000</v>
      </c>
      <c r="T968" s="25">
        <v>0</v>
      </c>
      <c r="U968" s="25">
        <v>0</v>
      </c>
      <c r="V968" s="25">
        <v>0</v>
      </c>
      <c r="W968" s="25">
        <v>0</v>
      </c>
      <c r="X968" s="25">
        <f t="shared" si="170"/>
        <v>268</v>
      </c>
      <c r="Y968" s="12">
        <v>0</v>
      </c>
      <c r="Z968" s="25">
        <v>100</v>
      </c>
      <c r="AA968" s="25">
        <v>150</v>
      </c>
      <c r="AB968" s="25">
        <v>0</v>
      </c>
      <c r="AC968" s="25">
        <v>0</v>
      </c>
      <c r="AD968" s="25">
        <v>0</v>
      </c>
      <c r="AE968" s="25">
        <f t="shared" si="171"/>
        <v>212</v>
      </c>
      <c r="AF968" s="25">
        <f t="shared" si="172"/>
        <v>212</v>
      </c>
      <c r="AG968" s="25">
        <v>0</v>
      </c>
      <c r="AH968" s="25">
        <f t="shared" si="173"/>
        <v>0</v>
      </c>
      <c r="AI968" s="25">
        <f t="shared" si="174"/>
        <v>2</v>
      </c>
      <c r="AJ968" s="25">
        <v>1</v>
      </c>
      <c r="AK968" s="25">
        <v>1000</v>
      </c>
      <c r="AL968" s="25">
        <v>100</v>
      </c>
      <c r="AM968" s="26">
        <v>10</v>
      </c>
      <c r="AN968" s="26">
        <v>10</v>
      </c>
      <c r="AO968" s="22" t="s">
        <v>2211</v>
      </c>
      <c r="AP968" s="26">
        <v>0</v>
      </c>
      <c r="AQ968" s="26">
        <f t="shared" si="175"/>
        <v>20</v>
      </c>
      <c r="AR968" s="18" t="str">
        <f ca="1">CONCATENATE(OFFSET(Sheet1!$A$2,RANDBETWEEN(2,500),0,1,1),OFFSET(Sheet1!$A$2,RANDBETWEEN(2,500),RANDBETWEEN(1,5),1,1))</f>
        <v>娜诺维雅</v>
      </c>
      <c r="AS968">
        <f>SUMPRODUCT(P968:AI968,Sheet2!$B$3:$U$3)</f>
        <v>26563</v>
      </c>
    </row>
    <row r="969" spans="1:45" x14ac:dyDescent="0.15">
      <c r="A969" s="18">
        <v>968</v>
      </c>
      <c r="B969" s="18" t="s">
        <v>2196</v>
      </c>
      <c r="C969" s="18">
        <f t="shared" si="165"/>
        <v>106</v>
      </c>
      <c r="D969" s="19">
        <f t="shared" si="166"/>
        <v>2</v>
      </c>
      <c r="E969" s="19">
        <f>VLOOKUP(MOD(A969,4),各职业基础配置!C$32:D$35,2,FALSE)</f>
        <v>1</v>
      </c>
      <c r="F969" s="19">
        <f>IF(A969&lt;900,INDEX(各职业基础配置!C$23:C$28,MOD(ROW(A969),4)+1),0)</f>
        <v>0</v>
      </c>
      <c r="G969" s="19">
        <f t="shared" si="167"/>
        <v>1</v>
      </c>
      <c r="H969" s="27">
        <f t="shared" si="168"/>
        <v>1</v>
      </c>
      <c r="I969" s="6" t="s">
        <v>164</v>
      </c>
      <c r="J969" s="23" t="str">
        <f>VLOOKUP(E969,各职业基础配置!$B$9:$C$12,2,FALSE)</f>
        <v>101|102|103|4201|105</v>
      </c>
      <c r="K969" s="18" t="str">
        <f>VLOOKUP(E969,各职业基础配置!$B$15:$C$18,2,FALSE)</f>
        <v>24|25|26|27</v>
      </c>
      <c r="L969" s="18" t="str">
        <f>VLOOKUP(E969,各职业基础配置!B:C,2,FALSE)</f>
        <v>[{24,1,1},{25,1,1},{26,1,1},{27,1,1},{1,1,1},{2,1,1},{3,1,1}]</v>
      </c>
      <c r="M969" s="18">
        <v>0</v>
      </c>
      <c r="N969" s="18">
        <f t="shared" si="169"/>
        <v>3</v>
      </c>
      <c r="O969" s="18">
        <f>SUMPRODUCT(P969:AI969,Sheet2!$B$3:$U$3)</f>
        <v>26538</v>
      </c>
      <c r="P969" s="18">
        <f>CEILING(INDEX([1]系统模型!$VD:$VD,MATCH(C969,[1]系统模型!$A:$A,0))*POWER(C969/220,3.8)-50+(1000-A969),1)</f>
        <v>157</v>
      </c>
      <c r="Q969" s="18">
        <f>CEILING(INDEX([1]系统模型!$VE:$VE,MATCH(C969,[1]系统模型!$A:$A,0))*POWER(C969/220,4),1)</f>
        <v>14</v>
      </c>
      <c r="R969" s="18">
        <f>INT(INDEX([1]系统模型!$VF:$VF,MATCH(C969,[1]系统模型!$A:$A,0))*MAX(POWER(C969/180,4),0.5))</f>
        <v>5363</v>
      </c>
      <c r="S969" s="5">
        <v>1000</v>
      </c>
      <c r="T969" s="25">
        <v>0</v>
      </c>
      <c r="U969" s="25">
        <v>0</v>
      </c>
      <c r="V969" s="25">
        <v>0</v>
      </c>
      <c r="W969" s="25">
        <v>0</v>
      </c>
      <c r="X969" s="25">
        <f t="shared" si="170"/>
        <v>268</v>
      </c>
      <c r="Y969" s="12">
        <v>0</v>
      </c>
      <c r="Z969" s="25">
        <v>100</v>
      </c>
      <c r="AA969" s="25">
        <v>150</v>
      </c>
      <c r="AB969" s="25">
        <v>0</v>
      </c>
      <c r="AC969" s="25">
        <v>0</v>
      </c>
      <c r="AD969" s="25">
        <v>0</v>
      </c>
      <c r="AE969" s="25">
        <f t="shared" si="171"/>
        <v>212</v>
      </c>
      <c r="AF969" s="25">
        <f t="shared" si="172"/>
        <v>212</v>
      </c>
      <c r="AG969" s="25">
        <v>0</v>
      </c>
      <c r="AH969" s="25">
        <f t="shared" si="173"/>
        <v>0</v>
      </c>
      <c r="AI969" s="25">
        <f t="shared" si="174"/>
        <v>2</v>
      </c>
      <c r="AJ969" s="25">
        <v>1</v>
      </c>
      <c r="AK969" s="25">
        <v>1000</v>
      </c>
      <c r="AL969" s="25">
        <v>100</v>
      </c>
      <c r="AM969" s="26">
        <v>10</v>
      </c>
      <c r="AN969" s="26">
        <v>10</v>
      </c>
      <c r="AO969" s="22" t="s">
        <v>2211</v>
      </c>
      <c r="AP969" s="26">
        <v>0</v>
      </c>
      <c r="AQ969" s="26">
        <f t="shared" si="175"/>
        <v>20</v>
      </c>
      <c r="AR969" s="18" t="str">
        <f ca="1">CONCATENATE(OFFSET(Sheet1!$A$2,RANDBETWEEN(2,500),0,1,1),OFFSET(Sheet1!$A$2,RANDBETWEEN(2,500),RANDBETWEEN(1,5),1,1))</f>
        <v>巴纳德乔</v>
      </c>
      <c r="AS969">
        <f>SUMPRODUCT(P969:AI969,Sheet2!$B$3:$U$3)</f>
        <v>26538</v>
      </c>
    </row>
    <row r="970" spans="1:45" x14ac:dyDescent="0.15">
      <c r="A970" s="23">
        <v>969</v>
      </c>
      <c r="B970" s="18" t="s">
        <v>944</v>
      </c>
      <c r="C970" s="18">
        <f t="shared" si="165"/>
        <v>106</v>
      </c>
      <c r="D970" s="19">
        <f t="shared" si="166"/>
        <v>3</v>
      </c>
      <c r="E970" s="19">
        <f>VLOOKUP(MOD(A970,4),各职业基础配置!C$32:D$35,2,FALSE)</f>
        <v>3</v>
      </c>
      <c r="F970" s="19">
        <f>IF(A970&lt;900,INDEX(各职业基础配置!C$23:C$28,MOD(ROW(A970),4)+1),0)</f>
        <v>0</v>
      </c>
      <c r="G970" s="19">
        <f t="shared" si="167"/>
        <v>1</v>
      </c>
      <c r="H970" s="27">
        <f t="shared" si="168"/>
        <v>1</v>
      </c>
      <c r="I970" s="6" t="s">
        <v>164</v>
      </c>
      <c r="J970" s="23" t="str">
        <f>VLOOKUP(E970,各职业基础配置!$B$9:$C$12,2,FALSE)</f>
        <v>106|107|108|4201|110</v>
      </c>
      <c r="K970" s="18" t="str">
        <f>VLOOKUP(E970,各职业基础配置!$B$15:$C$18,2,FALSE)</f>
        <v>20|21|22|23</v>
      </c>
      <c r="L970" s="18" t="str">
        <f>VLOOKUP(E970,各职业基础配置!B:C,2,FALSE)</f>
        <v>[{20,1,1},{21,1,1},{22,1,1},{23,1,1},{4,1,1},{5,1,1},{6,1,1}]</v>
      </c>
      <c r="M970" s="18">
        <v>0</v>
      </c>
      <c r="N970" s="18">
        <f t="shared" si="169"/>
        <v>7</v>
      </c>
      <c r="O970" s="18">
        <f>SUMPRODUCT(P970:AI970,Sheet2!$B$3:$U$3)</f>
        <v>26513</v>
      </c>
      <c r="P970" s="18">
        <f>CEILING(INDEX([1]系统模型!$VD:$VD,MATCH(C970,[1]系统模型!$A:$A,0))*POWER(C970/220,3.8)-50+(1000-A970),1)</f>
        <v>156</v>
      </c>
      <c r="Q970" s="18">
        <f>CEILING(INDEX([1]系统模型!$VE:$VE,MATCH(C970,[1]系统模型!$A:$A,0))*POWER(C970/220,4),1)</f>
        <v>14</v>
      </c>
      <c r="R970" s="18">
        <f>INT(INDEX([1]系统模型!$VF:$VF,MATCH(C970,[1]系统模型!$A:$A,0))*MAX(POWER(C970/180,4),0.5))</f>
        <v>5363</v>
      </c>
      <c r="S970" s="5">
        <v>1000</v>
      </c>
      <c r="T970" s="25">
        <v>0</v>
      </c>
      <c r="U970" s="25">
        <v>0</v>
      </c>
      <c r="V970" s="25">
        <v>0</v>
      </c>
      <c r="W970" s="25">
        <v>0</v>
      </c>
      <c r="X970" s="25">
        <f t="shared" si="170"/>
        <v>268</v>
      </c>
      <c r="Y970" s="12">
        <v>0</v>
      </c>
      <c r="Z970" s="25">
        <v>100</v>
      </c>
      <c r="AA970" s="25">
        <v>150</v>
      </c>
      <c r="AB970" s="25">
        <v>0</v>
      </c>
      <c r="AC970" s="25">
        <v>0</v>
      </c>
      <c r="AD970" s="25">
        <v>0</v>
      </c>
      <c r="AE970" s="25">
        <f t="shared" si="171"/>
        <v>212</v>
      </c>
      <c r="AF970" s="25">
        <f t="shared" si="172"/>
        <v>212</v>
      </c>
      <c r="AG970" s="25">
        <v>0</v>
      </c>
      <c r="AH970" s="25">
        <f t="shared" si="173"/>
        <v>0</v>
      </c>
      <c r="AI970" s="25">
        <f t="shared" si="174"/>
        <v>2</v>
      </c>
      <c r="AJ970" s="25">
        <v>1</v>
      </c>
      <c r="AK970" s="25">
        <v>1000</v>
      </c>
      <c r="AL970" s="25">
        <v>100</v>
      </c>
      <c r="AM970" s="26">
        <v>10</v>
      </c>
      <c r="AN970" s="26">
        <v>10</v>
      </c>
      <c r="AO970" s="22" t="s">
        <v>2211</v>
      </c>
      <c r="AP970" s="26">
        <v>0</v>
      </c>
      <c r="AQ970" s="26">
        <f t="shared" si="175"/>
        <v>20</v>
      </c>
      <c r="AR970" s="18" t="str">
        <f ca="1">CONCATENATE(OFFSET(Sheet1!$A$2,RANDBETWEEN(2,500),0,1,1),OFFSET(Sheet1!$A$2,RANDBETWEEN(2,500),RANDBETWEEN(1,5),1,1))</f>
        <v>迪肯斯梅莉</v>
      </c>
      <c r="AS970">
        <f>SUMPRODUCT(P970:AI970,Sheet2!$B$3:$U$3)</f>
        <v>26513</v>
      </c>
    </row>
    <row r="971" spans="1:45" x14ac:dyDescent="0.15">
      <c r="A971" s="18">
        <v>970</v>
      </c>
      <c r="B971" s="18" t="s">
        <v>2197</v>
      </c>
      <c r="C971" s="18">
        <f t="shared" si="165"/>
        <v>106</v>
      </c>
      <c r="D971" s="19">
        <f t="shared" si="166"/>
        <v>2</v>
      </c>
      <c r="E971" s="19">
        <f>VLOOKUP(MOD(A971,4),各职业基础配置!C$32:D$35,2,FALSE)</f>
        <v>6</v>
      </c>
      <c r="F971" s="19">
        <f>IF(A971&lt;900,INDEX(各职业基础配置!C$23:C$28,MOD(ROW(A971),4)+1),0)</f>
        <v>0</v>
      </c>
      <c r="G971" s="19">
        <f t="shared" si="167"/>
        <v>1</v>
      </c>
      <c r="H971" s="27">
        <f t="shared" si="168"/>
        <v>1</v>
      </c>
      <c r="I971" s="6" t="s">
        <v>164</v>
      </c>
      <c r="J971" s="23" t="str">
        <f>VLOOKUP(E971,各职业基础配置!$B$9:$C$12,2,FALSE)</f>
        <v>111|112|113|4201|115</v>
      </c>
      <c r="K971" s="18" t="str">
        <f>VLOOKUP(E971,各职业基础配置!$B$15:$C$18,2,FALSE)</f>
        <v>32|33|34</v>
      </c>
      <c r="L971" s="18" t="str">
        <f>VLOOKUP(E971,各职业基础配置!B:C,2,FALSE)</f>
        <v>[{32,1,1},{33,1,1},{34,1,1},{35,1,1},{7,1,1},{8,1,1},{9,1,1}]</v>
      </c>
      <c r="M971" s="18">
        <v>0</v>
      </c>
      <c r="N971" s="18">
        <f t="shared" si="169"/>
        <v>7</v>
      </c>
      <c r="O971" s="18">
        <f>SUMPRODUCT(P971:AI971,Sheet2!$B$3:$U$3)</f>
        <v>26488</v>
      </c>
      <c r="P971" s="18">
        <f>CEILING(INDEX([1]系统模型!$VD:$VD,MATCH(C971,[1]系统模型!$A:$A,0))*POWER(C971/220,3.8)-50+(1000-A971),1)</f>
        <v>155</v>
      </c>
      <c r="Q971" s="18">
        <f>CEILING(INDEX([1]系统模型!$VE:$VE,MATCH(C971,[1]系统模型!$A:$A,0))*POWER(C971/220,4),1)</f>
        <v>14</v>
      </c>
      <c r="R971" s="18">
        <f>INT(INDEX([1]系统模型!$VF:$VF,MATCH(C971,[1]系统模型!$A:$A,0))*MAX(POWER(C971/180,4),0.5))</f>
        <v>5363</v>
      </c>
      <c r="S971" s="5">
        <v>1000</v>
      </c>
      <c r="T971" s="25">
        <v>0</v>
      </c>
      <c r="U971" s="25">
        <v>0</v>
      </c>
      <c r="V971" s="25">
        <v>0</v>
      </c>
      <c r="W971" s="25">
        <v>0</v>
      </c>
      <c r="X971" s="25">
        <f t="shared" si="170"/>
        <v>268</v>
      </c>
      <c r="Y971" s="12">
        <v>0</v>
      </c>
      <c r="Z971" s="25">
        <v>100</v>
      </c>
      <c r="AA971" s="25">
        <v>150</v>
      </c>
      <c r="AB971" s="25">
        <v>0</v>
      </c>
      <c r="AC971" s="25">
        <v>0</v>
      </c>
      <c r="AD971" s="25">
        <v>0</v>
      </c>
      <c r="AE971" s="25">
        <f t="shared" si="171"/>
        <v>212</v>
      </c>
      <c r="AF971" s="25">
        <f t="shared" si="172"/>
        <v>212</v>
      </c>
      <c r="AG971" s="25">
        <v>0</v>
      </c>
      <c r="AH971" s="25">
        <f t="shared" si="173"/>
        <v>0</v>
      </c>
      <c r="AI971" s="25">
        <f t="shared" si="174"/>
        <v>2</v>
      </c>
      <c r="AJ971" s="25">
        <v>1</v>
      </c>
      <c r="AK971" s="25">
        <v>1000</v>
      </c>
      <c r="AL971" s="25">
        <v>100</v>
      </c>
      <c r="AM971" s="26">
        <v>10</v>
      </c>
      <c r="AN971" s="26">
        <v>10</v>
      </c>
      <c r="AO971" s="22" t="s">
        <v>2211</v>
      </c>
      <c r="AP971" s="26">
        <v>0</v>
      </c>
      <c r="AQ971" s="26">
        <f t="shared" si="175"/>
        <v>20</v>
      </c>
      <c r="AR971" s="18" t="str">
        <f ca="1">CONCATENATE(OFFSET(Sheet1!$A$2,RANDBETWEEN(2,500),0,1,1),OFFSET(Sheet1!$A$2,RANDBETWEEN(2,500),RANDBETWEEN(1,5),1,1))</f>
        <v>吉本波比</v>
      </c>
      <c r="AS971">
        <f>SUMPRODUCT(P971:AI971,Sheet2!$B$3:$U$3)</f>
        <v>26488</v>
      </c>
    </row>
    <row r="972" spans="1:45" x14ac:dyDescent="0.15">
      <c r="A972" s="18">
        <v>971</v>
      </c>
      <c r="B972" s="18" t="s">
        <v>1121</v>
      </c>
      <c r="C972" s="18">
        <f t="shared" si="165"/>
        <v>106</v>
      </c>
      <c r="D972" s="19">
        <f t="shared" si="166"/>
        <v>3</v>
      </c>
      <c r="E972" s="19">
        <f>VLOOKUP(MOD(A972,4),各职业基础配置!C$32:D$35,2,FALSE)</f>
        <v>9</v>
      </c>
      <c r="F972" s="19">
        <f>IF(A972&lt;900,INDEX(各职业基础配置!C$23:C$28,MOD(ROW(A972),4)+1),0)</f>
        <v>0</v>
      </c>
      <c r="G972" s="19">
        <f t="shared" si="167"/>
        <v>1</v>
      </c>
      <c r="H972" s="27">
        <f t="shared" si="168"/>
        <v>1</v>
      </c>
      <c r="I972" s="6" t="s">
        <v>164</v>
      </c>
      <c r="J972" s="23" t="str">
        <f>VLOOKUP(E972,各职业基础配置!$B$9:$C$12,2,FALSE)</f>
        <v>116|117|118|4201|120</v>
      </c>
      <c r="K972" s="18" t="str">
        <f>VLOOKUP(E972,各职业基础配置!$B$15:$C$18,2,FALSE)</f>
        <v>28|29|30|31</v>
      </c>
      <c r="L972" s="18" t="str">
        <f>VLOOKUP(E972,各职业基础配置!B:C,2,FALSE)</f>
        <v>[{28,1,1},{29,1,1},{30,1,1},{31,1,1},{10,1,1},{11,1,1},{12,1,1}]</v>
      </c>
      <c r="M972" s="18">
        <v>0</v>
      </c>
      <c r="N972" s="18">
        <f t="shared" si="169"/>
        <v>3</v>
      </c>
      <c r="O972" s="18">
        <f>SUMPRODUCT(P972:AI972,Sheet2!$B$3:$U$3)</f>
        <v>26463</v>
      </c>
      <c r="P972" s="18">
        <f>CEILING(INDEX([1]系统模型!$VD:$VD,MATCH(C972,[1]系统模型!$A:$A,0))*POWER(C972/220,3.8)-50+(1000-A972),1)</f>
        <v>154</v>
      </c>
      <c r="Q972" s="18">
        <f>CEILING(INDEX([1]系统模型!$VE:$VE,MATCH(C972,[1]系统模型!$A:$A,0))*POWER(C972/220,4),1)</f>
        <v>14</v>
      </c>
      <c r="R972" s="18">
        <f>INT(INDEX([1]系统模型!$VF:$VF,MATCH(C972,[1]系统模型!$A:$A,0))*MAX(POWER(C972/180,4),0.5))</f>
        <v>5363</v>
      </c>
      <c r="S972" s="5">
        <v>1000</v>
      </c>
      <c r="T972" s="25">
        <v>0</v>
      </c>
      <c r="U972" s="25">
        <v>0</v>
      </c>
      <c r="V972" s="25">
        <v>0</v>
      </c>
      <c r="W972" s="25">
        <v>0</v>
      </c>
      <c r="X972" s="25">
        <f t="shared" si="170"/>
        <v>268</v>
      </c>
      <c r="Y972" s="12">
        <v>0</v>
      </c>
      <c r="Z972" s="25">
        <v>100</v>
      </c>
      <c r="AA972" s="25">
        <v>150</v>
      </c>
      <c r="AB972" s="25">
        <v>0</v>
      </c>
      <c r="AC972" s="25">
        <v>0</v>
      </c>
      <c r="AD972" s="25">
        <v>0</v>
      </c>
      <c r="AE972" s="25">
        <f t="shared" si="171"/>
        <v>212</v>
      </c>
      <c r="AF972" s="25">
        <f t="shared" si="172"/>
        <v>212</v>
      </c>
      <c r="AG972" s="25">
        <v>0</v>
      </c>
      <c r="AH972" s="25">
        <f t="shared" si="173"/>
        <v>0</v>
      </c>
      <c r="AI972" s="25">
        <f t="shared" si="174"/>
        <v>2</v>
      </c>
      <c r="AJ972" s="25">
        <v>1</v>
      </c>
      <c r="AK972" s="25">
        <v>1000</v>
      </c>
      <c r="AL972" s="25">
        <v>100</v>
      </c>
      <c r="AM972" s="26">
        <v>10</v>
      </c>
      <c r="AN972" s="26">
        <v>10</v>
      </c>
      <c r="AO972" s="22" t="s">
        <v>2211</v>
      </c>
      <c r="AP972" s="26">
        <v>0</v>
      </c>
      <c r="AQ972" s="26">
        <f t="shared" si="175"/>
        <v>10</v>
      </c>
      <c r="AR972" s="18" t="str">
        <f ca="1">CONCATENATE(OFFSET(Sheet1!$A$2,RANDBETWEEN(2,500),0,1,1),OFFSET(Sheet1!$A$2,RANDBETWEEN(2,500),RANDBETWEEN(1,5),1,1))</f>
        <v>杰克</v>
      </c>
      <c r="AS972">
        <f>SUMPRODUCT(P972:AI972,Sheet2!$B$3:$U$3)</f>
        <v>26463</v>
      </c>
    </row>
    <row r="973" spans="1:45" x14ac:dyDescent="0.15">
      <c r="A973" s="23">
        <v>972</v>
      </c>
      <c r="B973" s="18" t="s">
        <v>1375</v>
      </c>
      <c r="C973" s="18">
        <f t="shared" si="165"/>
        <v>106</v>
      </c>
      <c r="D973" s="19">
        <f t="shared" si="166"/>
        <v>2</v>
      </c>
      <c r="E973" s="19">
        <f>VLOOKUP(MOD(A973,4),各职业基础配置!C$32:D$35,2,FALSE)</f>
        <v>1</v>
      </c>
      <c r="F973" s="19">
        <f>IF(A973&lt;900,INDEX(各职业基础配置!C$23:C$28,MOD(ROW(A973),4)+1),0)</f>
        <v>0</v>
      </c>
      <c r="G973" s="19">
        <f t="shared" si="167"/>
        <v>1</v>
      </c>
      <c r="H973" s="27">
        <f t="shared" si="168"/>
        <v>1</v>
      </c>
      <c r="I973" s="6" t="s">
        <v>164</v>
      </c>
      <c r="J973" s="23" t="str">
        <f>VLOOKUP(E973,各职业基础配置!$B$9:$C$12,2,FALSE)</f>
        <v>101|102|103|4201|105</v>
      </c>
      <c r="K973" s="18" t="str">
        <f>VLOOKUP(E973,各职业基础配置!$B$15:$C$18,2,FALSE)</f>
        <v>24|25|26|27</v>
      </c>
      <c r="L973" s="18" t="str">
        <f>VLOOKUP(E973,各职业基础配置!B:C,2,FALSE)</f>
        <v>[{24,1,1},{25,1,1},{26,1,1},{27,1,1},{1,1,1},{2,1,1},{3,1,1}]</v>
      </c>
      <c r="M973" s="18">
        <v>0</v>
      </c>
      <c r="N973" s="18">
        <f t="shared" si="169"/>
        <v>3</v>
      </c>
      <c r="O973" s="18">
        <f>SUMPRODUCT(P973:AI973,Sheet2!$B$3:$U$3)</f>
        <v>26438</v>
      </c>
      <c r="P973" s="18">
        <f>CEILING(INDEX([1]系统模型!$VD:$VD,MATCH(C973,[1]系统模型!$A:$A,0))*POWER(C973/220,3.8)-50+(1000-A973),1)</f>
        <v>153</v>
      </c>
      <c r="Q973" s="18">
        <f>CEILING(INDEX([1]系统模型!$VE:$VE,MATCH(C973,[1]系统模型!$A:$A,0))*POWER(C973/220,4),1)</f>
        <v>14</v>
      </c>
      <c r="R973" s="18">
        <f>INT(INDEX([1]系统模型!$VF:$VF,MATCH(C973,[1]系统模型!$A:$A,0))*MAX(POWER(C973/180,4),0.5))</f>
        <v>5363</v>
      </c>
      <c r="S973" s="5">
        <v>1000</v>
      </c>
      <c r="T973" s="25">
        <v>0</v>
      </c>
      <c r="U973" s="25">
        <v>0</v>
      </c>
      <c r="V973" s="25">
        <v>0</v>
      </c>
      <c r="W973" s="25">
        <v>0</v>
      </c>
      <c r="X973" s="25">
        <f t="shared" si="170"/>
        <v>268</v>
      </c>
      <c r="Y973" s="12">
        <v>0</v>
      </c>
      <c r="Z973" s="25">
        <v>100</v>
      </c>
      <c r="AA973" s="25">
        <v>150</v>
      </c>
      <c r="AB973" s="25">
        <v>0</v>
      </c>
      <c r="AC973" s="25">
        <v>0</v>
      </c>
      <c r="AD973" s="25">
        <v>0</v>
      </c>
      <c r="AE973" s="25">
        <f t="shared" si="171"/>
        <v>212</v>
      </c>
      <c r="AF973" s="25">
        <f t="shared" si="172"/>
        <v>212</v>
      </c>
      <c r="AG973" s="25">
        <v>0</v>
      </c>
      <c r="AH973" s="25">
        <f t="shared" si="173"/>
        <v>0</v>
      </c>
      <c r="AI973" s="25">
        <f t="shared" si="174"/>
        <v>2</v>
      </c>
      <c r="AJ973" s="25">
        <v>1</v>
      </c>
      <c r="AK973" s="25">
        <v>1000</v>
      </c>
      <c r="AL973" s="25">
        <v>100</v>
      </c>
      <c r="AM973" s="26">
        <v>10</v>
      </c>
      <c r="AN973" s="26">
        <v>10</v>
      </c>
      <c r="AO973" s="22" t="s">
        <v>2211</v>
      </c>
      <c r="AP973" s="26">
        <v>0</v>
      </c>
      <c r="AQ973" s="26">
        <f t="shared" si="175"/>
        <v>10</v>
      </c>
      <c r="AR973" s="18" t="str">
        <f ca="1">CONCATENATE(OFFSET(Sheet1!$A$2,RANDBETWEEN(2,500),0,1,1),OFFSET(Sheet1!$A$2,RANDBETWEEN(2,500),RANDBETWEEN(1,5),1,1))</f>
        <v>勃特勒</v>
      </c>
      <c r="AS973">
        <f>SUMPRODUCT(P973:AI973,Sheet2!$B$3:$U$3)</f>
        <v>26438</v>
      </c>
    </row>
    <row r="974" spans="1:45" x14ac:dyDescent="0.15">
      <c r="A974" s="18">
        <v>973</v>
      </c>
      <c r="B974" s="18" t="s">
        <v>1082</v>
      </c>
      <c r="C974" s="18">
        <f t="shared" si="165"/>
        <v>105</v>
      </c>
      <c r="D974" s="19">
        <f t="shared" si="166"/>
        <v>3</v>
      </c>
      <c r="E974" s="19">
        <f>VLOOKUP(MOD(A974,4),各职业基础配置!C$32:D$35,2,FALSE)</f>
        <v>3</v>
      </c>
      <c r="F974" s="19">
        <f>IF(A974&lt;900,INDEX(各职业基础配置!C$23:C$28,MOD(ROW(A974),4)+1),0)</f>
        <v>0</v>
      </c>
      <c r="G974" s="19">
        <f t="shared" si="167"/>
        <v>1</v>
      </c>
      <c r="H974" s="27">
        <f t="shared" si="168"/>
        <v>1</v>
      </c>
      <c r="I974" s="6" t="s">
        <v>164</v>
      </c>
      <c r="J974" s="23" t="str">
        <f>VLOOKUP(E974,各职业基础配置!$B$9:$C$12,2,FALSE)</f>
        <v>106|107|108|4201|110</v>
      </c>
      <c r="K974" s="18" t="str">
        <f>VLOOKUP(E974,各职业基础配置!$B$15:$C$18,2,FALSE)</f>
        <v>20|21|22|23</v>
      </c>
      <c r="L974" s="18" t="str">
        <f>VLOOKUP(E974,各职业基础配置!B:C,2,FALSE)</f>
        <v>[{20,1,1},{21,1,1},{22,1,1},{23,1,1},{4,1,1},{5,1,1},{6,1,1}]</v>
      </c>
      <c r="M974" s="18">
        <v>0</v>
      </c>
      <c r="N974" s="18">
        <f t="shared" si="169"/>
        <v>7</v>
      </c>
      <c r="O974" s="18">
        <f>SUMPRODUCT(P974:AI974,Sheet2!$B$3:$U$3)</f>
        <v>26001</v>
      </c>
      <c r="P974" s="18">
        <f>CEILING(INDEX([1]系统模型!$VD:$VD,MATCH(C974,[1]系统模型!$A:$A,0))*POWER(C974/220,3.8)-50+(1000-A974),1)</f>
        <v>144</v>
      </c>
      <c r="Q974" s="18">
        <f>CEILING(INDEX([1]系统模型!$VE:$VE,MATCH(C974,[1]系统模型!$A:$A,0))*POWER(C974/220,4),1)</f>
        <v>13</v>
      </c>
      <c r="R974" s="18">
        <f>INT(INDEX([1]系统模型!$VF:$VF,MATCH(C974,[1]系统模型!$A:$A,0))*MAX(POWER(C974/180,4),0.5))</f>
        <v>5301</v>
      </c>
      <c r="S974" s="5">
        <v>1000</v>
      </c>
      <c r="T974" s="25">
        <v>0</v>
      </c>
      <c r="U974" s="25">
        <v>0</v>
      </c>
      <c r="V974" s="25">
        <v>0</v>
      </c>
      <c r="W974" s="25">
        <v>0</v>
      </c>
      <c r="X974" s="25">
        <f t="shared" si="170"/>
        <v>265</v>
      </c>
      <c r="Y974" s="12">
        <v>0</v>
      </c>
      <c r="Z974" s="25">
        <v>100</v>
      </c>
      <c r="AA974" s="25">
        <v>150</v>
      </c>
      <c r="AB974" s="25">
        <v>0</v>
      </c>
      <c r="AC974" s="25">
        <v>0</v>
      </c>
      <c r="AD974" s="25">
        <v>0</v>
      </c>
      <c r="AE974" s="25">
        <f t="shared" si="171"/>
        <v>210</v>
      </c>
      <c r="AF974" s="25">
        <f t="shared" si="172"/>
        <v>210</v>
      </c>
      <c r="AG974" s="25">
        <v>0</v>
      </c>
      <c r="AH974" s="25">
        <f t="shared" si="173"/>
        <v>0</v>
      </c>
      <c r="AI974" s="25">
        <f t="shared" si="174"/>
        <v>1</v>
      </c>
      <c r="AJ974" s="25">
        <v>1</v>
      </c>
      <c r="AK974" s="25">
        <v>1000</v>
      </c>
      <c r="AL974" s="25">
        <v>100</v>
      </c>
      <c r="AM974" s="26">
        <v>10</v>
      </c>
      <c r="AN974" s="26">
        <v>10</v>
      </c>
      <c r="AO974" s="22" t="s">
        <v>2211</v>
      </c>
      <c r="AP974" s="26">
        <v>0</v>
      </c>
      <c r="AQ974" s="26">
        <f t="shared" si="175"/>
        <v>10</v>
      </c>
      <c r="AR974" s="18" t="str">
        <f ca="1">CONCATENATE(OFFSET(Sheet1!$A$2,RANDBETWEEN(2,500),0,1,1),OFFSET(Sheet1!$A$2,RANDBETWEEN(2,500),RANDBETWEEN(1,5),1,1))</f>
        <v>琼斯</v>
      </c>
      <c r="AS974">
        <f>SUMPRODUCT(P974:AI974,Sheet2!$B$3:$U$3)</f>
        <v>26001</v>
      </c>
    </row>
    <row r="975" spans="1:45" x14ac:dyDescent="0.15">
      <c r="A975" s="18">
        <v>974</v>
      </c>
      <c r="B975" s="18" t="s">
        <v>1027</v>
      </c>
      <c r="C975" s="18">
        <f t="shared" si="165"/>
        <v>105</v>
      </c>
      <c r="D975" s="19">
        <f t="shared" si="166"/>
        <v>2</v>
      </c>
      <c r="E975" s="19">
        <f>VLOOKUP(MOD(A975,4),各职业基础配置!C$32:D$35,2,FALSE)</f>
        <v>6</v>
      </c>
      <c r="F975" s="19">
        <f>IF(A975&lt;900,INDEX(各职业基础配置!C$23:C$28,MOD(ROW(A975),4)+1),0)</f>
        <v>0</v>
      </c>
      <c r="G975" s="19">
        <f t="shared" si="167"/>
        <v>1</v>
      </c>
      <c r="H975" s="27">
        <f t="shared" si="168"/>
        <v>1</v>
      </c>
      <c r="I975" s="6" t="s">
        <v>164</v>
      </c>
      <c r="J975" s="23" t="str">
        <f>VLOOKUP(E975,各职业基础配置!$B$9:$C$12,2,FALSE)</f>
        <v>111|112|113|4201|115</v>
      </c>
      <c r="K975" s="18" t="str">
        <f>VLOOKUP(E975,各职业基础配置!$B$15:$C$18,2,FALSE)</f>
        <v>32|33|34</v>
      </c>
      <c r="L975" s="18" t="str">
        <f>VLOOKUP(E975,各职业基础配置!B:C,2,FALSE)</f>
        <v>[{32,1,1},{33,1,1},{34,1,1},{35,1,1},{7,1,1},{8,1,1},{9,1,1}]</v>
      </c>
      <c r="M975" s="18">
        <v>0</v>
      </c>
      <c r="N975" s="18">
        <f t="shared" si="169"/>
        <v>7</v>
      </c>
      <c r="O975" s="18">
        <f>SUMPRODUCT(P975:AI975,Sheet2!$B$3:$U$3)</f>
        <v>25976</v>
      </c>
      <c r="P975" s="18">
        <f>CEILING(INDEX([1]系统模型!$VD:$VD,MATCH(C975,[1]系统模型!$A:$A,0))*POWER(C975/220,3.8)-50+(1000-A975),1)</f>
        <v>143</v>
      </c>
      <c r="Q975" s="18">
        <f>CEILING(INDEX([1]系统模型!$VE:$VE,MATCH(C975,[1]系统模型!$A:$A,0))*POWER(C975/220,4),1)</f>
        <v>13</v>
      </c>
      <c r="R975" s="18">
        <f>INT(INDEX([1]系统模型!$VF:$VF,MATCH(C975,[1]系统模型!$A:$A,0))*MAX(POWER(C975/180,4),0.5))</f>
        <v>5301</v>
      </c>
      <c r="S975" s="5">
        <v>1000</v>
      </c>
      <c r="T975" s="25">
        <v>0</v>
      </c>
      <c r="U975" s="25">
        <v>0</v>
      </c>
      <c r="V975" s="25">
        <v>0</v>
      </c>
      <c r="W975" s="25">
        <v>0</v>
      </c>
      <c r="X975" s="25">
        <f t="shared" si="170"/>
        <v>265</v>
      </c>
      <c r="Y975" s="12">
        <v>0</v>
      </c>
      <c r="Z975" s="25">
        <v>100</v>
      </c>
      <c r="AA975" s="25">
        <v>150</v>
      </c>
      <c r="AB975" s="25">
        <v>0</v>
      </c>
      <c r="AC975" s="25">
        <v>0</v>
      </c>
      <c r="AD975" s="25">
        <v>0</v>
      </c>
      <c r="AE975" s="25">
        <f t="shared" si="171"/>
        <v>210</v>
      </c>
      <c r="AF975" s="25">
        <f t="shared" si="172"/>
        <v>210</v>
      </c>
      <c r="AG975" s="25">
        <v>0</v>
      </c>
      <c r="AH975" s="25">
        <f t="shared" si="173"/>
        <v>0</v>
      </c>
      <c r="AI975" s="25">
        <f t="shared" si="174"/>
        <v>1</v>
      </c>
      <c r="AJ975" s="25">
        <v>1</v>
      </c>
      <c r="AK975" s="25">
        <v>1000</v>
      </c>
      <c r="AL975" s="25">
        <v>100</v>
      </c>
      <c r="AM975" s="26">
        <v>10</v>
      </c>
      <c r="AN975" s="26">
        <v>10</v>
      </c>
      <c r="AO975" s="22" t="s">
        <v>2211</v>
      </c>
      <c r="AP975" s="26">
        <v>0</v>
      </c>
      <c r="AQ975" s="26">
        <f t="shared" si="175"/>
        <v>10</v>
      </c>
      <c r="AR975" s="18" t="str">
        <f ca="1">CONCATENATE(OFFSET(Sheet1!$A$2,RANDBETWEEN(2,500),0,1,1),OFFSET(Sheet1!$A$2,RANDBETWEEN(2,500),RANDBETWEEN(1,5),1,1))</f>
        <v>加西亚菲莉帕</v>
      </c>
      <c r="AS975">
        <f>SUMPRODUCT(P975:AI975,Sheet2!$B$3:$U$3)</f>
        <v>25976</v>
      </c>
    </row>
    <row r="976" spans="1:45" x14ac:dyDescent="0.15">
      <c r="A976" s="23">
        <v>975</v>
      </c>
      <c r="B976" s="18" t="s">
        <v>1196</v>
      </c>
      <c r="C976" s="18">
        <f t="shared" si="165"/>
        <v>105</v>
      </c>
      <c r="D976" s="19">
        <f t="shared" si="166"/>
        <v>3</v>
      </c>
      <c r="E976" s="19">
        <f>VLOOKUP(MOD(A976,4),各职业基础配置!C$32:D$35,2,FALSE)</f>
        <v>9</v>
      </c>
      <c r="F976" s="19">
        <f>IF(A976&lt;900,INDEX(各职业基础配置!C$23:C$28,MOD(ROW(A976),4)+1),0)</f>
        <v>0</v>
      </c>
      <c r="G976" s="19">
        <f t="shared" si="167"/>
        <v>1</v>
      </c>
      <c r="H976" s="27">
        <f t="shared" si="168"/>
        <v>1</v>
      </c>
      <c r="I976" s="6" t="s">
        <v>164</v>
      </c>
      <c r="J976" s="23" t="str">
        <f>VLOOKUP(E976,各职业基础配置!$B$9:$C$12,2,FALSE)</f>
        <v>116|117|118|4201|120</v>
      </c>
      <c r="K976" s="18" t="str">
        <f>VLOOKUP(E976,各职业基础配置!$B$15:$C$18,2,FALSE)</f>
        <v>28|29|30|31</v>
      </c>
      <c r="L976" s="18" t="str">
        <f>VLOOKUP(E976,各职业基础配置!B:C,2,FALSE)</f>
        <v>[{28,1,1},{29,1,1},{30,1,1},{31,1,1},{10,1,1},{11,1,1},{12,1,1}]</v>
      </c>
      <c r="M976" s="18">
        <v>0</v>
      </c>
      <c r="N976" s="18">
        <f t="shared" si="169"/>
        <v>3</v>
      </c>
      <c r="O976" s="18">
        <f>SUMPRODUCT(P976:AI976,Sheet2!$B$3:$U$3)</f>
        <v>25951</v>
      </c>
      <c r="P976" s="18">
        <f>CEILING(INDEX([1]系统模型!$VD:$VD,MATCH(C976,[1]系统模型!$A:$A,0))*POWER(C976/220,3.8)-50+(1000-A976),1)</f>
        <v>142</v>
      </c>
      <c r="Q976" s="18">
        <f>CEILING(INDEX([1]系统模型!$VE:$VE,MATCH(C976,[1]系统模型!$A:$A,0))*POWER(C976/220,4),1)</f>
        <v>13</v>
      </c>
      <c r="R976" s="18">
        <f>INT(INDEX([1]系统模型!$VF:$VF,MATCH(C976,[1]系统模型!$A:$A,0))*MAX(POWER(C976/180,4),0.5))</f>
        <v>5301</v>
      </c>
      <c r="S976" s="5">
        <v>1000</v>
      </c>
      <c r="T976" s="25">
        <v>0</v>
      </c>
      <c r="U976" s="25">
        <v>0</v>
      </c>
      <c r="V976" s="25">
        <v>0</v>
      </c>
      <c r="W976" s="25">
        <v>0</v>
      </c>
      <c r="X976" s="25">
        <f t="shared" si="170"/>
        <v>265</v>
      </c>
      <c r="Y976" s="12">
        <v>0</v>
      </c>
      <c r="Z976" s="25">
        <v>100</v>
      </c>
      <c r="AA976" s="25">
        <v>150</v>
      </c>
      <c r="AB976" s="25">
        <v>0</v>
      </c>
      <c r="AC976" s="25">
        <v>0</v>
      </c>
      <c r="AD976" s="25">
        <v>0</v>
      </c>
      <c r="AE976" s="25">
        <f t="shared" si="171"/>
        <v>210</v>
      </c>
      <c r="AF976" s="25">
        <f t="shared" si="172"/>
        <v>210</v>
      </c>
      <c r="AG976" s="25">
        <v>0</v>
      </c>
      <c r="AH976" s="25">
        <f t="shared" si="173"/>
        <v>0</v>
      </c>
      <c r="AI976" s="25">
        <f t="shared" si="174"/>
        <v>1</v>
      </c>
      <c r="AJ976" s="25">
        <v>1</v>
      </c>
      <c r="AK976" s="25">
        <v>1000</v>
      </c>
      <c r="AL976" s="25">
        <v>100</v>
      </c>
      <c r="AM976" s="26">
        <v>10</v>
      </c>
      <c r="AN976" s="26">
        <v>10</v>
      </c>
      <c r="AO976" s="22" t="s">
        <v>2211</v>
      </c>
      <c r="AP976" s="26">
        <v>0</v>
      </c>
      <c r="AQ976" s="26">
        <f t="shared" si="175"/>
        <v>10</v>
      </c>
      <c r="AR976" s="18" t="str">
        <f ca="1">CONCATENATE(OFFSET(Sheet1!$A$2,RANDBETWEEN(2,500),0,1,1),OFFSET(Sheet1!$A$2,RANDBETWEEN(2,500),RANDBETWEEN(1,5),1,1))</f>
        <v>霍普</v>
      </c>
      <c r="AS976">
        <f>SUMPRODUCT(P976:AI976,Sheet2!$B$3:$U$3)</f>
        <v>25951</v>
      </c>
    </row>
    <row r="977" spans="1:45" x14ac:dyDescent="0.15">
      <c r="A977" s="18">
        <v>976</v>
      </c>
      <c r="B977" s="18" t="s">
        <v>2198</v>
      </c>
      <c r="C977" s="18">
        <f t="shared" si="165"/>
        <v>105</v>
      </c>
      <c r="D977" s="19">
        <f t="shared" si="166"/>
        <v>2</v>
      </c>
      <c r="E977" s="19">
        <f>VLOOKUP(MOD(A977,4),各职业基础配置!C$32:D$35,2,FALSE)</f>
        <v>1</v>
      </c>
      <c r="F977" s="19">
        <f>IF(A977&lt;900,INDEX(各职业基础配置!C$23:C$28,MOD(ROW(A977),4)+1),0)</f>
        <v>0</v>
      </c>
      <c r="G977" s="19">
        <f t="shared" si="167"/>
        <v>1</v>
      </c>
      <c r="H977" s="27">
        <f t="shared" si="168"/>
        <v>1</v>
      </c>
      <c r="I977" s="6" t="s">
        <v>164</v>
      </c>
      <c r="J977" s="23" t="str">
        <f>VLOOKUP(E977,各职业基础配置!$B$9:$C$12,2,FALSE)</f>
        <v>101|102|103|4201|105</v>
      </c>
      <c r="K977" s="18" t="str">
        <f>VLOOKUP(E977,各职业基础配置!$B$15:$C$18,2,FALSE)</f>
        <v>24|25|26|27</v>
      </c>
      <c r="L977" s="18" t="str">
        <f>VLOOKUP(E977,各职业基础配置!B:C,2,FALSE)</f>
        <v>[{24,1,1},{25,1,1},{26,1,1},{27,1,1},{1,1,1},{2,1,1},{3,1,1}]</v>
      </c>
      <c r="M977" s="18">
        <v>0</v>
      </c>
      <c r="N977" s="18">
        <f t="shared" si="169"/>
        <v>3</v>
      </c>
      <c r="O977" s="18">
        <f>SUMPRODUCT(P977:AI977,Sheet2!$B$3:$U$3)</f>
        <v>25926</v>
      </c>
      <c r="P977" s="18">
        <f>CEILING(INDEX([1]系统模型!$VD:$VD,MATCH(C977,[1]系统模型!$A:$A,0))*POWER(C977/220,3.8)-50+(1000-A977),1)</f>
        <v>141</v>
      </c>
      <c r="Q977" s="18">
        <f>CEILING(INDEX([1]系统模型!$VE:$VE,MATCH(C977,[1]系统模型!$A:$A,0))*POWER(C977/220,4),1)</f>
        <v>13</v>
      </c>
      <c r="R977" s="18">
        <f>INT(INDEX([1]系统模型!$VF:$VF,MATCH(C977,[1]系统模型!$A:$A,0))*MAX(POWER(C977/180,4),0.5))</f>
        <v>5301</v>
      </c>
      <c r="S977" s="5">
        <v>1000</v>
      </c>
      <c r="T977" s="25">
        <v>0</v>
      </c>
      <c r="U977" s="25">
        <v>0</v>
      </c>
      <c r="V977" s="25">
        <v>0</v>
      </c>
      <c r="W977" s="25">
        <v>0</v>
      </c>
      <c r="X977" s="25">
        <f t="shared" si="170"/>
        <v>265</v>
      </c>
      <c r="Y977" s="12">
        <v>0</v>
      </c>
      <c r="Z977" s="25">
        <v>100</v>
      </c>
      <c r="AA977" s="25">
        <v>150</v>
      </c>
      <c r="AB977" s="25">
        <v>0</v>
      </c>
      <c r="AC977" s="25">
        <v>0</v>
      </c>
      <c r="AD977" s="25">
        <v>0</v>
      </c>
      <c r="AE977" s="25">
        <f t="shared" si="171"/>
        <v>210</v>
      </c>
      <c r="AF977" s="25">
        <f t="shared" si="172"/>
        <v>210</v>
      </c>
      <c r="AG977" s="25">
        <v>0</v>
      </c>
      <c r="AH977" s="25">
        <f t="shared" si="173"/>
        <v>0</v>
      </c>
      <c r="AI977" s="25">
        <f t="shared" si="174"/>
        <v>1</v>
      </c>
      <c r="AJ977" s="25">
        <v>1</v>
      </c>
      <c r="AK977" s="25">
        <v>1000</v>
      </c>
      <c r="AL977" s="25">
        <v>100</v>
      </c>
      <c r="AM977" s="26">
        <v>10</v>
      </c>
      <c r="AN977" s="26">
        <v>10</v>
      </c>
      <c r="AO977" s="22" t="s">
        <v>2211</v>
      </c>
      <c r="AP977" s="26">
        <v>0</v>
      </c>
      <c r="AQ977" s="26">
        <f t="shared" si="175"/>
        <v>10</v>
      </c>
      <c r="AR977" s="18" t="str">
        <f ca="1">CONCATENATE(OFFSET(Sheet1!$A$2,RANDBETWEEN(2,500),0,1,1),OFFSET(Sheet1!$A$2,RANDBETWEEN(2,500),RANDBETWEEN(1,5),1,1))</f>
        <v>哈维糖糖</v>
      </c>
      <c r="AS977">
        <f>SUMPRODUCT(P977:AI977,Sheet2!$B$3:$U$3)</f>
        <v>25926</v>
      </c>
    </row>
    <row r="978" spans="1:45" x14ac:dyDescent="0.15">
      <c r="A978" s="18">
        <v>977</v>
      </c>
      <c r="B978" s="18" t="s">
        <v>2107</v>
      </c>
      <c r="C978" s="18">
        <f t="shared" si="165"/>
        <v>105</v>
      </c>
      <c r="D978" s="19">
        <f t="shared" si="166"/>
        <v>3</v>
      </c>
      <c r="E978" s="19">
        <f>VLOOKUP(MOD(A978,4),各职业基础配置!C$32:D$35,2,FALSE)</f>
        <v>3</v>
      </c>
      <c r="F978" s="19">
        <f>IF(A978&lt;900,INDEX(各职业基础配置!C$23:C$28,MOD(ROW(A978),4)+1),0)</f>
        <v>0</v>
      </c>
      <c r="G978" s="19">
        <f t="shared" si="167"/>
        <v>1</v>
      </c>
      <c r="H978" s="27">
        <f t="shared" si="168"/>
        <v>1</v>
      </c>
      <c r="I978" s="6" t="s">
        <v>164</v>
      </c>
      <c r="J978" s="23" t="str">
        <f>VLOOKUP(E978,各职业基础配置!$B$9:$C$12,2,FALSE)</f>
        <v>106|107|108|4201|110</v>
      </c>
      <c r="K978" s="18" t="str">
        <f>VLOOKUP(E978,各职业基础配置!$B$15:$C$18,2,FALSE)</f>
        <v>20|21|22|23</v>
      </c>
      <c r="L978" s="18" t="str">
        <f>VLOOKUP(E978,各职业基础配置!B:C,2,FALSE)</f>
        <v>[{20,1,1},{21,1,1},{22,1,1},{23,1,1},{4,1,1},{5,1,1},{6,1,1}]</v>
      </c>
      <c r="M978" s="18">
        <v>0</v>
      </c>
      <c r="N978" s="18">
        <f t="shared" si="169"/>
        <v>7</v>
      </c>
      <c r="O978" s="18">
        <f>SUMPRODUCT(P978:AI978,Sheet2!$B$3:$U$3)</f>
        <v>25901</v>
      </c>
      <c r="P978" s="18">
        <f>CEILING(INDEX([1]系统模型!$VD:$VD,MATCH(C978,[1]系统模型!$A:$A,0))*POWER(C978/220,3.8)-50+(1000-A978),1)</f>
        <v>140</v>
      </c>
      <c r="Q978" s="18">
        <f>CEILING(INDEX([1]系统模型!$VE:$VE,MATCH(C978,[1]系统模型!$A:$A,0))*POWER(C978/220,4),1)</f>
        <v>13</v>
      </c>
      <c r="R978" s="18">
        <f>INT(INDEX([1]系统模型!$VF:$VF,MATCH(C978,[1]系统模型!$A:$A,0))*MAX(POWER(C978/180,4),0.5))</f>
        <v>5301</v>
      </c>
      <c r="S978" s="5">
        <v>1000</v>
      </c>
      <c r="T978" s="25">
        <v>0</v>
      </c>
      <c r="U978" s="25">
        <v>0</v>
      </c>
      <c r="V978" s="25">
        <v>0</v>
      </c>
      <c r="W978" s="25">
        <v>0</v>
      </c>
      <c r="X978" s="25">
        <f t="shared" si="170"/>
        <v>265</v>
      </c>
      <c r="Y978" s="12">
        <v>0</v>
      </c>
      <c r="Z978" s="25">
        <v>100</v>
      </c>
      <c r="AA978" s="25">
        <v>150</v>
      </c>
      <c r="AB978" s="25">
        <v>0</v>
      </c>
      <c r="AC978" s="25">
        <v>0</v>
      </c>
      <c r="AD978" s="25">
        <v>0</v>
      </c>
      <c r="AE978" s="25">
        <f t="shared" si="171"/>
        <v>210</v>
      </c>
      <c r="AF978" s="25">
        <f t="shared" si="172"/>
        <v>210</v>
      </c>
      <c r="AG978" s="25">
        <v>0</v>
      </c>
      <c r="AH978" s="25">
        <f t="shared" si="173"/>
        <v>0</v>
      </c>
      <c r="AI978" s="25">
        <f t="shared" si="174"/>
        <v>1</v>
      </c>
      <c r="AJ978" s="25">
        <v>1</v>
      </c>
      <c r="AK978" s="25">
        <v>1000</v>
      </c>
      <c r="AL978" s="25">
        <v>100</v>
      </c>
      <c r="AM978" s="26">
        <v>10</v>
      </c>
      <c r="AN978" s="26">
        <v>10</v>
      </c>
      <c r="AO978" s="22" t="s">
        <v>2211</v>
      </c>
      <c r="AP978" s="26">
        <v>0</v>
      </c>
      <c r="AQ978" s="26">
        <f t="shared" si="175"/>
        <v>10</v>
      </c>
      <c r="AR978" s="18" t="str">
        <f ca="1">CONCATENATE(OFFSET(Sheet1!$A$2,RANDBETWEEN(2,500),0,1,1),OFFSET(Sheet1!$A$2,RANDBETWEEN(2,500),RANDBETWEEN(1,5),1,1))</f>
        <v>丘吉尔杰奎琳</v>
      </c>
      <c r="AS978">
        <f>SUMPRODUCT(P978:AI978,Sheet2!$B$3:$U$3)</f>
        <v>25901</v>
      </c>
    </row>
    <row r="979" spans="1:45" x14ac:dyDescent="0.15">
      <c r="A979" s="23">
        <v>978</v>
      </c>
      <c r="B979" s="18" t="s">
        <v>2199</v>
      </c>
      <c r="C979" s="18">
        <f t="shared" si="165"/>
        <v>105</v>
      </c>
      <c r="D979" s="19">
        <f t="shared" si="166"/>
        <v>2</v>
      </c>
      <c r="E979" s="19">
        <f>VLOOKUP(MOD(A979,4),各职业基础配置!C$32:D$35,2,FALSE)</f>
        <v>6</v>
      </c>
      <c r="F979" s="19">
        <f>IF(A979&lt;900,INDEX(各职业基础配置!C$23:C$28,MOD(ROW(A979),4)+1),0)</f>
        <v>0</v>
      </c>
      <c r="G979" s="19">
        <f t="shared" si="167"/>
        <v>1</v>
      </c>
      <c r="H979" s="27">
        <f t="shared" si="168"/>
        <v>1</v>
      </c>
      <c r="I979" s="6" t="s">
        <v>164</v>
      </c>
      <c r="J979" s="23" t="str">
        <f>VLOOKUP(E979,各职业基础配置!$B$9:$C$12,2,FALSE)</f>
        <v>111|112|113|4201|115</v>
      </c>
      <c r="K979" s="18" t="str">
        <f>VLOOKUP(E979,各职业基础配置!$B$15:$C$18,2,FALSE)</f>
        <v>32|33|34</v>
      </c>
      <c r="L979" s="18" t="str">
        <f>VLOOKUP(E979,各职业基础配置!B:C,2,FALSE)</f>
        <v>[{32,1,1},{33,1,1},{34,1,1},{35,1,1},{7,1,1},{8,1,1},{9,1,1}]</v>
      </c>
      <c r="M979" s="18">
        <v>0</v>
      </c>
      <c r="N979" s="18">
        <f t="shared" si="169"/>
        <v>7</v>
      </c>
      <c r="O979" s="18">
        <f>SUMPRODUCT(P979:AI979,Sheet2!$B$3:$U$3)</f>
        <v>25876</v>
      </c>
      <c r="P979" s="18">
        <f>CEILING(INDEX([1]系统模型!$VD:$VD,MATCH(C979,[1]系统模型!$A:$A,0))*POWER(C979/220,3.8)-50+(1000-A979),1)</f>
        <v>139</v>
      </c>
      <c r="Q979" s="18">
        <f>CEILING(INDEX([1]系统模型!$VE:$VE,MATCH(C979,[1]系统模型!$A:$A,0))*POWER(C979/220,4),1)</f>
        <v>13</v>
      </c>
      <c r="R979" s="18">
        <f>INT(INDEX([1]系统模型!$VF:$VF,MATCH(C979,[1]系统模型!$A:$A,0))*MAX(POWER(C979/180,4),0.5))</f>
        <v>5301</v>
      </c>
      <c r="S979" s="5">
        <v>1000</v>
      </c>
      <c r="T979" s="25">
        <v>0</v>
      </c>
      <c r="U979" s="25">
        <v>0</v>
      </c>
      <c r="V979" s="25">
        <v>0</v>
      </c>
      <c r="W979" s="25">
        <v>0</v>
      </c>
      <c r="X979" s="25">
        <f t="shared" si="170"/>
        <v>265</v>
      </c>
      <c r="Y979" s="12">
        <v>0</v>
      </c>
      <c r="Z979" s="25">
        <v>100</v>
      </c>
      <c r="AA979" s="25">
        <v>150</v>
      </c>
      <c r="AB979" s="25">
        <v>0</v>
      </c>
      <c r="AC979" s="25">
        <v>0</v>
      </c>
      <c r="AD979" s="25">
        <v>0</v>
      </c>
      <c r="AE979" s="25">
        <f t="shared" si="171"/>
        <v>210</v>
      </c>
      <c r="AF979" s="25">
        <f t="shared" si="172"/>
        <v>210</v>
      </c>
      <c r="AG979" s="25">
        <v>0</v>
      </c>
      <c r="AH979" s="25">
        <f t="shared" si="173"/>
        <v>0</v>
      </c>
      <c r="AI979" s="25">
        <f t="shared" si="174"/>
        <v>1</v>
      </c>
      <c r="AJ979" s="25">
        <v>1</v>
      </c>
      <c r="AK979" s="25">
        <v>1000</v>
      </c>
      <c r="AL979" s="25">
        <v>100</v>
      </c>
      <c r="AM979" s="26">
        <v>10</v>
      </c>
      <c r="AN979" s="26">
        <v>10</v>
      </c>
      <c r="AO979" s="22" t="s">
        <v>2211</v>
      </c>
      <c r="AP979" s="26">
        <v>0</v>
      </c>
      <c r="AQ979" s="26">
        <f t="shared" si="175"/>
        <v>10</v>
      </c>
      <c r="AR979" s="18" t="str">
        <f ca="1">CONCATENATE(OFFSET(Sheet1!$A$2,RANDBETWEEN(2,500),0,1,1),OFFSET(Sheet1!$A$2,RANDBETWEEN(2,500),RANDBETWEEN(1,5),1,1))</f>
        <v>海登凯伊</v>
      </c>
      <c r="AS979">
        <f>SUMPRODUCT(P979:AI979,Sheet2!$B$3:$U$3)</f>
        <v>25876</v>
      </c>
    </row>
    <row r="980" spans="1:45" x14ac:dyDescent="0.15">
      <c r="A980" s="18">
        <v>979</v>
      </c>
      <c r="B980" s="18" t="s">
        <v>926</v>
      </c>
      <c r="C980" s="18">
        <f t="shared" si="165"/>
        <v>105</v>
      </c>
      <c r="D980" s="19">
        <f t="shared" si="166"/>
        <v>3</v>
      </c>
      <c r="E980" s="19">
        <f>VLOOKUP(MOD(A980,4),各职业基础配置!C$32:D$35,2,FALSE)</f>
        <v>9</v>
      </c>
      <c r="F980" s="19">
        <f>IF(A980&lt;900,INDEX(各职业基础配置!C$23:C$28,MOD(ROW(A980),4)+1),0)</f>
        <v>0</v>
      </c>
      <c r="G980" s="19">
        <f t="shared" si="167"/>
        <v>1</v>
      </c>
      <c r="H980" s="27">
        <f t="shared" si="168"/>
        <v>1</v>
      </c>
      <c r="I980" s="6" t="s">
        <v>164</v>
      </c>
      <c r="J980" s="23" t="str">
        <f>VLOOKUP(E980,各职业基础配置!$B$9:$C$12,2,FALSE)</f>
        <v>116|117|118|4201|120</v>
      </c>
      <c r="K980" s="18" t="str">
        <f>VLOOKUP(E980,各职业基础配置!$B$15:$C$18,2,FALSE)</f>
        <v>28|29|30|31</v>
      </c>
      <c r="L980" s="18" t="str">
        <f>VLOOKUP(E980,各职业基础配置!B:C,2,FALSE)</f>
        <v>[{28,1,1},{29,1,1},{30,1,1},{31,1,1},{10,1,1},{11,1,1},{12,1,1}]</v>
      </c>
      <c r="M980" s="18">
        <v>0</v>
      </c>
      <c r="N980" s="18">
        <f t="shared" si="169"/>
        <v>3</v>
      </c>
      <c r="O980" s="18">
        <f>SUMPRODUCT(P980:AI980,Sheet2!$B$3:$U$3)</f>
        <v>25851</v>
      </c>
      <c r="P980" s="18">
        <f>CEILING(INDEX([1]系统模型!$VD:$VD,MATCH(C980,[1]系统模型!$A:$A,0))*POWER(C980/220,3.8)-50+(1000-A980),1)</f>
        <v>138</v>
      </c>
      <c r="Q980" s="18">
        <f>CEILING(INDEX([1]系统模型!$VE:$VE,MATCH(C980,[1]系统模型!$A:$A,0))*POWER(C980/220,4),1)</f>
        <v>13</v>
      </c>
      <c r="R980" s="18">
        <f>INT(INDEX([1]系统模型!$VF:$VF,MATCH(C980,[1]系统模型!$A:$A,0))*MAX(POWER(C980/180,4),0.5))</f>
        <v>5301</v>
      </c>
      <c r="S980" s="5">
        <v>1000</v>
      </c>
      <c r="T980" s="25">
        <v>0</v>
      </c>
      <c r="U980" s="25">
        <v>0</v>
      </c>
      <c r="V980" s="25">
        <v>0</v>
      </c>
      <c r="W980" s="25">
        <v>0</v>
      </c>
      <c r="X980" s="25">
        <f t="shared" si="170"/>
        <v>265</v>
      </c>
      <c r="Y980" s="12">
        <v>0</v>
      </c>
      <c r="Z980" s="25">
        <v>100</v>
      </c>
      <c r="AA980" s="25">
        <v>150</v>
      </c>
      <c r="AB980" s="25">
        <v>0</v>
      </c>
      <c r="AC980" s="25">
        <v>0</v>
      </c>
      <c r="AD980" s="25">
        <v>0</v>
      </c>
      <c r="AE980" s="25">
        <f t="shared" si="171"/>
        <v>210</v>
      </c>
      <c r="AF980" s="25">
        <f t="shared" si="172"/>
        <v>210</v>
      </c>
      <c r="AG980" s="25">
        <v>0</v>
      </c>
      <c r="AH980" s="25">
        <f t="shared" si="173"/>
        <v>0</v>
      </c>
      <c r="AI980" s="25">
        <f t="shared" si="174"/>
        <v>1</v>
      </c>
      <c r="AJ980" s="25">
        <v>1</v>
      </c>
      <c r="AK980" s="25">
        <v>1000</v>
      </c>
      <c r="AL980" s="25">
        <v>100</v>
      </c>
      <c r="AM980" s="26">
        <v>10</v>
      </c>
      <c r="AN980" s="26">
        <v>10</v>
      </c>
      <c r="AO980" s="22" t="s">
        <v>2211</v>
      </c>
      <c r="AP980" s="26">
        <v>0</v>
      </c>
      <c r="AQ980" s="26">
        <f t="shared" si="175"/>
        <v>10</v>
      </c>
      <c r="AR980" s="18" t="str">
        <f ca="1">CONCATENATE(OFFSET(Sheet1!$A$2,RANDBETWEEN(2,500),0,1,1),OFFSET(Sheet1!$A$2,RANDBETWEEN(2,500),RANDBETWEEN(1,5),1,1))</f>
        <v>阿利克玛蒂娜</v>
      </c>
      <c r="AS980">
        <f>SUMPRODUCT(P980:AI980,Sheet2!$B$3:$U$3)</f>
        <v>25851</v>
      </c>
    </row>
    <row r="981" spans="1:45" x14ac:dyDescent="0.15">
      <c r="A981" s="18">
        <v>980</v>
      </c>
      <c r="B981" s="18" t="s">
        <v>2200</v>
      </c>
      <c r="C981" s="18">
        <f t="shared" si="165"/>
        <v>104</v>
      </c>
      <c r="D981" s="19">
        <f t="shared" si="166"/>
        <v>2</v>
      </c>
      <c r="E981" s="19">
        <f>VLOOKUP(MOD(A981,4),各职业基础配置!C$32:D$35,2,FALSE)</f>
        <v>1</v>
      </c>
      <c r="F981" s="19">
        <f>IF(A981&lt;900,INDEX(各职业基础配置!C$23:C$28,MOD(ROW(A981),4)+1),0)</f>
        <v>0</v>
      </c>
      <c r="G981" s="19">
        <f t="shared" si="167"/>
        <v>1</v>
      </c>
      <c r="H981" s="27">
        <f t="shared" si="168"/>
        <v>1</v>
      </c>
      <c r="I981" s="6" t="s">
        <v>164</v>
      </c>
      <c r="J981" s="23" t="str">
        <f>VLOOKUP(E981,各职业基础配置!$B$9:$C$12,2,FALSE)</f>
        <v>101|102|103|4201|105</v>
      </c>
      <c r="K981" s="18" t="str">
        <f>VLOOKUP(E981,各职业基础配置!$B$15:$C$18,2,FALSE)</f>
        <v>24|25|26|27</v>
      </c>
      <c r="L981" s="18" t="str">
        <f>VLOOKUP(E981,各职业基础配置!B:C,2,FALSE)</f>
        <v>[{24,1,1},{25,1,1},{26,1,1},{27,1,1},{1,1,1},{2,1,1},{3,1,1}]</v>
      </c>
      <c r="M981" s="18">
        <v>0</v>
      </c>
      <c r="N981" s="18">
        <f t="shared" si="169"/>
        <v>3</v>
      </c>
      <c r="O981" s="18">
        <f>SUMPRODUCT(P981:AI981,Sheet2!$B$3:$U$3)</f>
        <v>25419</v>
      </c>
      <c r="P981" s="18">
        <f>CEILING(INDEX([1]系统模型!$VD:$VD,MATCH(C981,[1]系统模型!$A:$A,0))*POWER(C981/220,3.8)-50+(1000-A981),1)</f>
        <v>128</v>
      </c>
      <c r="Q981" s="18">
        <f>CEILING(INDEX([1]系统模型!$VE:$VE,MATCH(C981,[1]系统模型!$A:$A,0))*POWER(C981/220,4),1)</f>
        <v>12</v>
      </c>
      <c r="R981" s="18">
        <f>INT(INDEX([1]系统模型!$VF:$VF,MATCH(C981,[1]系统模型!$A:$A,0))*MAX(POWER(C981/180,4),0.5))</f>
        <v>5244</v>
      </c>
      <c r="S981" s="5">
        <v>1000</v>
      </c>
      <c r="T981" s="25">
        <v>0</v>
      </c>
      <c r="U981" s="25">
        <v>0</v>
      </c>
      <c r="V981" s="25">
        <v>0</v>
      </c>
      <c r="W981" s="25">
        <v>0</v>
      </c>
      <c r="X981" s="25">
        <f t="shared" si="170"/>
        <v>262</v>
      </c>
      <c r="Y981" s="12">
        <v>0</v>
      </c>
      <c r="Z981" s="25">
        <v>100</v>
      </c>
      <c r="AA981" s="25">
        <v>150</v>
      </c>
      <c r="AB981" s="25">
        <v>0</v>
      </c>
      <c r="AC981" s="25">
        <v>0</v>
      </c>
      <c r="AD981" s="25">
        <v>0</v>
      </c>
      <c r="AE981" s="25">
        <f t="shared" si="171"/>
        <v>208</v>
      </c>
      <c r="AF981" s="25">
        <f t="shared" si="172"/>
        <v>208</v>
      </c>
      <c r="AG981" s="25">
        <v>0</v>
      </c>
      <c r="AH981" s="25">
        <f t="shared" si="173"/>
        <v>0</v>
      </c>
      <c r="AI981" s="25">
        <f t="shared" si="174"/>
        <v>1</v>
      </c>
      <c r="AJ981" s="25">
        <v>1</v>
      </c>
      <c r="AK981" s="25">
        <v>1000</v>
      </c>
      <c r="AL981" s="25">
        <v>100</v>
      </c>
      <c r="AM981" s="26">
        <v>10</v>
      </c>
      <c r="AN981" s="26">
        <v>10</v>
      </c>
      <c r="AO981" s="22" t="s">
        <v>2211</v>
      </c>
      <c r="AP981" s="26">
        <v>0</v>
      </c>
      <c r="AQ981" s="26">
        <f t="shared" si="175"/>
        <v>10</v>
      </c>
      <c r="AR981" s="18" t="str">
        <f ca="1">CONCATENATE(OFFSET(Sheet1!$A$2,RANDBETWEEN(2,500),0,1,1),OFFSET(Sheet1!$A$2,RANDBETWEEN(2,500),RANDBETWEEN(1,5),1,1))</f>
        <v>福克斯克洛怡</v>
      </c>
      <c r="AS981">
        <f>SUMPRODUCT(P981:AI981,Sheet2!$B$3:$U$3)</f>
        <v>25419</v>
      </c>
    </row>
    <row r="982" spans="1:45" x14ac:dyDescent="0.15">
      <c r="A982" s="23">
        <v>981</v>
      </c>
      <c r="B982" s="18" t="s">
        <v>807</v>
      </c>
      <c r="C982" s="18">
        <f t="shared" si="165"/>
        <v>104</v>
      </c>
      <c r="D982" s="19">
        <f t="shared" si="166"/>
        <v>3</v>
      </c>
      <c r="E982" s="19">
        <f>VLOOKUP(MOD(A982,4),各职业基础配置!C$32:D$35,2,FALSE)</f>
        <v>3</v>
      </c>
      <c r="F982" s="19">
        <f>IF(A982&lt;900,INDEX(各职业基础配置!C$23:C$28,MOD(ROW(A982),4)+1),0)</f>
        <v>0</v>
      </c>
      <c r="G982" s="19">
        <f t="shared" si="167"/>
        <v>1</v>
      </c>
      <c r="H982" s="27">
        <f t="shared" si="168"/>
        <v>1</v>
      </c>
      <c r="I982" s="6" t="s">
        <v>164</v>
      </c>
      <c r="J982" s="23" t="str">
        <f>VLOOKUP(E982,各职业基础配置!$B$9:$C$12,2,FALSE)</f>
        <v>106|107|108|4201|110</v>
      </c>
      <c r="K982" s="18" t="str">
        <f>VLOOKUP(E982,各职业基础配置!$B$15:$C$18,2,FALSE)</f>
        <v>20|21|22|23</v>
      </c>
      <c r="L982" s="18" t="str">
        <f>VLOOKUP(E982,各职业基础配置!B:C,2,FALSE)</f>
        <v>[{20,1,1},{21,1,1},{22,1,1},{23,1,1},{4,1,1},{5,1,1},{6,1,1}]</v>
      </c>
      <c r="M982" s="18">
        <v>0</v>
      </c>
      <c r="N982" s="18">
        <f t="shared" si="169"/>
        <v>7</v>
      </c>
      <c r="O982" s="18">
        <f>SUMPRODUCT(P982:AI982,Sheet2!$B$3:$U$3)</f>
        <v>25394</v>
      </c>
      <c r="P982" s="18">
        <f>CEILING(INDEX([1]系统模型!$VD:$VD,MATCH(C982,[1]系统模型!$A:$A,0))*POWER(C982/220,3.8)-50+(1000-A982),1)</f>
        <v>127</v>
      </c>
      <c r="Q982" s="18">
        <f>CEILING(INDEX([1]系统模型!$VE:$VE,MATCH(C982,[1]系统模型!$A:$A,0))*POWER(C982/220,4),1)</f>
        <v>12</v>
      </c>
      <c r="R982" s="18">
        <f>INT(INDEX([1]系统模型!$VF:$VF,MATCH(C982,[1]系统模型!$A:$A,0))*MAX(POWER(C982/180,4),0.5))</f>
        <v>5244</v>
      </c>
      <c r="S982" s="5">
        <v>1000</v>
      </c>
      <c r="T982" s="25">
        <v>0</v>
      </c>
      <c r="U982" s="25">
        <v>0</v>
      </c>
      <c r="V982" s="25">
        <v>0</v>
      </c>
      <c r="W982" s="25">
        <v>0</v>
      </c>
      <c r="X982" s="25">
        <f t="shared" si="170"/>
        <v>262</v>
      </c>
      <c r="Y982" s="12">
        <v>0</v>
      </c>
      <c r="Z982" s="25">
        <v>100</v>
      </c>
      <c r="AA982" s="25">
        <v>150</v>
      </c>
      <c r="AB982" s="25">
        <v>0</v>
      </c>
      <c r="AC982" s="25">
        <v>0</v>
      </c>
      <c r="AD982" s="25">
        <v>0</v>
      </c>
      <c r="AE982" s="25">
        <f t="shared" si="171"/>
        <v>208</v>
      </c>
      <c r="AF982" s="25">
        <f t="shared" si="172"/>
        <v>208</v>
      </c>
      <c r="AG982" s="25">
        <v>0</v>
      </c>
      <c r="AH982" s="25">
        <f t="shared" si="173"/>
        <v>0</v>
      </c>
      <c r="AI982" s="25">
        <f t="shared" si="174"/>
        <v>1</v>
      </c>
      <c r="AJ982" s="25">
        <v>1</v>
      </c>
      <c r="AK982" s="25">
        <v>1000</v>
      </c>
      <c r="AL982" s="25">
        <v>100</v>
      </c>
      <c r="AM982" s="26">
        <v>10</v>
      </c>
      <c r="AN982" s="26">
        <v>10</v>
      </c>
      <c r="AO982" s="22" t="s">
        <v>2211</v>
      </c>
      <c r="AP982" s="26">
        <v>0</v>
      </c>
      <c r="AQ982" s="26">
        <f t="shared" si="175"/>
        <v>0</v>
      </c>
      <c r="AR982" s="18" t="str">
        <f ca="1">CONCATENATE(OFFSET(Sheet1!$A$2,RANDBETWEEN(2,500),0,1,1),OFFSET(Sheet1!$A$2,RANDBETWEEN(2,500),RANDBETWEEN(1,5),1,1))</f>
        <v>雅各布</v>
      </c>
      <c r="AS982">
        <f>SUMPRODUCT(P982:AI982,Sheet2!$B$3:$U$3)</f>
        <v>25394</v>
      </c>
    </row>
    <row r="983" spans="1:45" x14ac:dyDescent="0.15">
      <c r="A983" s="18">
        <v>982</v>
      </c>
      <c r="B983" s="18" t="s">
        <v>1087</v>
      </c>
      <c r="C983" s="18">
        <f t="shared" si="165"/>
        <v>104</v>
      </c>
      <c r="D983" s="19">
        <f t="shared" si="166"/>
        <v>2</v>
      </c>
      <c r="E983" s="19">
        <f>VLOOKUP(MOD(A983,4),各职业基础配置!C$32:D$35,2,FALSE)</f>
        <v>6</v>
      </c>
      <c r="F983" s="19">
        <f>IF(A983&lt;900,INDEX(各职业基础配置!C$23:C$28,MOD(ROW(A983),4)+1),0)</f>
        <v>0</v>
      </c>
      <c r="G983" s="19">
        <f t="shared" si="167"/>
        <v>1</v>
      </c>
      <c r="H983" s="27">
        <f t="shared" si="168"/>
        <v>1</v>
      </c>
      <c r="I983" s="6" t="s">
        <v>164</v>
      </c>
      <c r="J983" s="23" t="str">
        <f>VLOOKUP(E983,各职业基础配置!$B$9:$C$12,2,FALSE)</f>
        <v>111|112|113|4201|115</v>
      </c>
      <c r="K983" s="18" t="str">
        <f>VLOOKUP(E983,各职业基础配置!$B$15:$C$18,2,FALSE)</f>
        <v>32|33|34</v>
      </c>
      <c r="L983" s="18" t="str">
        <f>VLOOKUP(E983,各职业基础配置!B:C,2,FALSE)</f>
        <v>[{32,1,1},{33,1,1},{34,1,1},{35,1,1},{7,1,1},{8,1,1},{9,1,1}]</v>
      </c>
      <c r="M983" s="18">
        <v>0</v>
      </c>
      <c r="N983" s="18">
        <f t="shared" si="169"/>
        <v>7</v>
      </c>
      <c r="O983" s="18">
        <f>SUMPRODUCT(P983:AI983,Sheet2!$B$3:$U$3)</f>
        <v>25369</v>
      </c>
      <c r="P983" s="18">
        <f>CEILING(INDEX([1]系统模型!$VD:$VD,MATCH(C983,[1]系统模型!$A:$A,0))*POWER(C983/220,3.8)-50+(1000-A983),1)</f>
        <v>126</v>
      </c>
      <c r="Q983" s="18">
        <f>CEILING(INDEX([1]系统模型!$VE:$VE,MATCH(C983,[1]系统模型!$A:$A,0))*POWER(C983/220,4),1)</f>
        <v>12</v>
      </c>
      <c r="R983" s="18">
        <f>INT(INDEX([1]系统模型!$VF:$VF,MATCH(C983,[1]系统模型!$A:$A,0))*MAX(POWER(C983/180,4),0.5))</f>
        <v>5244</v>
      </c>
      <c r="S983" s="5">
        <v>1000</v>
      </c>
      <c r="T983" s="25">
        <v>0</v>
      </c>
      <c r="U983" s="25">
        <v>0</v>
      </c>
      <c r="V983" s="25">
        <v>0</v>
      </c>
      <c r="W983" s="25">
        <v>0</v>
      </c>
      <c r="X983" s="25">
        <f t="shared" si="170"/>
        <v>262</v>
      </c>
      <c r="Y983" s="12">
        <v>0</v>
      </c>
      <c r="Z983" s="25">
        <v>100</v>
      </c>
      <c r="AA983" s="25">
        <v>150</v>
      </c>
      <c r="AB983" s="25">
        <v>0</v>
      </c>
      <c r="AC983" s="25">
        <v>0</v>
      </c>
      <c r="AD983" s="25">
        <v>0</v>
      </c>
      <c r="AE983" s="25">
        <f t="shared" si="171"/>
        <v>208</v>
      </c>
      <c r="AF983" s="25">
        <f t="shared" si="172"/>
        <v>208</v>
      </c>
      <c r="AG983" s="25">
        <v>0</v>
      </c>
      <c r="AH983" s="25">
        <f t="shared" si="173"/>
        <v>0</v>
      </c>
      <c r="AI983" s="25">
        <f t="shared" si="174"/>
        <v>1</v>
      </c>
      <c r="AJ983" s="25">
        <v>1</v>
      </c>
      <c r="AK983" s="25">
        <v>1000</v>
      </c>
      <c r="AL983" s="25">
        <v>100</v>
      </c>
      <c r="AM983" s="26">
        <v>10</v>
      </c>
      <c r="AN983" s="26">
        <v>10</v>
      </c>
      <c r="AO983" s="22" t="s">
        <v>2211</v>
      </c>
      <c r="AP983" s="26">
        <v>0</v>
      </c>
      <c r="AQ983" s="26">
        <f t="shared" si="175"/>
        <v>0</v>
      </c>
      <c r="AR983" s="18" t="str">
        <f ca="1">CONCATENATE(OFFSET(Sheet1!$A$2,RANDBETWEEN(2,500),0,1,1),OFFSET(Sheet1!$A$2,RANDBETWEEN(2,500),RANDBETWEEN(1,5),1,1))</f>
        <v>范妮</v>
      </c>
      <c r="AS983">
        <f>SUMPRODUCT(P983:AI983,Sheet2!$B$3:$U$3)</f>
        <v>25369</v>
      </c>
    </row>
    <row r="984" spans="1:45" x14ac:dyDescent="0.15">
      <c r="A984" s="18">
        <v>983</v>
      </c>
      <c r="B984" s="18" t="s">
        <v>565</v>
      </c>
      <c r="C984" s="18">
        <f t="shared" si="165"/>
        <v>104</v>
      </c>
      <c r="D984" s="19">
        <f t="shared" si="166"/>
        <v>3</v>
      </c>
      <c r="E984" s="19">
        <f>VLOOKUP(MOD(A984,4),各职业基础配置!C$32:D$35,2,FALSE)</f>
        <v>9</v>
      </c>
      <c r="F984" s="19">
        <f>IF(A984&lt;900,INDEX(各职业基础配置!C$23:C$28,MOD(ROW(A984),4)+1),0)</f>
        <v>0</v>
      </c>
      <c r="G984" s="19">
        <f t="shared" si="167"/>
        <v>1</v>
      </c>
      <c r="H984" s="27">
        <f t="shared" si="168"/>
        <v>1</v>
      </c>
      <c r="I984" s="6" t="s">
        <v>164</v>
      </c>
      <c r="J984" s="23" t="str">
        <f>VLOOKUP(E984,各职业基础配置!$B$9:$C$12,2,FALSE)</f>
        <v>116|117|118|4201|120</v>
      </c>
      <c r="K984" s="18" t="str">
        <f>VLOOKUP(E984,各职业基础配置!$B$15:$C$18,2,FALSE)</f>
        <v>28|29|30|31</v>
      </c>
      <c r="L984" s="18" t="str">
        <f>VLOOKUP(E984,各职业基础配置!B:C,2,FALSE)</f>
        <v>[{28,1,1},{29,1,1},{30,1,1},{31,1,1},{10,1,1},{11,1,1},{12,1,1}]</v>
      </c>
      <c r="M984" s="18">
        <v>0</v>
      </c>
      <c r="N984" s="18">
        <f t="shared" si="169"/>
        <v>3</v>
      </c>
      <c r="O984" s="18">
        <f>SUMPRODUCT(P984:AI984,Sheet2!$B$3:$U$3)</f>
        <v>25344</v>
      </c>
      <c r="P984" s="18">
        <f>CEILING(INDEX([1]系统模型!$VD:$VD,MATCH(C984,[1]系统模型!$A:$A,0))*POWER(C984/220,3.8)-50+(1000-A984),1)</f>
        <v>125</v>
      </c>
      <c r="Q984" s="18">
        <f>CEILING(INDEX([1]系统模型!$VE:$VE,MATCH(C984,[1]系统模型!$A:$A,0))*POWER(C984/220,4),1)</f>
        <v>12</v>
      </c>
      <c r="R984" s="18">
        <f>INT(INDEX([1]系统模型!$VF:$VF,MATCH(C984,[1]系统模型!$A:$A,0))*MAX(POWER(C984/180,4),0.5))</f>
        <v>5244</v>
      </c>
      <c r="S984" s="5">
        <v>1000</v>
      </c>
      <c r="T984" s="25">
        <v>0</v>
      </c>
      <c r="U984" s="25">
        <v>0</v>
      </c>
      <c r="V984" s="25">
        <v>0</v>
      </c>
      <c r="W984" s="25">
        <v>0</v>
      </c>
      <c r="X984" s="25">
        <f t="shared" si="170"/>
        <v>262</v>
      </c>
      <c r="Y984" s="12">
        <v>0</v>
      </c>
      <c r="Z984" s="25">
        <v>100</v>
      </c>
      <c r="AA984" s="25">
        <v>150</v>
      </c>
      <c r="AB984" s="25">
        <v>0</v>
      </c>
      <c r="AC984" s="25">
        <v>0</v>
      </c>
      <c r="AD984" s="25">
        <v>0</v>
      </c>
      <c r="AE984" s="25">
        <f t="shared" si="171"/>
        <v>208</v>
      </c>
      <c r="AF984" s="25">
        <f t="shared" si="172"/>
        <v>208</v>
      </c>
      <c r="AG984" s="25">
        <v>0</v>
      </c>
      <c r="AH984" s="25">
        <f t="shared" si="173"/>
        <v>0</v>
      </c>
      <c r="AI984" s="25">
        <f t="shared" si="174"/>
        <v>1</v>
      </c>
      <c r="AJ984" s="25">
        <v>1</v>
      </c>
      <c r="AK984" s="25">
        <v>1000</v>
      </c>
      <c r="AL984" s="25">
        <v>100</v>
      </c>
      <c r="AM984" s="26">
        <v>10</v>
      </c>
      <c r="AN984" s="26">
        <v>10</v>
      </c>
      <c r="AO984" s="22" t="s">
        <v>2211</v>
      </c>
      <c r="AP984" s="26">
        <v>0</v>
      </c>
      <c r="AQ984" s="26">
        <f t="shared" si="175"/>
        <v>0</v>
      </c>
      <c r="AR984" s="18" t="str">
        <f ca="1">CONCATENATE(OFFSET(Sheet1!$A$2,RANDBETWEEN(2,500),0,1,1),OFFSET(Sheet1!$A$2,RANDBETWEEN(2,500),RANDBETWEEN(1,5),1,1))</f>
        <v>赫特</v>
      </c>
      <c r="AS984">
        <f>SUMPRODUCT(P984:AI984,Sheet2!$B$3:$U$3)</f>
        <v>25344</v>
      </c>
    </row>
    <row r="985" spans="1:45" x14ac:dyDescent="0.15">
      <c r="A985" s="23">
        <v>984</v>
      </c>
      <c r="B985" s="18" t="s">
        <v>1124</v>
      </c>
      <c r="C985" s="18">
        <f t="shared" si="165"/>
        <v>104</v>
      </c>
      <c r="D985" s="19">
        <f t="shared" si="166"/>
        <v>2</v>
      </c>
      <c r="E985" s="19">
        <f>VLOOKUP(MOD(A985,4),各职业基础配置!C$32:D$35,2,FALSE)</f>
        <v>1</v>
      </c>
      <c r="F985" s="19">
        <f>IF(A985&lt;900,INDEX(各职业基础配置!C$23:C$28,MOD(ROW(A985),4)+1),0)</f>
        <v>0</v>
      </c>
      <c r="G985" s="19">
        <f t="shared" si="167"/>
        <v>1</v>
      </c>
      <c r="H985" s="27">
        <f t="shared" si="168"/>
        <v>1</v>
      </c>
      <c r="I985" s="6" t="s">
        <v>164</v>
      </c>
      <c r="J985" s="23" t="str">
        <f>VLOOKUP(E985,各职业基础配置!$B$9:$C$12,2,FALSE)</f>
        <v>101|102|103|4201|105</v>
      </c>
      <c r="K985" s="18" t="str">
        <f>VLOOKUP(E985,各职业基础配置!$B$15:$C$18,2,FALSE)</f>
        <v>24|25|26|27</v>
      </c>
      <c r="L985" s="18" t="str">
        <f>VLOOKUP(E985,各职业基础配置!B:C,2,FALSE)</f>
        <v>[{24,1,1},{25,1,1},{26,1,1},{27,1,1},{1,1,1},{2,1,1},{3,1,1}]</v>
      </c>
      <c r="M985" s="18">
        <v>0</v>
      </c>
      <c r="N985" s="18">
        <f t="shared" si="169"/>
        <v>3</v>
      </c>
      <c r="O985" s="18">
        <f>SUMPRODUCT(P985:AI985,Sheet2!$B$3:$U$3)</f>
        <v>25319</v>
      </c>
      <c r="P985" s="18">
        <f>CEILING(INDEX([1]系统模型!$VD:$VD,MATCH(C985,[1]系统模型!$A:$A,0))*POWER(C985/220,3.8)-50+(1000-A985),1)</f>
        <v>124</v>
      </c>
      <c r="Q985" s="18">
        <f>CEILING(INDEX([1]系统模型!$VE:$VE,MATCH(C985,[1]系统模型!$A:$A,0))*POWER(C985/220,4),1)</f>
        <v>12</v>
      </c>
      <c r="R985" s="18">
        <f>INT(INDEX([1]系统模型!$VF:$VF,MATCH(C985,[1]系统模型!$A:$A,0))*MAX(POWER(C985/180,4),0.5))</f>
        <v>5244</v>
      </c>
      <c r="S985" s="5">
        <v>1000</v>
      </c>
      <c r="T985" s="25">
        <v>0</v>
      </c>
      <c r="U985" s="25">
        <v>0</v>
      </c>
      <c r="V985" s="25">
        <v>0</v>
      </c>
      <c r="W985" s="25">
        <v>0</v>
      </c>
      <c r="X985" s="25">
        <f t="shared" si="170"/>
        <v>262</v>
      </c>
      <c r="Y985" s="12">
        <v>0</v>
      </c>
      <c r="Z985" s="25">
        <v>100</v>
      </c>
      <c r="AA985" s="25">
        <v>150</v>
      </c>
      <c r="AB985" s="25">
        <v>0</v>
      </c>
      <c r="AC985" s="25">
        <v>0</v>
      </c>
      <c r="AD985" s="25">
        <v>0</v>
      </c>
      <c r="AE985" s="25">
        <f t="shared" si="171"/>
        <v>208</v>
      </c>
      <c r="AF985" s="25">
        <f t="shared" si="172"/>
        <v>208</v>
      </c>
      <c r="AG985" s="25">
        <v>0</v>
      </c>
      <c r="AH985" s="25">
        <f t="shared" si="173"/>
        <v>0</v>
      </c>
      <c r="AI985" s="25">
        <f t="shared" si="174"/>
        <v>1</v>
      </c>
      <c r="AJ985" s="25">
        <v>1</v>
      </c>
      <c r="AK985" s="25">
        <v>1000</v>
      </c>
      <c r="AL985" s="25">
        <v>100</v>
      </c>
      <c r="AM985" s="26">
        <v>10</v>
      </c>
      <c r="AN985" s="26">
        <v>10</v>
      </c>
      <c r="AO985" s="22" t="s">
        <v>2211</v>
      </c>
      <c r="AP985" s="26">
        <v>0</v>
      </c>
      <c r="AQ985" s="26">
        <f t="shared" si="175"/>
        <v>0</v>
      </c>
      <c r="AR985" s="18" t="str">
        <f ca="1">CONCATENATE(OFFSET(Sheet1!$A$2,RANDBETWEEN(2,500),0,1,1),OFFSET(Sheet1!$A$2,RANDBETWEEN(2,500),RANDBETWEEN(1,5),1,1))</f>
        <v>琼斯</v>
      </c>
      <c r="AS985">
        <f>SUMPRODUCT(P985:AI985,Sheet2!$B$3:$U$3)</f>
        <v>25319</v>
      </c>
    </row>
    <row r="986" spans="1:45" x14ac:dyDescent="0.15">
      <c r="A986" s="18">
        <v>985</v>
      </c>
      <c r="B986" s="18" t="s">
        <v>727</v>
      </c>
      <c r="C986" s="18">
        <f t="shared" si="165"/>
        <v>104</v>
      </c>
      <c r="D986" s="19">
        <f t="shared" si="166"/>
        <v>3</v>
      </c>
      <c r="E986" s="19">
        <f>VLOOKUP(MOD(A986,4),各职业基础配置!C$32:D$35,2,FALSE)</f>
        <v>3</v>
      </c>
      <c r="F986" s="19">
        <f>IF(A986&lt;900,INDEX(各职业基础配置!C$23:C$28,MOD(ROW(A986),4)+1),0)</f>
        <v>0</v>
      </c>
      <c r="G986" s="19">
        <f t="shared" si="167"/>
        <v>1</v>
      </c>
      <c r="H986" s="27">
        <f t="shared" si="168"/>
        <v>1</v>
      </c>
      <c r="I986" s="6" t="s">
        <v>164</v>
      </c>
      <c r="J986" s="23" t="str">
        <f>VLOOKUP(E986,各职业基础配置!$B$9:$C$12,2,FALSE)</f>
        <v>106|107|108|4201|110</v>
      </c>
      <c r="K986" s="18" t="str">
        <f>VLOOKUP(E986,各职业基础配置!$B$15:$C$18,2,FALSE)</f>
        <v>20|21|22|23</v>
      </c>
      <c r="L986" s="18" t="str">
        <f>VLOOKUP(E986,各职业基础配置!B:C,2,FALSE)</f>
        <v>[{20,1,1},{21,1,1},{22,1,1},{23,1,1},{4,1,1},{5,1,1},{6,1,1}]</v>
      </c>
      <c r="M986" s="18">
        <v>0</v>
      </c>
      <c r="N986" s="18">
        <f t="shared" si="169"/>
        <v>7</v>
      </c>
      <c r="O986" s="18">
        <f>SUMPRODUCT(P986:AI986,Sheet2!$B$3:$U$3)</f>
        <v>25294</v>
      </c>
      <c r="P986" s="18">
        <f>CEILING(INDEX([1]系统模型!$VD:$VD,MATCH(C986,[1]系统模型!$A:$A,0))*POWER(C986/220,3.8)-50+(1000-A986),1)</f>
        <v>123</v>
      </c>
      <c r="Q986" s="18">
        <f>CEILING(INDEX([1]系统模型!$VE:$VE,MATCH(C986,[1]系统模型!$A:$A,0))*POWER(C986/220,4),1)</f>
        <v>12</v>
      </c>
      <c r="R986" s="18">
        <f>INT(INDEX([1]系统模型!$VF:$VF,MATCH(C986,[1]系统模型!$A:$A,0))*MAX(POWER(C986/180,4),0.5))</f>
        <v>5244</v>
      </c>
      <c r="S986" s="5">
        <v>1000</v>
      </c>
      <c r="T986" s="25">
        <v>0</v>
      </c>
      <c r="U986" s="25">
        <v>0</v>
      </c>
      <c r="V986" s="25">
        <v>0</v>
      </c>
      <c r="W986" s="25">
        <v>0</v>
      </c>
      <c r="X986" s="25">
        <f t="shared" si="170"/>
        <v>262</v>
      </c>
      <c r="Y986" s="12">
        <v>0</v>
      </c>
      <c r="Z986" s="25">
        <v>100</v>
      </c>
      <c r="AA986" s="25">
        <v>150</v>
      </c>
      <c r="AB986" s="25">
        <v>0</v>
      </c>
      <c r="AC986" s="25">
        <v>0</v>
      </c>
      <c r="AD986" s="25">
        <v>0</v>
      </c>
      <c r="AE986" s="25">
        <f t="shared" si="171"/>
        <v>208</v>
      </c>
      <c r="AF986" s="25">
        <f t="shared" si="172"/>
        <v>208</v>
      </c>
      <c r="AG986" s="25">
        <v>0</v>
      </c>
      <c r="AH986" s="25">
        <f t="shared" si="173"/>
        <v>0</v>
      </c>
      <c r="AI986" s="25">
        <f t="shared" si="174"/>
        <v>1</v>
      </c>
      <c r="AJ986" s="25">
        <v>1</v>
      </c>
      <c r="AK986" s="25">
        <v>1000</v>
      </c>
      <c r="AL986" s="25">
        <v>100</v>
      </c>
      <c r="AM986" s="26">
        <v>10</v>
      </c>
      <c r="AN986" s="26">
        <v>10</v>
      </c>
      <c r="AO986" s="22" t="s">
        <v>2211</v>
      </c>
      <c r="AP986" s="26">
        <v>0</v>
      </c>
      <c r="AQ986" s="26">
        <f t="shared" si="175"/>
        <v>0</v>
      </c>
      <c r="AR986" s="18" t="str">
        <f ca="1">CONCATENATE(OFFSET(Sheet1!$A$2,RANDBETWEEN(2,500),0,1,1),OFFSET(Sheet1!$A$2,RANDBETWEEN(2,500),RANDBETWEEN(1,5),1,1))</f>
        <v>阿拉贝拉</v>
      </c>
      <c r="AS986">
        <f>SUMPRODUCT(P986:AI986,Sheet2!$B$3:$U$3)</f>
        <v>25294</v>
      </c>
    </row>
    <row r="987" spans="1:45" x14ac:dyDescent="0.15">
      <c r="A987" s="18">
        <v>986</v>
      </c>
      <c r="B987" s="18" t="s">
        <v>200</v>
      </c>
      <c r="C987" s="18">
        <f t="shared" si="165"/>
        <v>104</v>
      </c>
      <c r="D987" s="19">
        <f t="shared" si="166"/>
        <v>2</v>
      </c>
      <c r="E987" s="19">
        <f>VLOOKUP(MOD(A987,4),各职业基础配置!C$32:D$35,2,FALSE)</f>
        <v>6</v>
      </c>
      <c r="F987" s="19">
        <f>IF(A987&lt;900,INDEX(各职业基础配置!C$23:C$28,MOD(ROW(A987),4)+1),0)</f>
        <v>0</v>
      </c>
      <c r="G987" s="19">
        <f t="shared" si="167"/>
        <v>1</v>
      </c>
      <c r="H987" s="27">
        <f t="shared" si="168"/>
        <v>1</v>
      </c>
      <c r="I987" s="6" t="s">
        <v>164</v>
      </c>
      <c r="J987" s="23" t="str">
        <f>VLOOKUP(E987,各职业基础配置!$B$9:$C$12,2,FALSE)</f>
        <v>111|112|113|4201|115</v>
      </c>
      <c r="K987" s="18" t="str">
        <f>VLOOKUP(E987,各职业基础配置!$B$15:$C$18,2,FALSE)</f>
        <v>32|33|34</v>
      </c>
      <c r="L987" s="18" t="str">
        <f>VLOOKUP(E987,各职业基础配置!B:C,2,FALSE)</f>
        <v>[{32,1,1},{33,1,1},{34,1,1},{35,1,1},{7,1,1},{8,1,1},{9,1,1}]</v>
      </c>
      <c r="M987" s="18">
        <v>0</v>
      </c>
      <c r="N987" s="18">
        <f t="shared" si="169"/>
        <v>7</v>
      </c>
      <c r="O987" s="18">
        <f>SUMPRODUCT(P987:AI987,Sheet2!$B$3:$U$3)</f>
        <v>25269</v>
      </c>
      <c r="P987" s="18">
        <f>CEILING(INDEX([1]系统模型!$VD:$VD,MATCH(C987,[1]系统模型!$A:$A,0))*POWER(C987/220,3.8)-50+(1000-A987),1)</f>
        <v>122</v>
      </c>
      <c r="Q987" s="18">
        <f>CEILING(INDEX([1]系统模型!$VE:$VE,MATCH(C987,[1]系统模型!$A:$A,0))*POWER(C987/220,4),1)</f>
        <v>12</v>
      </c>
      <c r="R987" s="18">
        <f>INT(INDEX([1]系统模型!$VF:$VF,MATCH(C987,[1]系统模型!$A:$A,0))*MAX(POWER(C987/180,4),0.5))</f>
        <v>5244</v>
      </c>
      <c r="S987" s="5">
        <v>1000</v>
      </c>
      <c r="T987" s="25">
        <v>0</v>
      </c>
      <c r="U987" s="25">
        <v>0</v>
      </c>
      <c r="V987" s="25">
        <v>0</v>
      </c>
      <c r="W987" s="25">
        <v>0</v>
      </c>
      <c r="X987" s="25">
        <f t="shared" si="170"/>
        <v>262</v>
      </c>
      <c r="Y987" s="12">
        <v>0</v>
      </c>
      <c r="Z987" s="25">
        <v>100</v>
      </c>
      <c r="AA987" s="25">
        <v>150</v>
      </c>
      <c r="AB987" s="25">
        <v>0</v>
      </c>
      <c r="AC987" s="25">
        <v>0</v>
      </c>
      <c r="AD987" s="25">
        <v>0</v>
      </c>
      <c r="AE987" s="25">
        <f t="shared" si="171"/>
        <v>208</v>
      </c>
      <c r="AF987" s="25">
        <f t="shared" si="172"/>
        <v>208</v>
      </c>
      <c r="AG987" s="25">
        <v>0</v>
      </c>
      <c r="AH987" s="25">
        <f t="shared" si="173"/>
        <v>0</v>
      </c>
      <c r="AI987" s="25">
        <f t="shared" si="174"/>
        <v>1</v>
      </c>
      <c r="AJ987" s="25">
        <v>1</v>
      </c>
      <c r="AK987" s="25">
        <v>1000</v>
      </c>
      <c r="AL987" s="25">
        <v>100</v>
      </c>
      <c r="AM987" s="26">
        <v>10</v>
      </c>
      <c r="AN987" s="26">
        <v>10</v>
      </c>
      <c r="AO987" s="22" t="s">
        <v>2211</v>
      </c>
      <c r="AP987" s="26">
        <v>0</v>
      </c>
      <c r="AQ987" s="26">
        <f t="shared" si="175"/>
        <v>0</v>
      </c>
      <c r="AR987" s="18" t="str">
        <f ca="1">CONCATENATE(OFFSET(Sheet1!$A$2,RANDBETWEEN(2,500),0,1,1),OFFSET(Sheet1!$A$2,RANDBETWEEN(2,500),RANDBETWEEN(1,5),1,1))</f>
        <v>康拉德经典</v>
      </c>
      <c r="AS987">
        <f>SUMPRODUCT(P987:AI987,Sheet2!$B$3:$U$3)</f>
        <v>25269</v>
      </c>
    </row>
    <row r="988" spans="1:45" x14ac:dyDescent="0.15">
      <c r="A988" s="23">
        <v>987</v>
      </c>
      <c r="B988" s="18" t="s">
        <v>2201</v>
      </c>
      <c r="C988" s="18">
        <f t="shared" si="165"/>
        <v>103</v>
      </c>
      <c r="D988" s="19">
        <f t="shared" si="166"/>
        <v>3</v>
      </c>
      <c r="E988" s="19">
        <f>VLOOKUP(MOD(A988,4),各职业基础配置!C$32:D$35,2,FALSE)</f>
        <v>9</v>
      </c>
      <c r="F988" s="19">
        <f>IF(A988&lt;900,INDEX(各职业基础配置!C$23:C$28,MOD(ROW(A988),4)+1),0)</f>
        <v>0</v>
      </c>
      <c r="G988" s="19">
        <f t="shared" si="167"/>
        <v>1</v>
      </c>
      <c r="H988" s="27">
        <f t="shared" si="168"/>
        <v>1</v>
      </c>
      <c r="I988" s="6" t="s">
        <v>164</v>
      </c>
      <c r="J988" s="23" t="str">
        <f>VLOOKUP(E988,各职业基础配置!$B$9:$C$12,2,FALSE)</f>
        <v>116|117|118|4201|120</v>
      </c>
      <c r="K988" s="18" t="str">
        <f>VLOOKUP(E988,各职业基础配置!$B$15:$C$18,2,FALSE)</f>
        <v>28|29|30|31</v>
      </c>
      <c r="L988" s="18" t="str">
        <f>VLOOKUP(E988,各职业基础配置!B:C,2,FALSE)</f>
        <v>[{28,1,1},{29,1,1},{30,1,1},{31,1,1},{10,1,1},{11,1,1},{12,1,1}]</v>
      </c>
      <c r="M988" s="18">
        <v>0</v>
      </c>
      <c r="N988" s="18">
        <f t="shared" si="169"/>
        <v>3</v>
      </c>
      <c r="O988" s="18">
        <f>SUMPRODUCT(P988:AI988,Sheet2!$B$3:$U$3)</f>
        <v>24889</v>
      </c>
      <c r="P988" s="18">
        <f>CEILING(INDEX([1]系统模型!$VD:$VD,MATCH(C988,[1]系统模型!$A:$A,0))*POWER(C988/220,3.8)-50+(1000-A988),1)</f>
        <v>114</v>
      </c>
      <c r="Q988" s="18">
        <f>CEILING(INDEX([1]系统模型!$VE:$VE,MATCH(C988,[1]系统模型!$A:$A,0))*POWER(C988/220,4),1)</f>
        <v>12</v>
      </c>
      <c r="R988" s="18">
        <f>INT(INDEX([1]系统模型!$VF:$VF,MATCH(C988,[1]系统模型!$A:$A,0))*MAX(POWER(C988/180,4),0.5))</f>
        <v>5164</v>
      </c>
      <c r="S988" s="5">
        <v>1000</v>
      </c>
      <c r="T988" s="25">
        <v>0</v>
      </c>
      <c r="U988" s="25">
        <v>0</v>
      </c>
      <c r="V988" s="25">
        <v>0</v>
      </c>
      <c r="W988" s="25">
        <v>0</v>
      </c>
      <c r="X988" s="25">
        <f t="shared" si="170"/>
        <v>258</v>
      </c>
      <c r="Y988" s="12">
        <v>0</v>
      </c>
      <c r="Z988" s="25">
        <v>100</v>
      </c>
      <c r="AA988" s="25">
        <v>150</v>
      </c>
      <c r="AB988" s="25">
        <v>0</v>
      </c>
      <c r="AC988" s="25">
        <v>0</v>
      </c>
      <c r="AD988" s="25">
        <v>0</v>
      </c>
      <c r="AE988" s="25">
        <f t="shared" si="171"/>
        <v>206</v>
      </c>
      <c r="AF988" s="25">
        <f t="shared" si="172"/>
        <v>206</v>
      </c>
      <c r="AG988" s="25">
        <v>0</v>
      </c>
      <c r="AH988" s="25">
        <f t="shared" si="173"/>
        <v>0</v>
      </c>
      <c r="AI988" s="25">
        <f t="shared" si="174"/>
        <v>1</v>
      </c>
      <c r="AJ988" s="25">
        <v>1</v>
      </c>
      <c r="AK988" s="25">
        <v>1000</v>
      </c>
      <c r="AL988" s="25">
        <v>100</v>
      </c>
      <c r="AM988" s="26">
        <v>10</v>
      </c>
      <c r="AN988" s="26">
        <v>10</v>
      </c>
      <c r="AO988" s="22" t="s">
        <v>2211</v>
      </c>
      <c r="AP988" s="26">
        <v>0</v>
      </c>
      <c r="AQ988" s="26">
        <f t="shared" si="175"/>
        <v>0</v>
      </c>
      <c r="AR988" s="18" t="str">
        <f ca="1">CONCATENATE(OFFSET(Sheet1!$A$2,RANDBETWEEN(2,500),0,1,1),OFFSET(Sheet1!$A$2,RANDBETWEEN(2,500),RANDBETWEEN(1,5),1,1))</f>
        <v>埃兰娜罗丝</v>
      </c>
      <c r="AS988">
        <f>SUMPRODUCT(P988:AI988,Sheet2!$B$3:$U$3)</f>
        <v>24889</v>
      </c>
    </row>
    <row r="989" spans="1:45" x14ac:dyDescent="0.15">
      <c r="A989" s="18">
        <v>988</v>
      </c>
      <c r="B989" s="18" t="s">
        <v>2202</v>
      </c>
      <c r="C989" s="18">
        <f t="shared" si="165"/>
        <v>103</v>
      </c>
      <c r="D989" s="19">
        <f t="shared" si="166"/>
        <v>2</v>
      </c>
      <c r="E989" s="19">
        <f>VLOOKUP(MOD(A989,4),各职业基础配置!C$32:D$35,2,FALSE)</f>
        <v>1</v>
      </c>
      <c r="F989" s="19">
        <f>IF(A989&lt;900,INDEX(各职业基础配置!C$23:C$28,MOD(ROW(A989),4)+1),0)</f>
        <v>0</v>
      </c>
      <c r="G989" s="19">
        <f t="shared" si="167"/>
        <v>1</v>
      </c>
      <c r="H989" s="27">
        <f t="shared" si="168"/>
        <v>1</v>
      </c>
      <c r="I989" s="6" t="s">
        <v>164</v>
      </c>
      <c r="J989" s="23" t="str">
        <f>VLOOKUP(E989,各职业基础配置!$B$9:$C$12,2,FALSE)</f>
        <v>101|102|103|4201|105</v>
      </c>
      <c r="K989" s="18" t="str">
        <f>VLOOKUP(E989,各职业基础配置!$B$15:$C$18,2,FALSE)</f>
        <v>24|25|26|27</v>
      </c>
      <c r="L989" s="18" t="str">
        <f>VLOOKUP(E989,各职业基础配置!B:C,2,FALSE)</f>
        <v>[{24,1,1},{25,1,1},{26,1,1},{27,1,1},{1,1,1},{2,1,1},{3,1,1}]</v>
      </c>
      <c r="M989" s="18">
        <v>0</v>
      </c>
      <c r="N989" s="18">
        <f t="shared" si="169"/>
        <v>3</v>
      </c>
      <c r="O989" s="18">
        <f>SUMPRODUCT(P989:AI989,Sheet2!$B$3:$U$3)</f>
        <v>24864</v>
      </c>
      <c r="P989" s="18">
        <f>CEILING(INDEX([1]系统模型!$VD:$VD,MATCH(C989,[1]系统模型!$A:$A,0))*POWER(C989/220,3.8)-50+(1000-A989),1)</f>
        <v>113</v>
      </c>
      <c r="Q989" s="18">
        <f>CEILING(INDEX([1]系统模型!$VE:$VE,MATCH(C989,[1]系统模型!$A:$A,0))*POWER(C989/220,4),1)</f>
        <v>12</v>
      </c>
      <c r="R989" s="18">
        <f>INT(INDEX([1]系统模型!$VF:$VF,MATCH(C989,[1]系统模型!$A:$A,0))*MAX(POWER(C989/180,4),0.5))</f>
        <v>5164</v>
      </c>
      <c r="S989" s="5">
        <v>1000</v>
      </c>
      <c r="T989" s="25">
        <v>0</v>
      </c>
      <c r="U989" s="25">
        <v>0</v>
      </c>
      <c r="V989" s="25">
        <v>0</v>
      </c>
      <c r="W989" s="25">
        <v>0</v>
      </c>
      <c r="X989" s="25">
        <f t="shared" si="170"/>
        <v>258</v>
      </c>
      <c r="Y989" s="12">
        <v>0</v>
      </c>
      <c r="Z989" s="25">
        <v>100</v>
      </c>
      <c r="AA989" s="25">
        <v>150</v>
      </c>
      <c r="AB989" s="25">
        <v>0</v>
      </c>
      <c r="AC989" s="25">
        <v>0</v>
      </c>
      <c r="AD989" s="25">
        <v>0</v>
      </c>
      <c r="AE989" s="25">
        <f t="shared" si="171"/>
        <v>206</v>
      </c>
      <c r="AF989" s="25">
        <f t="shared" si="172"/>
        <v>206</v>
      </c>
      <c r="AG989" s="25">
        <v>0</v>
      </c>
      <c r="AH989" s="25">
        <f t="shared" si="173"/>
        <v>0</v>
      </c>
      <c r="AI989" s="25">
        <f t="shared" si="174"/>
        <v>1</v>
      </c>
      <c r="AJ989" s="25">
        <v>1</v>
      </c>
      <c r="AK989" s="25">
        <v>1000</v>
      </c>
      <c r="AL989" s="25">
        <v>100</v>
      </c>
      <c r="AM989" s="26">
        <v>10</v>
      </c>
      <c r="AN989" s="26">
        <v>10</v>
      </c>
      <c r="AO989" s="22" t="s">
        <v>2211</v>
      </c>
      <c r="AP989" s="26">
        <v>0</v>
      </c>
      <c r="AQ989" s="26">
        <f t="shared" si="175"/>
        <v>0</v>
      </c>
      <c r="AR989" s="18" t="str">
        <f ca="1">CONCATENATE(OFFSET(Sheet1!$A$2,RANDBETWEEN(2,500),0,1,1),OFFSET(Sheet1!$A$2,RANDBETWEEN(2,500),RANDBETWEEN(1,5),1,1))</f>
        <v>艾迪生</v>
      </c>
      <c r="AS989">
        <f>SUMPRODUCT(P989:AI989,Sheet2!$B$3:$U$3)</f>
        <v>24864</v>
      </c>
    </row>
    <row r="990" spans="1:45" x14ac:dyDescent="0.15">
      <c r="A990" s="18">
        <v>989</v>
      </c>
      <c r="B990" s="18" t="s">
        <v>480</v>
      </c>
      <c r="C990" s="18">
        <f t="shared" si="165"/>
        <v>103</v>
      </c>
      <c r="D990" s="19">
        <f t="shared" si="166"/>
        <v>3</v>
      </c>
      <c r="E990" s="19">
        <f>VLOOKUP(MOD(A990,4),各职业基础配置!C$32:D$35,2,FALSE)</f>
        <v>3</v>
      </c>
      <c r="F990" s="19">
        <f>IF(A990&lt;900,INDEX(各职业基础配置!C$23:C$28,MOD(ROW(A990),4)+1),0)</f>
        <v>0</v>
      </c>
      <c r="G990" s="19">
        <f t="shared" si="167"/>
        <v>1</v>
      </c>
      <c r="H990" s="27">
        <f t="shared" si="168"/>
        <v>1</v>
      </c>
      <c r="I990" s="6" t="s">
        <v>164</v>
      </c>
      <c r="J990" s="23" t="str">
        <f>VLOOKUP(E990,各职业基础配置!$B$9:$C$12,2,FALSE)</f>
        <v>106|107|108|4201|110</v>
      </c>
      <c r="K990" s="18" t="str">
        <f>VLOOKUP(E990,各职业基础配置!$B$15:$C$18,2,FALSE)</f>
        <v>20|21|22|23</v>
      </c>
      <c r="L990" s="18" t="str">
        <f>VLOOKUP(E990,各职业基础配置!B:C,2,FALSE)</f>
        <v>[{20,1,1},{21,1,1},{22,1,1},{23,1,1},{4,1,1},{5,1,1},{6,1,1}]</v>
      </c>
      <c r="M990" s="18">
        <v>0</v>
      </c>
      <c r="N990" s="18">
        <f t="shared" si="169"/>
        <v>7</v>
      </c>
      <c r="O990" s="18">
        <f>SUMPRODUCT(P990:AI990,Sheet2!$B$3:$U$3)</f>
        <v>24839</v>
      </c>
      <c r="P990" s="18">
        <f>CEILING(INDEX([1]系统模型!$VD:$VD,MATCH(C990,[1]系统模型!$A:$A,0))*POWER(C990/220,3.8)-50+(1000-A990),1)</f>
        <v>112</v>
      </c>
      <c r="Q990" s="18">
        <f>CEILING(INDEX([1]系统模型!$VE:$VE,MATCH(C990,[1]系统模型!$A:$A,0))*POWER(C990/220,4),1)</f>
        <v>12</v>
      </c>
      <c r="R990" s="18">
        <f>INT(INDEX([1]系统模型!$VF:$VF,MATCH(C990,[1]系统模型!$A:$A,0))*MAX(POWER(C990/180,4),0.5))</f>
        <v>5164</v>
      </c>
      <c r="S990" s="5">
        <v>1000</v>
      </c>
      <c r="T990" s="25">
        <v>0</v>
      </c>
      <c r="U990" s="25">
        <v>0</v>
      </c>
      <c r="V990" s="25">
        <v>0</v>
      </c>
      <c r="W990" s="25">
        <v>0</v>
      </c>
      <c r="X990" s="25">
        <f t="shared" si="170"/>
        <v>258</v>
      </c>
      <c r="Y990" s="12">
        <v>0</v>
      </c>
      <c r="Z990" s="25">
        <v>100</v>
      </c>
      <c r="AA990" s="25">
        <v>150</v>
      </c>
      <c r="AB990" s="25">
        <v>0</v>
      </c>
      <c r="AC990" s="25">
        <v>0</v>
      </c>
      <c r="AD990" s="25">
        <v>0</v>
      </c>
      <c r="AE990" s="25">
        <f t="shared" si="171"/>
        <v>206</v>
      </c>
      <c r="AF990" s="25">
        <f t="shared" si="172"/>
        <v>206</v>
      </c>
      <c r="AG990" s="25">
        <v>0</v>
      </c>
      <c r="AH990" s="25">
        <f t="shared" si="173"/>
        <v>0</v>
      </c>
      <c r="AI990" s="25">
        <f t="shared" si="174"/>
        <v>1</v>
      </c>
      <c r="AJ990" s="25">
        <v>1</v>
      </c>
      <c r="AK990" s="25">
        <v>1000</v>
      </c>
      <c r="AL990" s="25">
        <v>100</v>
      </c>
      <c r="AM990" s="26">
        <v>10</v>
      </c>
      <c r="AN990" s="26">
        <v>10</v>
      </c>
      <c r="AO990" s="22" t="s">
        <v>2211</v>
      </c>
      <c r="AP990" s="26">
        <v>0</v>
      </c>
      <c r="AQ990" s="26">
        <f t="shared" si="175"/>
        <v>0</v>
      </c>
      <c r="AR990" s="18" t="str">
        <f ca="1">CONCATENATE(OFFSET(Sheet1!$A$2,RANDBETWEEN(2,500),0,1,1),OFFSET(Sheet1!$A$2,RANDBETWEEN(2,500),RANDBETWEEN(1,5),1,1))</f>
        <v>芬克</v>
      </c>
      <c r="AS990">
        <f>SUMPRODUCT(P990:AI990,Sheet2!$B$3:$U$3)</f>
        <v>24839</v>
      </c>
    </row>
    <row r="991" spans="1:45" x14ac:dyDescent="0.15">
      <c r="A991" s="23">
        <v>990</v>
      </c>
      <c r="B991" s="18" t="s">
        <v>2203</v>
      </c>
      <c r="C991" s="18">
        <f t="shared" si="165"/>
        <v>103</v>
      </c>
      <c r="D991" s="19">
        <f t="shared" si="166"/>
        <v>2</v>
      </c>
      <c r="E991" s="19">
        <f>VLOOKUP(MOD(A991,4),各职业基础配置!C$32:D$35,2,FALSE)</f>
        <v>6</v>
      </c>
      <c r="F991" s="19">
        <f>IF(A991&lt;900,INDEX(各职业基础配置!C$23:C$28,MOD(ROW(A991),4)+1),0)</f>
        <v>0</v>
      </c>
      <c r="G991" s="19">
        <f t="shared" si="167"/>
        <v>1</v>
      </c>
      <c r="H991" s="27">
        <f t="shared" si="168"/>
        <v>1</v>
      </c>
      <c r="I991" s="6" t="s">
        <v>164</v>
      </c>
      <c r="J991" s="23" t="str">
        <f>VLOOKUP(E991,各职业基础配置!$B$9:$C$12,2,FALSE)</f>
        <v>111|112|113|4201|115</v>
      </c>
      <c r="K991" s="18" t="str">
        <f>VLOOKUP(E991,各职业基础配置!$B$15:$C$18,2,FALSE)</f>
        <v>32|33|34</v>
      </c>
      <c r="L991" s="18" t="str">
        <f>VLOOKUP(E991,各职业基础配置!B:C,2,FALSE)</f>
        <v>[{32,1,1},{33,1,1},{34,1,1},{35,1,1},{7,1,1},{8,1,1},{9,1,1}]</v>
      </c>
      <c r="M991" s="18">
        <v>0</v>
      </c>
      <c r="N991" s="18">
        <f t="shared" si="169"/>
        <v>7</v>
      </c>
      <c r="O991" s="18">
        <f>SUMPRODUCT(P991:AI991,Sheet2!$B$3:$U$3)</f>
        <v>24814</v>
      </c>
      <c r="P991" s="18">
        <f>CEILING(INDEX([1]系统模型!$VD:$VD,MATCH(C991,[1]系统模型!$A:$A,0))*POWER(C991/220,3.8)-50+(1000-A991),1)</f>
        <v>111</v>
      </c>
      <c r="Q991" s="18">
        <f>CEILING(INDEX([1]系统模型!$VE:$VE,MATCH(C991,[1]系统模型!$A:$A,0))*POWER(C991/220,4),1)</f>
        <v>12</v>
      </c>
      <c r="R991" s="18">
        <f>INT(INDEX([1]系统模型!$VF:$VF,MATCH(C991,[1]系统模型!$A:$A,0))*MAX(POWER(C991/180,4),0.5))</f>
        <v>5164</v>
      </c>
      <c r="S991" s="5">
        <v>1000</v>
      </c>
      <c r="T991" s="25">
        <v>0</v>
      </c>
      <c r="U991" s="25">
        <v>0</v>
      </c>
      <c r="V991" s="25">
        <v>0</v>
      </c>
      <c r="W991" s="25">
        <v>0</v>
      </c>
      <c r="X991" s="25">
        <f t="shared" si="170"/>
        <v>258</v>
      </c>
      <c r="Y991" s="12">
        <v>0</v>
      </c>
      <c r="Z991" s="25">
        <v>100</v>
      </c>
      <c r="AA991" s="25">
        <v>150</v>
      </c>
      <c r="AB991" s="25">
        <v>0</v>
      </c>
      <c r="AC991" s="25">
        <v>0</v>
      </c>
      <c r="AD991" s="25">
        <v>0</v>
      </c>
      <c r="AE991" s="25">
        <f t="shared" si="171"/>
        <v>206</v>
      </c>
      <c r="AF991" s="25">
        <f t="shared" si="172"/>
        <v>206</v>
      </c>
      <c r="AG991" s="25">
        <v>0</v>
      </c>
      <c r="AH991" s="25">
        <f t="shared" si="173"/>
        <v>0</v>
      </c>
      <c r="AI991" s="25">
        <f t="shared" si="174"/>
        <v>1</v>
      </c>
      <c r="AJ991" s="25">
        <v>1</v>
      </c>
      <c r="AK991" s="25">
        <v>1000</v>
      </c>
      <c r="AL991" s="25">
        <v>100</v>
      </c>
      <c r="AM991" s="26">
        <v>10</v>
      </c>
      <c r="AN991" s="26">
        <v>10</v>
      </c>
      <c r="AO991" s="22" t="s">
        <v>2211</v>
      </c>
      <c r="AP991" s="26">
        <v>0</v>
      </c>
      <c r="AQ991" s="26">
        <f t="shared" si="175"/>
        <v>0</v>
      </c>
      <c r="AR991" s="18" t="str">
        <f ca="1">CONCATENATE(OFFSET(Sheet1!$A$2,RANDBETWEEN(2,500),0,1,1),OFFSET(Sheet1!$A$2,RANDBETWEEN(2,500),RANDBETWEEN(1,5),1,1))</f>
        <v>亚当</v>
      </c>
      <c r="AS991">
        <f>SUMPRODUCT(P991:AI991,Sheet2!$B$3:$U$3)</f>
        <v>24814</v>
      </c>
    </row>
    <row r="992" spans="1:45" x14ac:dyDescent="0.15">
      <c r="A992" s="18">
        <v>991</v>
      </c>
      <c r="B992" s="18" t="s">
        <v>514</v>
      </c>
      <c r="C992" s="18">
        <f t="shared" si="165"/>
        <v>103</v>
      </c>
      <c r="D992" s="19">
        <f t="shared" si="166"/>
        <v>3</v>
      </c>
      <c r="E992" s="19">
        <f>VLOOKUP(MOD(A992,4),各职业基础配置!C$32:D$35,2,FALSE)</f>
        <v>9</v>
      </c>
      <c r="F992" s="19">
        <f>IF(A992&lt;900,INDEX(各职业基础配置!C$23:C$28,MOD(ROW(A992),4)+1),0)</f>
        <v>0</v>
      </c>
      <c r="G992" s="19">
        <f t="shared" si="167"/>
        <v>1</v>
      </c>
      <c r="H992" s="27">
        <f t="shared" si="168"/>
        <v>1</v>
      </c>
      <c r="I992" s="6" t="s">
        <v>164</v>
      </c>
      <c r="J992" s="23" t="str">
        <f>VLOOKUP(E992,各职业基础配置!$B$9:$C$12,2,FALSE)</f>
        <v>116|117|118|4201|120</v>
      </c>
      <c r="K992" s="18" t="str">
        <f>VLOOKUP(E992,各职业基础配置!$B$15:$C$18,2,FALSE)</f>
        <v>28|29|30|31</v>
      </c>
      <c r="L992" s="18" t="str">
        <f>VLOOKUP(E992,各职业基础配置!B:C,2,FALSE)</f>
        <v>[{28,1,1},{29,1,1},{30,1,1},{31,1,1},{10,1,1},{11,1,1},{12,1,1}]</v>
      </c>
      <c r="M992" s="18">
        <v>0</v>
      </c>
      <c r="N992" s="18">
        <f t="shared" si="169"/>
        <v>3</v>
      </c>
      <c r="O992" s="18">
        <f>SUMPRODUCT(P992:AI992,Sheet2!$B$3:$U$3)</f>
        <v>24789</v>
      </c>
      <c r="P992" s="18">
        <f>CEILING(INDEX([1]系统模型!$VD:$VD,MATCH(C992,[1]系统模型!$A:$A,0))*POWER(C992/220,3.8)-50+(1000-A992),1)</f>
        <v>110</v>
      </c>
      <c r="Q992" s="18">
        <f>CEILING(INDEX([1]系统模型!$VE:$VE,MATCH(C992,[1]系统模型!$A:$A,0))*POWER(C992/220,4),1)</f>
        <v>12</v>
      </c>
      <c r="R992" s="18">
        <f>INT(INDEX([1]系统模型!$VF:$VF,MATCH(C992,[1]系统模型!$A:$A,0))*MAX(POWER(C992/180,4),0.5))</f>
        <v>5164</v>
      </c>
      <c r="S992" s="5">
        <v>1000</v>
      </c>
      <c r="T992" s="25">
        <v>0</v>
      </c>
      <c r="U992" s="25">
        <v>0</v>
      </c>
      <c r="V992" s="25">
        <v>0</v>
      </c>
      <c r="W992" s="25">
        <v>0</v>
      </c>
      <c r="X992" s="25">
        <f t="shared" si="170"/>
        <v>258</v>
      </c>
      <c r="Y992" s="12">
        <v>0</v>
      </c>
      <c r="Z992" s="25">
        <v>100</v>
      </c>
      <c r="AA992" s="25">
        <v>150</v>
      </c>
      <c r="AB992" s="25">
        <v>0</v>
      </c>
      <c r="AC992" s="25">
        <v>0</v>
      </c>
      <c r="AD992" s="25">
        <v>0</v>
      </c>
      <c r="AE992" s="25">
        <f t="shared" si="171"/>
        <v>206</v>
      </c>
      <c r="AF992" s="25">
        <f t="shared" si="172"/>
        <v>206</v>
      </c>
      <c r="AG992" s="25">
        <v>0</v>
      </c>
      <c r="AH992" s="25">
        <f t="shared" si="173"/>
        <v>0</v>
      </c>
      <c r="AI992" s="25">
        <f t="shared" si="174"/>
        <v>1</v>
      </c>
      <c r="AJ992" s="25">
        <v>1</v>
      </c>
      <c r="AK992" s="25">
        <v>1000</v>
      </c>
      <c r="AL992" s="25">
        <v>100</v>
      </c>
      <c r="AM992" s="26">
        <v>10</v>
      </c>
      <c r="AN992" s="26">
        <v>10</v>
      </c>
      <c r="AO992" s="22" t="s">
        <v>2211</v>
      </c>
      <c r="AP992" s="26">
        <v>0</v>
      </c>
      <c r="AQ992" s="26">
        <f t="shared" si="175"/>
        <v>0</v>
      </c>
      <c r="AR992" s="18" t="str">
        <f ca="1">CONCATENATE(OFFSET(Sheet1!$A$2,RANDBETWEEN(2,500),0,1,1),OFFSET(Sheet1!$A$2,RANDBETWEEN(2,500),RANDBETWEEN(1,5),1,1))</f>
        <v>卡罗琳</v>
      </c>
      <c r="AS992">
        <f>SUMPRODUCT(P992:AI992,Sheet2!$B$3:$U$3)</f>
        <v>24789</v>
      </c>
    </row>
    <row r="993" spans="1:45" x14ac:dyDescent="0.15">
      <c r="A993" s="18">
        <v>992</v>
      </c>
      <c r="B993" s="18" t="s">
        <v>2204</v>
      </c>
      <c r="C993" s="18">
        <f t="shared" si="165"/>
        <v>103</v>
      </c>
      <c r="D993" s="19">
        <f t="shared" si="166"/>
        <v>2</v>
      </c>
      <c r="E993" s="19">
        <f>VLOOKUP(MOD(A993,4),各职业基础配置!C$32:D$35,2,FALSE)</f>
        <v>1</v>
      </c>
      <c r="F993" s="19">
        <f>IF(A993&lt;900,INDEX(各职业基础配置!C$23:C$28,MOD(ROW(A993),4)+1),0)</f>
        <v>0</v>
      </c>
      <c r="G993" s="19">
        <f t="shared" si="167"/>
        <v>1</v>
      </c>
      <c r="H993" s="27">
        <f t="shared" si="168"/>
        <v>1</v>
      </c>
      <c r="I993" s="6" t="s">
        <v>164</v>
      </c>
      <c r="J993" s="23" t="str">
        <f>VLOOKUP(E993,各职业基础配置!$B$9:$C$12,2,FALSE)</f>
        <v>101|102|103|4201|105</v>
      </c>
      <c r="K993" s="18" t="str">
        <f>VLOOKUP(E993,各职业基础配置!$B$15:$C$18,2,FALSE)</f>
        <v>24|25|26|27</v>
      </c>
      <c r="L993" s="18" t="str">
        <f>VLOOKUP(E993,各职业基础配置!B:C,2,FALSE)</f>
        <v>[{24,1,1},{25,1,1},{26,1,1},{27,1,1},{1,1,1},{2,1,1},{3,1,1}]</v>
      </c>
      <c r="M993" s="18">
        <v>0</v>
      </c>
      <c r="N993" s="18">
        <f t="shared" si="169"/>
        <v>3</v>
      </c>
      <c r="O993" s="18">
        <f>SUMPRODUCT(P993:AI993,Sheet2!$B$3:$U$3)</f>
        <v>24764</v>
      </c>
      <c r="P993" s="18">
        <f>CEILING(INDEX([1]系统模型!$VD:$VD,MATCH(C993,[1]系统模型!$A:$A,0))*POWER(C993/220,3.8)-50+(1000-A993),1)</f>
        <v>109</v>
      </c>
      <c r="Q993" s="18">
        <f>CEILING(INDEX([1]系统模型!$VE:$VE,MATCH(C993,[1]系统模型!$A:$A,0))*POWER(C993/220,4),1)</f>
        <v>12</v>
      </c>
      <c r="R993" s="18">
        <f>INT(INDEX([1]系统模型!$VF:$VF,MATCH(C993,[1]系统模型!$A:$A,0))*MAX(POWER(C993/180,4),0.5))</f>
        <v>5164</v>
      </c>
      <c r="S993" s="5">
        <v>1000</v>
      </c>
      <c r="T993" s="25">
        <v>0</v>
      </c>
      <c r="U993" s="25">
        <v>0</v>
      </c>
      <c r="V993" s="25">
        <v>0</v>
      </c>
      <c r="W993" s="25">
        <v>0</v>
      </c>
      <c r="X993" s="25">
        <f t="shared" si="170"/>
        <v>258</v>
      </c>
      <c r="Y993" s="12">
        <v>0</v>
      </c>
      <c r="Z993" s="25">
        <v>100</v>
      </c>
      <c r="AA993" s="25">
        <v>150</v>
      </c>
      <c r="AB993" s="25">
        <v>0</v>
      </c>
      <c r="AC993" s="25">
        <v>0</v>
      </c>
      <c r="AD993" s="25">
        <v>0</v>
      </c>
      <c r="AE993" s="25">
        <f t="shared" si="171"/>
        <v>206</v>
      </c>
      <c r="AF993" s="25">
        <f t="shared" si="172"/>
        <v>206</v>
      </c>
      <c r="AG993" s="25">
        <v>0</v>
      </c>
      <c r="AH993" s="25">
        <f t="shared" si="173"/>
        <v>0</v>
      </c>
      <c r="AI993" s="25">
        <f t="shared" si="174"/>
        <v>1</v>
      </c>
      <c r="AJ993" s="25">
        <v>1</v>
      </c>
      <c r="AK993" s="25">
        <v>1000</v>
      </c>
      <c r="AL993" s="25">
        <v>100</v>
      </c>
      <c r="AM993" s="26">
        <v>10</v>
      </c>
      <c r="AN993" s="26">
        <v>10</v>
      </c>
      <c r="AO993" s="22" t="s">
        <v>2211</v>
      </c>
      <c r="AP993" s="26">
        <v>0</v>
      </c>
      <c r="AQ993" s="26">
        <f t="shared" si="175"/>
        <v>0</v>
      </c>
      <c r="AR993" s="18" t="str">
        <f ca="1">CONCATENATE(OFFSET(Sheet1!$A$2,RANDBETWEEN(2,500),0,1,1),OFFSET(Sheet1!$A$2,RANDBETWEEN(2,500),RANDBETWEEN(1,5),1,1))</f>
        <v>戴维</v>
      </c>
      <c r="AS993">
        <f>SUMPRODUCT(P993:AI993,Sheet2!$B$3:$U$3)</f>
        <v>24764</v>
      </c>
    </row>
    <row r="994" spans="1:45" x14ac:dyDescent="0.15">
      <c r="A994" s="23">
        <v>993</v>
      </c>
      <c r="B994" s="18" t="s">
        <v>2205</v>
      </c>
      <c r="C994" s="18">
        <f t="shared" si="165"/>
        <v>103</v>
      </c>
      <c r="D994" s="19">
        <f t="shared" si="166"/>
        <v>3</v>
      </c>
      <c r="E994" s="19">
        <f>VLOOKUP(MOD(A994,4),各职业基础配置!C$32:D$35,2,FALSE)</f>
        <v>3</v>
      </c>
      <c r="F994" s="19">
        <f>IF(A994&lt;900,INDEX(各职业基础配置!C$23:C$28,MOD(ROW(A994),4)+1),0)</f>
        <v>0</v>
      </c>
      <c r="G994" s="19">
        <f t="shared" si="167"/>
        <v>1</v>
      </c>
      <c r="H994" s="27">
        <f t="shared" si="168"/>
        <v>1</v>
      </c>
      <c r="I994" s="6" t="s">
        <v>164</v>
      </c>
      <c r="J994" s="23" t="str">
        <f>VLOOKUP(E994,各职业基础配置!$B$9:$C$12,2,FALSE)</f>
        <v>106|107|108|4201|110</v>
      </c>
      <c r="K994" s="18" t="str">
        <f>VLOOKUP(E994,各职业基础配置!$B$15:$C$18,2,FALSE)</f>
        <v>20|21|22|23</v>
      </c>
      <c r="L994" s="18" t="str">
        <f>VLOOKUP(E994,各职业基础配置!B:C,2,FALSE)</f>
        <v>[{20,1,1},{21,1,1},{22,1,1},{23,1,1},{4,1,1},{5,1,1},{6,1,1}]</v>
      </c>
      <c r="M994" s="18">
        <v>0</v>
      </c>
      <c r="N994" s="18">
        <f t="shared" si="169"/>
        <v>7</v>
      </c>
      <c r="O994" s="18">
        <f>SUMPRODUCT(P994:AI994,Sheet2!$B$3:$U$3)</f>
        <v>24739</v>
      </c>
      <c r="P994" s="18">
        <f>CEILING(INDEX([1]系统模型!$VD:$VD,MATCH(C994,[1]系统模型!$A:$A,0))*POWER(C994/220,3.8)-50+(1000-A994),1)</f>
        <v>108</v>
      </c>
      <c r="Q994" s="18">
        <f>CEILING(INDEX([1]系统模型!$VE:$VE,MATCH(C994,[1]系统模型!$A:$A,0))*POWER(C994/220,4),1)</f>
        <v>12</v>
      </c>
      <c r="R994" s="18">
        <f>INT(INDEX([1]系统模型!$VF:$VF,MATCH(C994,[1]系统模型!$A:$A,0))*MAX(POWER(C994/180,4),0.5))</f>
        <v>5164</v>
      </c>
      <c r="S994" s="5">
        <v>1000</v>
      </c>
      <c r="T994" s="25">
        <v>0</v>
      </c>
      <c r="U994" s="25">
        <v>0</v>
      </c>
      <c r="V994" s="25">
        <v>0</v>
      </c>
      <c r="W994" s="25">
        <v>0</v>
      </c>
      <c r="X994" s="25">
        <f t="shared" si="170"/>
        <v>258</v>
      </c>
      <c r="Y994" s="12">
        <v>0</v>
      </c>
      <c r="Z994" s="25">
        <v>100</v>
      </c>
      <c r="AA994" s="25">
        <v>150</v>
      </c>
      <c r="AB994" s="25">
        <v>0</v>
      </c>
      <c r="AC994" s="25">
        <v>0</v>
      </c>
      <c r="AD994" s="25">
        <v>0</v>
      </c>
      <c r="AE994" s="25">
        <f t="shared" si="171"/>
        <v>206</v>
      </c>
      <c r="AF994" s="25">
        <f t="shared" si="172"/>
        <v>206</v>
      </c>
      <c r="AG994" s="25">
        <v>0</v>
      </c>
      <c r="AH994" s="25">
        <f t="shared" si="173"/>
        <v>0</v>
      </c>
      <c r="AI994" s="25">
        <f t="shared" si="174"/>
        <v>1</v>
      </c>
      <c r="AJ994" s="25">
        <v>1</v>
      </c>
      <c r="AK994" s="25">
        <v>1000</v>
      </c>
      <c r="AL994" s="25">
        <v>100</v>
      </c>
      <c r="AM994" s="26">
        <v>10</v>
      </c>
      <c r="AN994" s="26">
        <v>10</v>
      </c>
      <c r="AO994" s="22" t="s">
        <v>2211</v>
      </c>
      <c r="AP994" s="26">
        <v>0</v>
      </c>
      <c r="AQ994" s="26">
        <f t="shared" si="175"/>
        <v>0</v>
      </c>
      <c r="AR994" s="18" t="str">
        <f ca="1">CONCATENATE(OFFSET(Sheet1!$A$2,RANDBETWEEN(2,500),0,1,1),OFFSET(Sheet1!$A$2,RANDBETWEEN(2,500),RANDBETWEEN(1,5),1,1))</f>
        <v>狄更斯罗伦</v>
      </c>
      <c r="AS994">
        <f>SUMPRODUCT(P994:AI994,Sheet2!$B$3:$U$3)</f>
        <v>24739</v>
      </c>
    </row>
    <row r="995" spans="1:45" x14ac:dyDescent="0.15">
      <c r="A995" s="18">
        <v>994</v>
      </c>
      <c r="B995" s="18" t="s">
        <v>2206</v>
      </c>
      <c r="C995" s="18">
        <f t="shared" si="165"/>
        <v>102</v>
      </c>
      <c r="D995" s="19">
        <f t="shared" si="166"/>
        <v>2</v>
      </c>
      <c r="E995" s="19">
        <f>VLOOKUP(MOD(A995,4),各职业基础配置!C$32:D$35,2,FALSE)</f>
        <v>6</v>
      </c>
      <c r="F995" s="19">
        <f>IF(A995&lt;900,INDEX(各职业基础配置!C$23:C$28,MOD(ROW(A995),4)+1),0)</f>
        <v>0</v>
      </c>
      <c r="G995" s="19">
        <f t="shared" si="167"/>
        <v>1</v>
      </c>
      <c r="H995" s="27">
        <f t="shared" si="168"/>
        <v>1</v>
      </c>
      <c r="I995" s="6" t="s">
        <v>164</v>
      </c>
      <c r="J995" s="23" t="str">
        <f>VLOOKUP(E995,各职业基础配置!$B$9:$C$12,2,FALSE)</f>
        <v>111|112|113|4201|115</v>
      </c>
      <c r="K995" s="18" t="str">
        <f>VLOOKUP(E995,各职业基础配置!$B$15:$C$18,2,FALSE)</f>
        <v>32|33|34</v>
      </c>
      <c r="L995" s="18" t="str">
        <f>VLOOKUP(E995,各职业基础配置!B:C,2,FALSE)</f>
        <v>[{32,1,1},{33,1,1},{34,1,1},{35,1,1},{7,1,1},{8,1,1},{9,1,1}]</v>
      </c>
      <c r="M995" s="18">
        <v>0</v>
      </c>
      <c r="N995" s="18">
        <f t="shared" si="169"/>
        <v>7</v>
      </c>
      <c r="O995" s="18">
        <f>SUMPRODUCT(P995:AI995,Sheet2!$B$3:$U$3)</f>
        <v>24327</v>
      </c>
      <c r="P995" s="18">
        <f>CEILING(INDEX([1]系统模型!$VD:$VD,MATCH(C995,[1]系统模型!$A:$A,0))*POWER(C995/220,3.8)-50+(1000-A995),1)</f>
        <v>100</v>
      </c>
      <c r="Q995" s="18">
        <f>CEILING(INDEX([1]系统模型!$VE:$VE,MATCH(C995,[1]系统模型!$A:$A,0))*POWER(C995/220,4),1)</f>
        <v>11</v>
      </c>
      <c r="R995" s="18">
        <f>INT(INDEX([1]系统模型!$VF:$VF,MATCH(C995,[1]系统模型!$A:$A,0))*MAX(POWER(C995/180,4),0.5))</f>
        <v>5077</v>
      </c>
      <c r="S995" s="5">
        <v>1000</v>
      </c>
      <c r="T995" s="25">
        <v>0</v>
      </c>
      <c r="U995" s="25">
        <v>0</v>
      </c>
      <c r="V995" s="25">
        <v>0</v>
      </c>
      <c r="W995" s="25">
        <v>0</v>
      </c>
      <c r="X995" s="25">
        <f t="shared" si="170"/>
        <v>253</v>
      </c>
      <c r="Y995" s="12">
        <v>0</v>
      </c>
      <c r="Z995" s="25">
        <v>100</v>
      </c>
      <c r="AA995" s="25">
        <v>150</v>
      </c>
      <c r="AB995" s="25">
        <v>0</v>
      </c>
      <c r="AC995" s="25">
        <v>0</v>
      </c>
      <c r="AD995" s="25">
        <v>0</v>
      </c>
      <c r="AE995" s="25">
        <f t="shared" si="171"/>
        <v>204</v>
      </c>
      <c r="AF995" s="25">
        <f t="shared" si="172"/>
        <v>204</v>
      </c>
      <c r="AG995" s="25">
        <v>0</v>
      </c>
      <c r="AH995" s="25">
        <f t="shared" si="173"/>
        <v>0</v>
      </c>
      <c r="AI995" s="25">
        <f t="shared" si="174"/>
        <v>1</v>
      </c>
      <c r="AJ995" s="25">
        <v>1</v>
      </c>
      <c r="AK995" s="25">
        <v>1000</v>
      </c>
      <c r="AL995" s="25">
        <v>100</v>
      </c>
      <c r="AM995" s="26">
        <v>10</v>
      </c>
      <c r="AN995" s="26">
        <v>10</v>
      </c>
      <c r="AO995" s="22" t="s">
        <v>2211</v>
      </c>
      <c r="AP995" s="26">
        <v>0</v>
      </c>
      <c r="AQ995" s="26">
        <f t="shared" si="175"/>
        <v>0</v>
      </c>
      <c r="AR995" s="18" t="str">
        <f ca="1">CONCATENATE(OFFSET(Sheet1!$A$2,RANDBETWEEN(2,500),0,1,1),OFFSET(Sheet1!$A$2,RANDBETWEEN(2,500),RANDBETWEEN(1,5),1,1))</f>
        <v>费利克斯</v>
      </c>
      <c r="AS995">
        <f>SUMPRODUCT(P995:AI995,Sheet2!$B$3:$U$3)</f>
        <v>24327</v>
      </c>
    </row>
    <row r="996" spans="1:45" x14ac:dyDescent="0.15">
      <c r="A996" s="18">
        <v>995</v>
      </c>
      <c r="B996" s="18" t="s">
        <v>1073</v>
      </c>
      <c r="C996" s="18">
        <f t="shared" si="165"/>
        <v>102</v>
      </c>
      <c r="D996" s="19">
        <f t="shared" si="166"/>
        <v>3</v>
      </c>
      <c r="E996" s="19">
        <f>VLOOKUP(MOD(A996,4),各职业基础配置!C$32:D$35,2,FALSE)</f>
        <v>9</v>
      </c>
      <c r="F996" s="19">
        <f>IF(A996&lt;900,INDEX(各职业基础配置!C$23:C$28,MOD(ROW(A996),4)+1),0)</f>
        <v>0</v>
      </c>
      <c r="G996" s="19">
        <f t="shared" si="167"/>
        <v>1</v>
      </c>
      <c r="H996" s="27">
        <f t="shared" si="168"/>
        <v>1</v>
      </c>
      <c r="I996" s="6" t="s">
        <v>164</v>
      </c>
      <c r="J996" s="23" t="str">
        <f>VLOOKUP(E996,各职业基础配置!$B$9:$C$12,2,FALSE)</f>
        <v>116|117|118|4201|120</v>
      </c>
      <c r="K996" s="18" t="str">
        <f>VLOOKUP(E996,各职业基础配置!$B$15:$C$18,2,FALSE)</f>
        <v>28|29|30|31</v>
      </c>
      <c r="L996" s="18" t="str">
        <f>VLOOKUP(E996,各职业基础配置!B:C,2,FALSE)</f>
        <v>[{28,1,1},{29,1,1},{30,1,1},{31,1,1},{10,1,1},{11,1,1},{12,1,1}]</v>
      </c>
      <c r="M996" s="18">
        <v>0</v>
      </c>
      <c r="N996" s="18">
        <f t="shared" si="169"/>
        <v>3</v>
      </c>
      <c r="O996" s="18">
        <f>SUMPRODUCT(P996:AI996,Sheet2!$B$3:$U$3)</f>
        <v>24302</v>
      </c>
      <c r="P996" s="18">
        <f>CEILING(INDEX([1]系统模型!$VD:$VD,MATCH(C996,[1]系统模型!$A:$A,0))*POWER(C996/220,3.8)-50+(1000-A996),1)</f>
        <v>99</v>
      </c>
      <c r="Q996" s="18">
        <f>CEILING(INDEX([1]系统模型!$VE:$VE,MATCH(C996,[1]系统模型!$A:$A,0))*POWER(C996/220,4),1)</f>
        <v>11</v>
      </c>
      <c r="R996" s="18">
        <f>INT(INDEX([1]系统模型!$VF:$VF,MATCH(C996,[1]系统模型!$A:$A,0))*MAX(POWER(C996/180,4),0.5))</f>
        <v>5077</v>
      </c>
      <c r="S996" s="5">
        <v>1000</v>
      </c>
      <c r="T996" s="25">
        <v>0</v>
      </c>
      <c r="U996" s="25">
        <v>0</v>
      </c>
      <c r="V996" s="25">
        <v>0</v>
      </c>
      <c r="W996" s="25">
        <v>0</v>
      </c>
      <c r="X996" s="25">
        <f t="shared" si="170"/>
        <v>253</v>
      </c>
      <c r="Y996" s="12">
        <v>0</v>
      </c>
      <c r="Z996" s="25">
        <v>100</v>
      </c>
      <c r="AA996" s="25">
        <v>150</v>
      </c>
      <c r="AB996" s="25">
        <v>0</v>
      </c>
      <c r="AC996" s="25">
        <v>0</v>
      </c>
      <c r="AD996" s="25">
        <v>0</v>
      </c>
      <c r="AE996" s="25">
        <f t="shared" si="171"/>
        <v>204</v>
      </c>
      <c r="AF996" s="25">
        <f t="shared" si="172"/>
        <v>204</v>
      </c>
      <c r="AG996" s="25">
        <v>0</v>
      </c>
      <c r="AH996" s="25">
        <f t="shared" si="173"/>
        <v>0</v>
      </c>
      <c r="AI996" s="25">
        <f t="shared" si="174"/>
        <v>1</v>
      </c>
      <c r="AJ996" s="25">
        <v>1</v>
      </c>
      <c r="AK996" s="25">
        <v>1000</v>
      </c>
      <c r="AL996" s="25">
        <v>100</v>
      </c>
      <c r="AM996" s="26">
        <v>10</v>
      </c>
      <c r="AN996" s="26">
        <v>10</v>
      </c>
      <c r="AO996" s="22" t="s">
        <v>2211</v>
      </c>
      <c r="AP996" s="26">
        <v>0</v>
      </c>
      <c r="AQ996" s="26">
        <f t="shared" si="175"/>
        <v>0</v>
      </c>
      <c r="AR996" s="18" t="str">
        <f ca="1">CONCATENATE(OFFSET(Sheet1!$A$2,RANDBETWEEN(2,500),0,1,1),OFFSET(Sheet1!$A$2,RANDBETWEEN(2,500),RANDBETWEEN(1,5),1,1))</f>
        <v>弗林艾尔玛</v>
      </c>
      <c r="AS996">
        <f>SUMPRODUCT(P996:AI996,Sheet2!$B$3:$U$3)</f>
        <v>24302</v>
      </c>
    </row>
    <row r="997" spans="1:45" x14ac:dyDescent="0.15">
      <c r="A997" s="23">
        <v>996</v>
      </c>
      <c r="B997" s="18" t="s">
        <v>2207</v>
      </c>
      <c r="C997" s="18">
        <f t="shared" si="165"/>
        <v>102</v>
      </c>
      <c r="D997" s="19">
        <f t="shared" si="166"/>
        <v>2</v>
      </c>
      <c r="E997" s="19">
        <f>VLOOKUP(MOD(A997,4),各职业基础配置!C$32:D$35,2,FALSE)</f>
        <v>1</v>
      </c>
      <c r="F997" s="19">
        <f>IF(A997&lt;900,INDEX(各职业基础配置!C$23:C$28,MOD(ROW(A997),4)+1),0)</f>
        <v>0</v>
      </c>
      <c r="G997" s="19">
        <f t="shared" si="167"/>
        <v>1</v>
      </c>
      <c r="H997" s="27">
        <f t="shared" si="168"/>
        <v>1</v>
      </c>
      <c r="I997" s="6" t="s">
        <v>164</v>
      </c>
      <c r="J997" s="23" t="str">
        <f>VLOOKUP(E997,各职业基础配置!$B$9:$C$12,2,FALSE)</f>
        <v>101|102|103|4201|105</v>
      </c>
      <c r="K997" s="18" t="str">
        <f>VLOOKUP(E997,各职业基础配置!$B$15:$C$18,2,FALSE)</f>
        <v>24|25|26|27</v>
      </c>
      <c r="L997" s="18" t="str">
        <f>VLOOKUP(E997,各职业基础配置!B:C,2,FALSE)</f>
        <v>[{24,1,1},{25,1,1},{26,1,1},{27,1,1},{1,1,1},{2,1,1},{3,1,1}]</v>
      </c>
      <c r="M997" s="18">
        <v>0</v>
      </c>
      <c r="N997" s="18">
        <f t="shared" si="169"/>
        <v>3</v>
      </c>
      <c r="O997" s="18">
        <f>SUMPRODUCT(P997:AI997,Sheet2!$B$3:$U$3)</f>
        <v>24277</v>
      </c>
      <c r="P997" s="18">
        <f>CEILING(INDEX([1]系统模型!$VD:$VD,MATCH(C997,[1]系统模型!$A:$A,0))*POWER(C997/220,3.8)-50+(1000-A997),1)</f>
        <v>98</v>
      </c>
      <c r="Q997" s="18">
        <f>CEILING(INDEX([1]系统模型!$VE:$VE,MATCH(C997,[1]系统模型!$A:$A,0))*POWER(C997/220,4),1)</f>
        <v>11</v>
      </c>
      <c r="R997" s="18">
        <f>INT(INDEX([1]系统模型!$VF:$VF,MATCH(C997,[1]系统模型!$A:$A,0))*MAX(POWER(C997/180,4),0.5))</f>
        <v>5077</v>
      </c>
      <c r="S997" s="5">
        <v>1000</v>
      </c>
      <c r="T997" s="25">
        <v>0</v>
      </c>
      <c r="U997" s="25">
        <v>0</v>
      </c>
      <c r="V997" s="25">
        <v>0</v>
      </c>
      <c r="W997" s="25">
        <v>0</v>
      </c>
      <c r="X997" s="25">
        <f t="shared" si="170"/>
        <v>253</v>
      </c>
      <c r="Y997" s="12">
        <v>0</v>
      </c>
      <c r="Z997" s="25">
        <v>100</v>
      </c>
      <c r="AA997" s="25">
        <v>150</v>
      </c>
      <c r="AB997" s="25">
        <v>0</v>
      </c>
      <c r="AC997" s="25">
        <v>0</v>
      </c>
      <c r="AD997" s="25">
        <v>0</v>
      </c>
      <c r="AE997" s="25">
        <f t="shared" si="171"/>
        <v>204</v>
      </c>
      <c r="AF997" s="25">
        <f t="shared" si="172"/>
        <v>204</v>
      </c>
      <c r="AG997" s="25">
        <v>0</v>
      </c>
      <c r="AH997" s="25">
        <f t="shared" si="173"/>
        <v>0</v>
      </c>
      <c r="AI997" s="25">
        <f t="shared" si="174"/>
        <v>1</v>
      </c>
      <c r="AJ997" s="25">
        <v>1</v>
      </c>
      <c r="AK997" s="25">
        <v>1000</v>
      </c>
      <c r="AL997" s="25">
        <v>100</v>
      </c>
      <c r="AM997" s="26">
        <v>10</v>
      </c>
      <c r="AN997" s="26">
        <v>10</v>
      </c>
      <c r="AO997" s="22" t="s">
        <v>2211</v>
      </c>
      <c r="AP997" s="26">
        <v>0</v>
      </c>
      <c r="AQ997" s="26">
        <f t="shared" si="175"/>
        <v>0</v>
      </c>
      <c r="AR997" s="18" t="str">
        <f ca="1">CONCATENATE(OFFSET(Sheet1!$A$2,RANDBETWEEN(2,500),0,1,1),OFFSET(Sheet1!$A$2,RANDBETWEEN(2,500),RANDBETWEEN(1,5),1,1))</f>
        <v>富兰克林猫猫</v>
      </c>
      <c r="AS997">
        <f>SUMPRODUCT(P997:AI997,Sheet2!$B$3:$U$3)</f>
        <v>24277</v>
      </c>
    </row>
    <row r="998" spans="1:45" x14ac:dyDescent="0.15">
      <c r="A998" s="18">
        <v>997</v>
      </c>
      <c r="B998" s="18" t="s">
        <v>2208</v>
      </c>
      <c r="C998" s="18">
        <f t="shared" si="165"/>
        <v>102</v>
      </c>
      <c r="D998" s="19">
        <f t="shared" si="166"/>
        <v>3</v>
      </c>
      <c r="E998" s="19">
        <f>VLOOKUP(MOD(A998,4),各职业基础配置!C$32:D$35,2,FALSE)</f>
        <v>3</v>
      </c>
      <c r="F998" s="19">
        <f>IF(A998&lt;900,INDEX(各职业基础配置!C$23:C$28,MOD(ROW(A998),4)+1),0)</f>
        <v>0</v>
      </c>
      <c r="G998" s="19">
        <f t="shared" si="167"/>
        <v>1</v>
      </c>
      <c r="H998" s="27">
        <f t="shared" si="168"/>
        <v>1</v>
      </c>
      <c r="I998" s="6" t="s">
        <v>164</v>
      </c>
      <c r="J998" s="23" t="str">
        <f>VLOOKUP(E998,各职业基础配置!$B$9:$C$12,2,FALSE)</f>
        <v>106|107|108|4201|110</v>
      </c>
      <c r="K998" s="18" t="str">
        <f>VLOOKUP(E998,各职业基础配置!$B$15:$C$18,2,FALSE)</f>
        <v>20|21|22|23</v>
      </c>
      <c r="L998" s="18" t="str">
        <f>VLOOKUP(E998,各职业基础配置!B:C,2,FALSE)</f>
        <v>[{20,1,1},{21,1,1},{22,1,1},{23,1,1},{4,1,1},{5,1,1},{6,1,1}]</v>
      </c>
      <c r="M998" s="18">
        <v>0</v>
      </c>
      <c r="N998" s="18">
        <f t="shared" si="169"/>
        <v>7</v>
      </c>
      <c r="O998" s="18">
        <f>SUMPRODUCT(P998:AI998,Sheet2!$B$3:$U$3)</f>
        <v>24252</v>
      </c>
      <c r="P998" s="18">
        <f>CEILING(INDEX([1]系统模型!$VD:$VD,MATCH(C998,[1]系统模型!$A:$A,0))*POWER(C998/220,3.8)-50+(1000-A998),1)</f>
        <v>97</v>
      </c>
      <c r="Q998" s="18">
        <f>CEILING(INDEX([1]系统模型!$VE:$VE,MATCH(C998,[1]系统模型!$A:$A,0))*POWER(C998/220,4),1)</f>
        <v>11</v>
      </c>
      <c r="R998" s="18">
        <f>INT(INDEX([1]系统模型!$VF:$VF,MATCH(C998,[1]系统模型!$A:$A,0))*MAX(POWER(C998/180,4),0.5))</f>
        <v>5077</v>
      </c>
      <c r="S998" s="5">
        <v>1000</v>
      </c>
      <c r="T998" s="25">
        <v>0</v>
      </c>
      <c r="U998" s="25">
        <v>0</v>
      </c>
      <c r="V998" s="25">
        <v>0</v>
      </c>
      <c r="W998" s="25">
        <v>0</v>
      </c>
      <c r="X998" s="25">
        <f t="shared" si="170"/>
        <v>253</v>
      </c>
      <c r="Y998" s="12">
        <v>0</v>
      </c>
      <c r="Z998" s="25">
        <v>100</v>
      </c>
      <c r="AA998" s="25">
        <v>150</v>
      </c>
      <c r="AB998" s="25">
        <v>0</v>
      </c>
      <c r="AC998" s="25">
        <v>0</v>
      </c>
      <c r="AD998" s="25">
        <v>0</v>
      </c>
      <c r="AE998" s="25">
        <f t="shared" si="171"/>
        <v>204</v>
      </c>
      <c r="AF998" s="25">
        <f t="shared" si="172"/>
        <v>204</v>
      </c>
      <c r="AG998" s="25">
        <v>0</v>
      </c>
      <c r="AH998" s="25">
        <f t="shared" si="173"/>
        <v>0</v>
      </c>
      <c r="AI998" s="25">
        <f t="shared" si="174"/>
        <v>1</v>
      </c>
      <c r="AJ998" s="25">
        <v>1</v>
      </c>
      <c r="AK998" s="25">
        <v>1000</v>
      </c>
      <c r="AL998" s="25">
        <v>100</v>
      </c>
      <c r="AM998" s="26">
        <v>10</v>
      </c>
      <c r="AN998" s="26">
        <v>10</v>
      </c>
      <c r="AO998" s="22" t="s">
        <v>2211</v>
      </c>
      <c r="AP998" s="26">
        <v>0</v>
      </c>
      <c r="AQ998" s="26">
        <f t="shared" si="175"/>
        <v>0</v>
      </c>
      <c r="AR998" s="18" t="str">
        <f ca="1">CONCATENATE(OFFSET(Sheet1!$A$2,RANDBETWEEN(2,500),0,1,1),OFFSET(Sheet1!$A$2,RANDBETWEEN(2,500),RANDBETWEEN(1,5),1,1))</f>
        <v>塞西利亚</v>
      </c>
      <c r="AS998">
        <f>SUMPRODUCT(P998:AI998,Sheet2!$B$3:$U$3)</f>
        <v>24252</v>
      </c>
    </row>
    <row r="999" spans="1:45" x14ac:dyDescent="0.15">
      <c r="A999" s="18">
        <v>998</v>
      </c>
      <c r="B999" s="18" t="s">
        <v>2209</v>
      </c>
      <c r="C999" s="18">
        <f t="shared" si="165"/>
        <v>102</v>
      </c>
      <c r="D999" s="19">
        <f t="shared" si="166"/>
        <v>2</v>
      </c>
      <c r="E999" s="19">
        <f>VLOOKUP(MOD(A999,4),各职业基础配置!C$32:D$35,2,FALSE)</f>
        <v>6</v>
      </c>
      <c r="F999" s="19">
        <f>IF(A999&lt;900,INDEX(各职业基础配置!C$23:C$28,MOD(ROW(A999),4)+1),0)</f>
        <v>0</v>
      </c>
      <c r="G999" s="19">
        <f t="shared" si="167"/>
        <v>1</v>
      </c>
      <c r="H999" s="27">
        <f t="shared" si="168"/>
        <v>1</v>
      </c>
      <c r="I999" s="6" t="s">
        <v>164</v>
      </c>
      <c r="J999" s="23" t="str">
        <f>VLOOKUP(E999,各职业基础配置!$B$9:$C$12,2,FALSE)</f>
        <v>111|112|113|4201|115</v>
      </c>
      <c r="K999" s="18" t="str">
        <f>VLOOKUP(E999,各职业基础配置!$B$15:$C$18,2,FALSE)</f>
        <v>32|33|34</v>
      </c>
      <c r="L999" s="18" t="str">
        <f>VLOOKUP(E999,各职业基础配置!B:C,2,FALSE)</f>
        <v>[{32,1,1},{33,1,1},{34,1,1},{35,1,1},{7,1,1},{8,1,1},{9,1,1}]</v>
      </c>
      <c r="M999" s="18">
        <v>0</v>
      </c>
      <c r="N999" s="18">
        <f t="shared" si="169"/>
        <v>7</v>
      </c>
      <c r="O999" s="18">
        <f>SUMPRODUCT(P999:AI999,Sheet2!$B$3:$U$3)</f>
        <v>24227</v>
      </c>
      <c r="P999" s="18">
        <f>CEILING(INDEX([1]系统模型!$VD:$VD,MATCH(C999,[1]系统模型!$A:$A,0))*POWER(C999/220,3.8)-50+(1000-A999),1)</f>
        <v>96</v>
      </c>
      <c r="Q999" s="18">
        <f>CEILING(INDEX([1]系统模型!$VE:$VE,MATCH(C999,[1]系统模型!$A:$A,0))*POWER(C999/220,4),1)</f>
        <v>11</v>
      </c>
      <c r="R999" s="18">
        <f>INT(INDEX([1]系统模型!$VF:$VF,MATCH(C999,[1]系统模型!$A:$A,0))*MAX(POWER(C999/180,4),0.5))</f>
        <v>5077</v>
      </c>
      <c r="S999" s="5">
        <v>1000</v>
      </c>
      <c r="T999" s="25">
        <v>0</v>
      </c>
      <c r="U999" s="25">
        <v>0</v>
      </c>
      <c r="V999" s="25">
        <v>0</v>
      </c>
      <c r="W999" s="25">
        <v>0</v>
      </c>
      <c r="X999" s="25">
        <f t="shared" si="170"/>
        <v>253</v>
      </c>
      <c r="Y999" s="12">
        <v>0</v>
      </c>
      <c r="Z999" s="25">
        <v>100</v>
      </c>
      <c r="AA999" s="25">
        <v>150</v>
      </c>
      <c r="AB999" s="25">
        <v>0</v>
      </c>
      <c r="AC999" s="25">
        <v>0</v>
      </c>
      <c r="AD999" s="25">
        <v>0</v>
      </c>
      <c r="AE999" s="25">
        <f t="shared" si="171"/>
        <v>204</v>
      </c>
      <c r="AF999" s="25">
        <f t="shared" si="172"/>
        <v>204</v>
      </c>
      <c r="AG999" s="25">
        <v>0</v>
      </c>
      <c r="AH999" s="25">
        <f t="shared" si="173"/>
        <v>0</v>
      </c>
      <c r="AI999" s="25">
        <f t="shared" si="174"/>
        <v>1</v>
      </c>
      <c r="AJ999" s="25">
        <v>1</v>
      </c>
      <c r="AK999" s="25">
        <v>1000</v>
      </c>
      <c r="AL999" s="25">
        <v>100</v>
      </c>
      <c r="AM999" s="26">
        <v>10</v>
      </c>
      <c r="AN999" s="26">
        <v>10</v>
      </c>
      <c r="AO999" s="22" t="s">
        <v>2211</v>
      </c>
      <c r="AP999" s="26">
        <v>0</v>
      </c>
      <c r="AQ999" s="26">
        <f t="shared" si="175"/>
        <v>0</v>
      </c>
      <c r="AR999" s="18" t="str">
        <f ca="1">CONCATENATE(OFFSET(Sheet1!$A$2,RANDBETWEEN(2,500),0,1,1),OFFSET(Sheet1!$A$2,RANDBETWEEN(2,500),RANDBETWEEN(1,5),1,1))</f>
        <v>丘吉尔</v>
      </c>
      <c r="AS999">
        <f>SUMPRODUCT(P999:AI999,Sheet2!$B$3:$U$3)</f>
        <v>24227</v>
      </c>
    </row>
    <row r="1000" spans="1:45" x14ac:dyDescent="0.15">
      <c r="A1000" s="23">
        <v>999</v>
      </c>
      <c r="B1000" s="18" t="s">
        <v>2210</v>
      </c>
      <c r="C1000" s="18">
        <f t="shared" si="165"/>
        <v>102</v>
      </c>
      <c r="D1000" s="19">
        <f t="shared" si="166"/>
        <v>3</v>
      </c>
      <c r="E1000" s="19">
        <f>VLOOKUP(MOD(A1000,4),各职业基础配置!C$32:D$35,2,FALSE)</f>
        <v>9</v>
      </c>
      <c r="F1000" s="19">
        <f>IF(A1000&lt;900,INDEX(各职业基础配置!C$23:C$28,MOD(ROW(A1000),4)+1),0)</f>
        <v>0</v>
      </c>
      <c r="G1000" s="19">
        <f t="shared" si="167"/>
        <v>1</v>
      </c>
      <c r="H1000" s="27">
        <f t="shared" si="168"/>
        <v>1</v>
      </c>
      <c r="I1000" s="6" t="s">
        <v>164</v>
      </c>
      <c r="J1000" s="23" t="str">
        <f>VLOOKUP(E1000,各职业基础配置!$B$9:$C$12,2,FALSE)</f>
        <v>116|117|118|4201|120</v>
      </c>
      <c r="K1000" s="18" t="str">
        <f>VLOOKUP(E1000,各职业基础配置!$B$15:$C$18,2,FALSE)</f>
        <v>28|29|30|31</v>
      </c>
      <c r="L1000" s="18" t="str">
        <f>VLOOKUP(E1000,各职业基础配置!B:C,2,FALSE)</f>
        <v>[{28,1,1},{29,1,1},{30,1,1},{31,1,1},{10,1,1},{11,1,1},{12,1,1}]</v>
      </c>
      <c r="M1000" s="18">
        <v>0</v>
      </c>
      <c r="N1000" s="18">
        <f t="shared" si="169"/>
        <v>3</v>
      </c>
      <c r="O1000" s="18">
        <f>SUMPRODUCT(P1000:AI1000,Sheet2!$B$3:$U$3)</f>
        <v>24202</v>
      </c>
      <c r="P1000" s="18">
        <f>CEILING(INDEX([1]系统模型!$VD:$VD,MATCH(C1000,[1]系统模型!$A:$A,0))*POWER(C1000/220,3.8)-50+(1000-A1000),1)</f>
        <v>95</v>
      </c>
      <c r="Q1000" s="18">
        <f>CEILING(INDEX([1]系统模型!$VE:$VE,MATCH(C1000,[1]系统模型!$A:$A,0))*POWER(C1000/220,4),1)</f>
        <v>11</v>
      </c>
      <c r="R1000" s="18">
        <f>INT(INDEX([1]系统模型!$VF:$VF,MATCH(C1000,[1]系统模型!$A:$A,0))*MAX(POWER(C1000/180,4),0.5))</f>
        <v>5077</v>
      </c>
      <c r="S1000" s="5">
        <v>1000</v>
      </c>
      <c r="T1000" s="25">
        <v>0</v>
      </c>
      <c r="U1000" s="25">
        <v>0</v>
      </c>
      <c r="V1000" s="25">
        <v>0</v>
      </c>
      <c r="W1000" s="25">
        <v>0</v>
      </c>
      <c r="X1000" s="25">
        <f t="shared" si="170"/>
        <v>253</v>
      </c>
      <c r="Y1000" s="12">
        <v>0</v>
      </c>
      <c r="Z1000" s="25">
        <v>100</v>
      </c>
      <c r="AA1000" s="25">
        <v>150</v>
      </c>
      <c r="AB1000" s="25">
        <v>0</v>
      </c>
      <c r="AC1000" s="25">
        <v>0</v>
      </c>
      <c r="AD1000" s="25">
        <v>0</v>
      </c>
      <c r="AE1000" s="25">
        <f t="shared" si="171"/>
        <v>204</v>
      </c>
      <c r="AF1000" s="25">
        <f t="shared" si="172"/>
        <v>204</v>
      </c>
      <c r="AG1000" s="25">
        <v>0</v>
      </c>
      <c r="AH1000" s="25">
        <f t="shared" si="173"/>
        <v>0</v>
      </c>
      <c r="AI1000" s="25">
        <f t="shared" si="174"/>
        <v>1</v>
      </c>
      <c r="AJ1000" s="25">
        <v>1</v>
      </c>
      <c r="AK1000" s="25">
        <v>1000</v>
      </c>
      <c r="AL1000" s="25">
        <v>100</v>
      </c>
      <c r="AM1000" s="26">
        <v>10</v>
      </c>
      <c r="AN1000" s="26">
        <v>10</v>
      </c>
      <c r="AO1000" s="22" t="s">
        <v>2211</v>
      </c>
      <c r="AP1000" s="26">
        <v>0</v>
      </c>
      <c r="AQ1000" s="26">
        <f t="shared" si="175"/>
        <v>0</v>
      </c>
      <c r="AR1000" s="18" t="str">
        <f ca="1">CONCATENATE(OFFSET(Sheet1!$A$2,RANDBETWEEN(2,500),0,1,1),OFFSET(Sheet1!$A$2,RANDBETWEEN(2,500),RANDBETWEEN(1,5),1,1))</f>
        <v>汉森尔顿</v>
      </c>
      <c r="AS1000">
        <f>SUMPRODUCT(P1000:AI1000,Sheet2!$B$3:$U$3)</f>
        <v>24202</v>
      </c>
    </row>
    <row r="1001" spans="1:45" x14ac:dyDescent="0.15">
      <c r="A1001" s="18">
        <v>1000</v>
      </c>
      <c r="B1001" s="18" t="s">
        <v>1145</v>
      </c>
      <c r="C1001" s="18">
        <f t="shared" si="165"/>
        <v>102</v>
      </c>
      <c r="D1001" s="19">
        <f t="shared" si="166"/>
        <v>2</v>
      </c>
      <c r="E1001" s="19">
        <f>VLOOKUP(MOD(A1001,4),各职业基础配置!C$32:D$35,2,FALSE)</f>
        <v>1</v>
      </c>
      <c r="F1001" s="19">
        <f>IF(A1001&lt;900,INDEX(各职业基础配置!C$23:C$28,MOD(ROW(A1001),4)+1),0)</f>
        <v>0</v>
      </c>
      <c r="G1001" s="19">
        <f t="shared" si="167"/>
        <v>1</v>
      </c>
      <c r="H1001" s="27">
        <f t="shared" si="168"/>
        <v>1</v>
      </c>
      <c r="I1001" s="6" t="s">
        <v>164</v>
      </c>
      <c r="J1001" s="23" t="str">
        <f>VLOOKUP(E1001,各职业基础配置!$B$9:$C$12,2,FALSE)</f>
        <v>101|102|103|4201|105</v>
      </c>
      <c r="K1001" s="18" t="str">
        <f>VLOOKUP(E1001,各职业基础配置!$B$15:$C$18,2,FALSE)</f>
        <v>24|25|26|27</v>
      </c>
      <c r="L1001" s="18" t="str">
        <f>VLOOKUP(E1001,各职业基础配置!B:C,2,FALSE)</f>
        <v>[{24,1,1},{25,1,1},{26,1,1},{27,1,1},{1,1,1},{2,1,1},{3,1,1}]</v>
      </c>
      <c r="M1001" s="18">
        <v>0</v>
      </c>
      <c r="N1001" s="18">
        <f t="shared" si="169"/>
        <v>3</v>
      </c>
      <c r="O1001" s="18">
        <f>SUMPRODUCT(P1001:AI1001,Sheet2!$B$3:$U$3)</f>
        <v>24177</v>
      </c>
      <c r="P1001" s="18">
        <f>CEILING(INDEX([1]系统模型!$VD:$VD,MATCH(C1001,[1]系统模型!$A:$A,0))*POWER(C1001/220,3.8)-50+(1000-A1001),1)</f>
        <v>94</v>
      </c>
      <c r="Q1001" s="18">
        <f>CEILING(INDEX([1]系统模型!$VE:$VE,MATCH(C1001,[1]系统模型!$A:$A,0))*POWER(C1001/220,4),1)</f>
        <v>11</v>
      </c>
      <c r="R1001" s="18">
        <f>INT(INDEX([1]系统模型!$VF:$VF,MATCH(C1001,[1]系统模型!$A:$A,0))*MAX(POWER(C1001/180,4),0.5))</f>
        <v>5077</v>
      </c>
      <c r="S1001" s="5">
        <v>1000</v>
      </c>
      <c r="T1001" s="25">
        <v>0</v>
      </c>
      <c r="U1001" s="25">
        <v>0</v>
      </c>
      <c r="V1001" s="25">
        <v>0</v>
      </c>
      <c r="W1001" s="25">
        <v>0</v>
      </c>
      <c r="X1001" s="25">
        <f t="shared" si="170"/>
        <v>253</v>
      </c>
      <c r="Y1001" s="12">
        <v>0</v>
      </c>
      <c r="Z1001" s="25">
        <v>100</v>
      </c>
      <c r="AA1001" s="25">
        <v>150</v>
      </c>
      <c r="AB1001" s="25">
        <v>0</v>
      </c>
      <c r="AC1001" s="25">
        <v>0</v>
      </c>
      <c r="AD1001" s="25">
        <v>0</v>
      </c>
      <c r="AE1001" s="25">
        <f t="shared" si="171"/>
        <v>204</v>
      </c>
      <c r="AF1001" s="25">
        <f t="shared" si="172"/>
        <v>204</v>
      </c>
      <c r="AG1001" s="25">
        <v>0</v>
      </c>
      <c r="AH1001" s="25">
        <f t="shared" si="173"/>
        <v>0</v>
      </c>
      <c r="AI1001" s="25">
        <f t="shared" si="174"/>
        <v>1</v>
      </c>
      <c r="AJ1001" s="25">
        <v>1</v>
      </c>
      <c r="AK1001" s="25">
        <v>1000</v>
      </c>
      <c r="AL1001" s="25">
        <v>100</v>
      </c>
      <c r="AM1001" s="26">
        <v>10</v>
      </c>
      <c r="AN1001" s="26">
        <v>10</v>
      </c>
      <c r="AO1001" s="22" t="s">
        <v>2211</v>
      </c>
      <c r="AP1001" s="26">
        <v>0</v>
      </c>
      <c r="AQ1001" s="26">
        <f t="shared" si="175"/>
        <v>0</v>
      </c>
      <c r="AR1001" s="18" t="str">
        <f ca="1">CONCATENATE(OFFSET(Sheet1!$A$2,RANDBETWEEN(2,500),0,1,1),OFFSET(Sheet1!$A$2,RANDBETWEEN(2,500),RANDBETWEEN(1,5),1,1))</f>
        <v>克兰</v>
      </c>
      <c r="AS1001">
        <f>SUMPRODUCT(P1001:AI1001,Sheet2!$B$3:$U$3)</f>
        <v>24177</v>
      </c>
    </row>
  </sheetData>
  <sortState ref="A2:BK20">
    <sortCondition ref="A1"/>
  </sortState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0">
              <controlPr defaultSize="0" print="0" autoPict="0" macro="[0]!transPlay">
                <anchor moveWithCells="1" sizeWithCells="1">
                  <from>
                    <xdr:col>6</xdr:col>
                    <xdr:colOff>447675</xdr:colOff>
                    <xdr:row>0</xdr:row>
                    <xdr:rowOff>76200</xdr:rowOff>
                  </from>
                  <to>
                    <xdr:col>8</xdr:col>
                    <xdr:colOff>438150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6388"/>
  <sheetViews>
    <sheetView workbookViewId="0">
      <selection activeCell="L47" sqref="L47"/>
    </sheetView>
  </sheetViews>
  <sheetFormatPr defaultRowHeight="13.5" x14ac:dyDescent="0.15"/>
  <cols>
    <col min="1" max="1" width="13.875" bestFit="1" customWidth="1"/>
    <col min="2" max="2" width="23.625" bestFit="1" customWidth="1"/>
    <col min="3" max="3" width="11.75" customWidth="1"/>
  </cols>
  <sheetData>
    <row r="1" spans="1:5" x14ac:dyDescent="0.15">
      <c r="B1" t="s">
        <v>59</v>
      </c>
      <c r="E1" t="s">
        <v>128</v>
      </c>
    </row>
    <row r="2" spans="1:5" x14ac:dyDescent="0.15">
      <c r="A2" s="4" t="s">
        <v>0</v>
      </c>
      <c r="B2" t="s">
        <v>60</v>
      </c>
      <c r="E2">
        <v>1</v>
      </c>
    </row>
    <row r="3" spans="1:5" x14ac:dyDescent="0.15">
      <c r="A3" s="5" t="s">
        <v>1</v>
      </c>
      <c r="B3" t="s">
        <v>61</v>
      </c>
    </row>
    <row r="4" spans="1:5" x14ac:dyDescent="0.15">
      <c r="A4" s="6" t="s">
        <v>38</v>
      </c>
      <c r="B4" t="s">
        <v>66</v>
      </c>
    </row>
    <row r="5" spans="1:5" x14ac:dyDescent="0.15">
      <c r="A5" s="5" t="s">
        <v>58</v>
      </c>
      <c r="B5" t="s">
        <v>110</v>
      </c>
    </row>
    <row r="6" spans="1:5" x14ac:dyDescent="0.15">
      <c r="A6" s="5" t="s">
        <v>2</v>
      </c>
      <c r="B6" t="s">
        <v>97</v>
      </c>
    </row>
    <row r="7" spans="1:5" x14ac:dyDescent="0.15">
      <c r="A7" s="5" t="s">
        <v>3</v>
      </c>
      <c r="B7" t="s">
        <v>63</v>
      </c>
      <c r="D7" s="15" t="s">
        <v>62</v>
      </c>
    </row>
    <row r="8" spans="1:5" x14ac:dyDescent="0.15">
      <c r="A8" s="5" t="s">
        <v>4</v>
      </c>
      <c r="B8" t="s">
        <v>64</v>
      </c>
      <c r="D8" s="15" t="s">
        <v>62</v>
      </c>
    </row>
    <row r="9" spans="1:5" x14ac:dyDescent="0.15">
      <c r="A9" s="5" t="s">
        <v>5</v>
      </c>
      <c r="B9" t="s">
        <v>65</v>
      </c>
      <c r="D9" s="15" t="s">
        <v>62</v>
      </c>
    </row>
    <row r="10" spans="1:5" x14ac:dyDescent="0.15">
      <c r="A10" s="5" t="s">
        <v>6</v>
      </c>
      <c r="B10" t="s">
        <v>65</v>
      </c>
      <c r="D10" s="15" t="s">
        <v>62</v>
      </c>
    </row>
    <row r="11" spans="1:5" x14ac:dyDescent="0.15">
      <c r="A11" s="5" t="s">
        <v>7</v>
      </c>
      <c r="B11" t="s">
        <v>65</v>
      </c>
      <c r="D11" s="15" t="s">
        <v>62</v>
      </c>
    </row>
    <row r="12" spans="1:5" x14ac:dyDescent="0.15">
      <c r="A12" s="5" t="s">
        <v>8</v>
      </c>
      <c r="B12" t="s">
        <v>65</v>
      </c>
      <c r="D12" s="15" t="s">
        <v>62</v>
      </c>
    </row>
    <row r="13" spans="1:5" x14ac:dyDescent="0.15">
      <c r="A13" s="5" t="s">
        <v>9</v>
      </c>
      <c r="B13" t="s">
        <v>65</v>
      </c>
      <c r="D13" s="15" t="s">
        <v>62</v>
      </c>
    </row>
    <row r="14" spans="1:5" x14ac:dyDescent="0.15">
      <c r="A14" s="5" t="s">
        <v>10</v>
      </c>
      <c r="B14" t="s">
        <v>65</v>
      </c>
      <c r="D14" s="15" t="s">
        <v>62</v>
      </c>
    </row>
    <row r="15" spans="1:5" x14ac:dyDescent="0.15">
      <c r="A15" s="10" t="s">
        <v>112</v>
      </c>
      <c r="B15" s="9" t="s">
        <v>111</v>
      </c>
      <c r="C15" s="11"/>
      <c r="D15" s="14" t="s">
        <v>122</v>
      </c>
      <c r="E15">
        <v>1</v>
      </c>
    </row>
    <row r="16" spans="1:5" x14ac:dyDescent="0.15">
      <c r="A16" s="10" t="s">
        <v>114</v>
      </c>
      <c r="B16" s="9" t="s">
        <v>113</v>
      </c>
      <c r="C16" s="11"/>
      <c r="D16" s="14" t="s">
        <v>122</v>
      </c>
      <c r="E16">
        <v>1</v>
      </c>
    </row>
    <row r="17" spans="1:8" x14ac:dyDescent="0.15">
      <c r="A17" s="10" t="s">
        <v>116</v>
      </c>
      <c r="B17" s="9" t="s">
        <v>115</v>
      </c>
      <c r="C17" s="11"/>
      <c r="D17" s="14" t="s">
        <v>122</v>
      </c>
      <c r="E17">
        <v>1</v>
      </c>
      <c r="G17" s="12"/>
      <c r="H17" s="13"/>
    </row>
    <row r="18" spans="1:8" x14ac:dyDescent="0.15">
      <c r="A18" s="10" t="s">
        <v>118</v>
      </c>
      <c r="B18" s="9" t="s">
        <v>117</v>
      </c>
      <c r="C18" s="11"/>
      <c r="D18" s="14" t="s">
        <v>122</v>
      </c>
      <c r="E18">
        <v>1</v>
      </c>
      <c r="G18" s="12"/>
      <c r="H18" s="13"/>
    </row>
    <row r="19" spans="1:8" x14ac:dyDescent="0.15">
      <c r="A19" s="10" t="s">
        <v>119</v>
      </c>
      <c r="B19" s="9" t="s">
        <v>124</v>
      </c>
      <c r="C19" s="11"/>
      <c r="D19" s="14" t="s">
        <v>122</v>
      </c>
      <c r="E19">
        <v>1</v>
      </c>
      <c r="G19" s="12"/>
      <c r="H19" s="13"/>
    </row>
    <row r="20" spans="1:8" x14ac:dyDescent="0.15">
      <c r="A20" s="10" t="s">
        <v>120</v>
      </c>
      <c r="B20" s="9" t="s">
        <v>125</v>
      </c>
      <c r="C20" s="11"/>
      <c r="D20" s="14" t="s">
        <v>122</v>
      </c>
      <c r="E20">
        <v>1</v>
      </c>
      <c r="G20" s="12"/>
      <c r="H20" s="13"/>
    </row>
    <row r="21" spans="1:8" x14ac:dyDescent="0.15">
      <c r="A21" s="10" t="s">
        <v>121</v>
      </c>
      <c r="B21" s="9" t="s">
        <v>126</v>
      </c>
      <c r="C21" s="11"/>
      <c r="D21" s="14" t="s">
        <v>122</v>
      </c>
      <c r="E21">
        <v>1</v>
      </c>
      <c r="G21" s="12"/>
      <c r="H21" s="13"/>
    </row>
    <row r="22" spans="1:8" x14ac:dyDescent="0.15">
      <c r="A22" s="10" t="s">
        <v>118</v>
      </c>
      <c r="B22" s="9" t="s">
        <v>127</v>
      </c>
      <c r="C22" s="11"/>
      <c r="D22" s="14" t="s">
        <v>122</v>
      </c>
      <c r="E22">
        <v>1</v>
      </c>
      <c r="G22" s="12"/>
      <c r="H22" s="13"/>
    </row>
    <row r="23" spans="1:8" x14ac:dyDescent="0.15">
      <c r="A23" s="5" t="s">
        <v>39</v>
      </c>
      <c r="B23" t="s">
        <v>67</v>
      </c>
      <c r="E23">
        <v>1</v>
      </c>
    </row>
    <row r="24" spans="1:8" x14ac:dyDescent="0.15">
      <c r="A24" s="5" t="s">
        <v>11</v>
      </c>
      <c r="B24" t="s">
        <v>68</v>
      </c>
      <c r="E24">
        <v>1</v>
      </c>
    </row>
    <row r="25" spans="1:8" x14ac:dyDescent="0.15">
      <c r="A25" s="5" t="s">
        <v>12</v>
      </c>
      <c r="B25" t="s">
        <v>69</v>
      </c>
      <c r="E25">
        <v>1</v>
      </c>
    </row>
    <row r="26" spans="1:8" x14ac:dyDescent="0.15">
      <c r="A26" s="5" t="s">
        <v>13</v>
      </c>
      <c r="B26" t="s">
        <v>70</v>
      </c>
      <c r="E26">
        <v>1</v>
      </c>
    </row>
    <row r="27" spans="1:8" x14ac:dyDescent="0.15">
      <c r="A27" s="5" t="s">
        <v>14</v>
      </c>
      <c r="B27" t="s">
        <v>71</v>
      </c>
      <c r="E27">
        <v>1</v>
      </c>
    </row>
    <row r="28" spans="1:8" x14ac:dyDescent="0.15">
      <c r="A28" s="5" t="s">
        <v>15</v>
      </c>
      <c r="B28" t="s">
        <v>72</v>
      </c>
      <c r="E28">
        <v>1</v>
      </c>
    </row>
    <row r="29" spans="1:8" x14ac:dyDescent="0.15">
      <c r="A29" s="5" t="s">
        <v>40</v>
      </c>
      <c r="B29" t="s">
        <v>73</v>
      </c>
      <c r="E29">
        <v>1</v>
      </c>
    </row>
    <row r="30" spans="1:8" x14ac:dyDescent="0.15">
      <c r="A30" s="5" t="s">
        <v>41</v>
      </c>
      <c r="B30" t="s">
        <v>74</v>
      </c>
      <c r="E30">
        <v>1</v>
      </c>
    </row>
    <row r="31" spans="1:8" x14ac:dyDescent="0.15">
      <c r="A31" s="5" t="s">
        <v>16</v>
      </c>
      <c r="D31" s="16" t="s">
        <v>123</v>
      </c>
    </row>
    <row r="32" spans="1:8" x14ac:dyDescent="0.15">
      <c r="A32" s="5" t="s">
        <v>17</v>
      </c>
      <c r="D32" s="16" t="s">
        <v>123</v>
      </c>
    </row>
    <row r="33" spans="1:5" x14ac:dyDescent="0.15">
      <c r="A33" s="5" t="s">
        <v>18</v>
      </c>
      <c r="D33" s="16" t="s">
        <v>123</v>
      </c>
    </row>
    <row r="34" spans="1:5" x14ac:dyDescent="0.15">
      <c r="A34" s="5" t="s">
        <v>31</v>
      </c>
      <c r="B34" t="s">
        <v>88</v>
      </c>
    </row>
    <row r="35" spans="1:5" x14ac:dyDescent="0.15">
      <c r="A35" s="5" t="s">
        <v>19</v>
      </c>
      <c r="B35" t="s">
        <v>75</v>
      </c>
    </row>
    <row r="36" spans="1:5" x14ac:dyDescent="0.15">
      <c r="A36" s="5" t="s">
        <v>26</v>
      </c>
      <c r="B36" t="s">
        <v>83</v>
      </c>
    </row>
    <row r="37" spans="1:5" x14ac:dyDescent="0.15">
      <c r="A37" s="5" t="s">
        <v>44</v>
      </c>
      <c r="B37" t="s">
        <v>92</v>
      </c>
    </row>
    <row r="38" spans="1:5" x14ac:dyDescent="0.15">
      <c r="A38" s="7" t="s">
        <v>53</v>
      </c>
      <c r="B38" t="s">
        <v>105</v>
      </c>
    </row>
    <row r="39" spans="1:5" x14ac:dyDescent="0.15">
      <c r="A39" s="7" t="s">
        <v>55</v>
      </c>
      <c r="B39" t="s">
        <v>107</v>
      </c>
    </row>
    <row r="40" spans="1:5" x14ac:dyDescent="0.15">
      <c r="A40" s="5" t="s">
        <v>27</v>
      </c>
      <c r="B40" t="s">
        <v>84</v>
      </c>
      <c r="E40">
        <v>1</v>
      </c>
    </row>
    <row r="41" spans="1:5" x14ac:dyDescent="0.15">
      <c r="A41" s="5" t="s">
        <v>20</v>
      </c>
      <c r="B41" t="s">
        <v>76</v>
      </c>
      <c r="E41">
        <v>1</v>
      </c>
    </row>
    <row r="42" spans="1:5" x14ac:dyDescent="0.15">
      <c r="A42" s="5" t="s">
        <v>32</v>
      </c>
      <c r="B42" t="s">
        <v>89</v>
      </c>
      <c r="E42">
        <v>1</v>
      </c>
    </row>
    <row r="43" spans="1:5" x14ac:dyDescent="0.15">
      <c r="A43" s="7" t="s">
        <v>54</v>
      </c>
      <c r="B43" t="s">
        <v>106</v>
      </c>
      <c r="E43">
        <v>1</v>
      </c>
    </row>
    <row r="44" spans="1:5" x14ac:dyDescent="0.15">
      <c r="A44" s="7" t="s">
        <v>56</v>
      </c>
      <c r="B44" t="s">
        <v>108</v>
      </c>
      <c r="E44">
        <v>1</v>
      </c>
    </row>
    <row r="45" spans="1:5" x14ac:dyDescent="0.15">
      <c r="A45" s="5" t="s">
        <v>21</v>
      </c>
      <c r="B45" t="s">
        <v>77</v>
      </c>
      <c r="E45">
        <v>1</v>
      </c>
    </row>
    <row r="46" spans="1:5" x14ac:dyDescent="0.15">
      <c r="A46" s="5" t="s">
        <v>22</v>
      </c>
      <c r="B46" t="s">
        <v>78</v>
      </c>
      <c r="E46">
        <v>1</v>
      </c>
    </row>
    <row r="47" spans="1:5" x14ac:dyDescent="0.15">
      <c r="A47" s="5" t="s">
        <v>42</v>
      </c>
      <c r="B47" t="s">
        <v>79</v>
      </c>
    </row>
    <row r="48" spans="1:5" x14ac:dyDescent="0.15">
      <c r="A48" s="5" t="s">
        <v>23</v>
      </c>
      <c r="B48" t="s">
        <v>80</v>
      </c>
    </row>
    <row r="49" spans="1:5" x14ac:dyDescent="0.15">
      <c r="A49" s="5" t="s">
        <v>24</v>
      </c>
      <c r="B49" t="s">
        <v>81</v>
      </c>
    </row>
    <row r="50" spans="1:5" x14ac:dyDescent="0.15">
      <c r="A50" s="5" t="s">
        <v>25</v>
      </c>
      <c r="B50" t="s">
        <v>82</v>
      </c>
    </row>
    <row r="51" spans="1:5" x14ac:dyDescent="0.15">
      <c r="A51" s="2" t="s">
        <v>45</v>
      </c>
      <c r="B51" t="s">
        <v>93</v>
      </c>
      <c r="E51">
        <v>1</v>
      </c>
    </row>
    <row r="52" spans="1:5" x14ac:dyDescent="0.15">
      <c r="A52" s="2" t="s">
        <v>46</v>
      </c>
      <c r="B52" t="s">
        <v>94</v>
      </c>
      <c r="E52">
        <v>1</v>
      </c>
    </row>
    <row r="53" spans="1:5" x14ac:dyDescent="0.15">
      <c r="A53" s="5" t="s">
        <v>28</v>
      </c>
      <c r="B53" t="s">
        <v>85</v>
      </c>
    </row>
    <row r="54" spans="1:5" x14ac:dyDescent="0.15">
      <c r="A54" s="5" t="s">
        <v>29</v>
      </c>
      <c r="B54" t="s">
        <v>86</v>
      </c>
    </row>
    <row r="55" spans="1:5" x14ac:dyDescent="0.15">
      <c r="A55" s="5" t="s">
        <v>30</v>
      </c>
      <c r="B55" t="s">
        <v>87</v>
      </c>
      <c r="D55" s="15" t="s">
        <v>62</v>
      </c>
    </row>
    <row r="56" spans="1:5" x14ac:dyDescent="0.15">
      <c r="A56" s="5" t="s">
        <v>33</v>
      </c>
      <c r="B56" t="s">
        <v>90</v>
      </c>
      <c r="E56">
        <v>1</v>
      </c>
    </row>
    <row r="57" spans="1:5" x14ac:dyDescent="0.15">
      <c r="A57" s="5" t="s">
        <v>43</v>
      </c>
      <c r="B57" t="s">
        <v>91</v>
      </c>
    </row>
    <row r="58" spans="1:5" x14ac:dyDescent="0.15">
      <c r="A58" s="5" t="s">
        <v>34</v>
      </c>
      <c r="B58" t="s">
        <v>95</v>
      </c>
    </row>
    <row r="59" spans="1:5" x14ac:dyDescent="0.15">
      <c r="A59" s="5" t="s">
        <v>47</v>
      </c>
      <c r="B59" t="s">
        <v>96</v>
      </c>
    </row>
    <row r="60" spans="1:5" x14ac:dyDescent="0.15">
      <c r="A60" s="7" t="s">
        <v>48</v>
      </c>
      <c r="B60" t="s">
        <v>98</v>
      </c>
    </row>
    <row r="61" spans="1:5" x14ac:dyDescent="0.15">
      <c r="A61" s="7" t="s">
        <v>35</v>
      </c>
      <c r="B61" t="s">
        <v>99</v>
      </c>
      <c r="E61">
        <v>1</v>
      </c>
    </row>
    <row r="62" spans="1:5" x14ac:dyDescent="0.15">
      <c r="A62" s="7" t="s">
        <v>36</v>
      </c>
      <c r="B62" t="s">
        <v>100</v>
      </c>
      <c r="E62">
        <v>1</v>
      </c>
    </row>
    <row r="63" spans="1:5" x14ac:dyDescent="0.15">
      <c r="A63" s="3" t="s">
        <v>49</v>
      </c>
      <c r="B63" s="46" t="s">
        <v>101</v>
      </c>
      <c r="C63" s="17"/>
    </row>
    <row r="64" spans="1:5" x14ac:dyDescent="0.15">
      <c r="A64" s="3" t="s">
        <v>50</v>
      </c>
      <c r="B64" s="46"/>
      <c r="C64" s="17"/>
    </row>
    <row r="65" spans="1:5" x14ac:dyDescent="0.15">
      <c r="A65" s="7" t="s">
        <v>51</v>
      </c>
      <c r="B65" t="s">
        <v>102</v>
      </c>
    </row>
    <row r="66" spans="1:5" x14ac:dyDescent="0.15">
      <c r="A66" s="7" t="s">
        <v>52</v>
      </c>
      <c r="B66" t="s">
        <v>103</v>
      </c>
      <c r="E66">
        <v>1</v>
      </c>
    </row>
    <row r="67" spans="1:5" x14ac:dyDescent="0.15">
      <c r="A67" s="3" t="s">
        <v>37</v>
      </c>
      <c r="B67" t="s">
        <v>104</v>
      </c>
      <c r="E67">
        <v>1</v>
      </c>
    </row>
    <row r="68" spans="1:5" x14ac:dyDescent="0.15">
      <c r="A68" s="8" t="s">
        <v>57</v>
      </c>
      <c r="B68" t="s">
        <v>109</v>
      </c>
      <c r="E68">
        <v>1</v>
      </c>
    </row>
    <row r="70" spans="1:5" x14ac:dyDescent="0.15">
      <c r="A70" s="1"/>
    </row>
    <row r="71" spans="1:5" x14ac:dyDescent="0.15">
      <c r="A71" s="1"/>
    </row>
    <row r="72" spans="1:5" x14ac:dyDescent="0.15">
      <c r="A72" s="1"/>
    </row>
    <row r="73" spans="1:5" x14ac:dyDescent="0.15">
      <c r="A73" s="1"/>
    </row>
    <row r="74" spans="1:5" x14ac:dyDescent="0.15">
      <c r="A74" s="1"/>
    </row>
    <row r="75" spans="1:5" x14ac:dyDescent="0.15">
      <c r="A75" s="1"/>
    </row>
    <row r="76" spans="1:5" x14ac:dyDescent="0.15">
      <c r="A76" s="1"/>
    </row>
    <row r="77" spans="1:5" x14ac:dyDescent="0.15">
      <c r="A77" s="1"/>
    </row>
    <row r="78" spans="1:5" x14ac:dyDescent="0.15">
      <c r="A78" s="1"/>
    </row>
    <row r="79" spans="1:5" x14ac:dyDescent="0.15">
      <c r="A79" s="1"/>
    </row>
    <row r="80" spans="1:5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  <row r="12932" spans="1:1" x14ac:dyDescent="0.15">
      <c r="A12932" s="1"/>
    </row>
    <row r="12933" spans="1:1" x14ac:dyDescent="0.15">
      <c r="A12933" s="1"/>
    </row>
    <row r="12934" spans="1:1" x14ac:dyDescent="0.15">
      <c r="A12934" s="1"/>
    </row>
    <row r="12935" spans="1:1" x14ac:dyDescent="0.15">
      <c r="A12935" s="1"/>
    </row>
    <row r="12936" spans="1:1" x14ac:dyDescent="0.15">
      <c r="A12936" s="1"/>
    </row>
    <row r="12937" spans="1:1" x14ac:dyDescent="0.15">
      <c r="A12937" s="1"/>
    </row>
    <row r="12938" spans="1:1" x14ac:dyDescent="0.15">
      <c r="A12938" s="1"/>
    </row>
    <row r="12939" spans="1:1" x14ac:dyDescent="0.15">
      <c r="A12939" s="1"/>
    </row>
    <row r="12940" spans="1:1" x14ac:dyDescent="0.15">
      <c r="A12940" s="1"/>
    </row>
    <row r="12941" spans="1:1" x14ac:dyDescent="0.15">
      <c r="A12941" s="1"/>
    </row>
    <row r="12942" spans="1:1" x14ac:dyDescent="0.15">
      <c r="A12942" s="1"/>
    </row>
    <row r="12943" spans="1:1" x14ac:dyDescent="0.15">
      <c r="A12943" s="1"/>
    </row>
    <row r="12944" spans="1:1" x14ac:dyDescent="0.15">
      <c r="A12944" s="1"/>
    </row>
    <row r="12945" spans="1:1" x14ac:dyDescent="0.15">
      <c r="A12945" s="1"/>
    </row>
    <row r="12946" spans="1:1" x14ac:dyDescent="0.15">
      <c r="A12946" s="1"/>
    </row>
    <row r="12947" spans="1:1" x14ac:dyDescent="0.15">
      <c r="A12947" s="1"/>
    </row>
    <row r="12948" spans="1:1" x14ac:dyDescent="0.15">
      <c r="A12948" s="1"/>
    </row>
    <row r="12949" spans="1:1" x14ac:dyDescent="0.15">
      <c r="A12949" s="1"/>
    </row>
    <row r="12950" spans="1:1" x14ac:dyDescent="0.15">
      <c r="A12950" s="1"/>
    </row>
    <row r="12951" spans="1:1" x14ac:dyDescent="0.15">
      <c r="A12951" s="1"/>
    </row>
    <row r="12952" spans="1:1" x14ac:dyDescent="0.15">
      <c r="A12952" s="1"/>
    </row>
    <row r="12953" spans="1:1" x14ac:dyDescent="0.15">
      <c r="A12953" s="1"/>
    </row>
    <row r="12954" spans="1:1" x14ac:dyDescent="0.15">
      <c r="A12954" s="1"/>
    </row>
    <row r="12955" spans="1:1" x14ac:dyDescent="0.15">
      <c r="A12955" s="1"/>
    </row>
    <row r="12956" spans="1:1" x14ac:dyDescent="0.15">
      <c r="A12956" s="1"/>
    </row>
    <row r="12957" spans="1:1" x14ac:dyDescent="0.15">
      <c r="A12957" s="1"/>
    </row>
    <row r="12958" spans="1:1" x14ac:dyDescent="0.15">
      <c r="A12958" s="1"/>
    </row>
    <row r="12959" spans="1:1" x14ac:dyDescent="0.15">
      <c r="A12959" s="1"/>
    </row>
    <row r="12960" spans="1:1" x14ac:dyDescent="0.15">
      <c r="A12960" s="1"/>
    </row>
    <row r="12961" spans="1:1" x14ac:dyDescent="0.15">
      <c r="A12961" s="1"/>
    </row>
    <row r="12962" spans="1:1" x14ac:dyDescent="0.15">
      <c r="A12962" s="1"/>
    </row>
    <row r="12963" spans="1:1" x14ac:dyDescent="0.15">
      <c r="A12963" s="1"/>
    </row>
    <row r="12964" spans="1:1" x14ac:dyDescent="0.15">
      <c r="A12964" s="1"/>
    </row>
    <row r="12965" spans="1:1" x14ac:dyDescent="0.15">
      <c r="A12965" s="1"/>
    </row>
    <row r="12966" spans="1:1" x14ac:dyDescent="0.15">
      <c r="A12966" s="1"/>
    </row>
    <row r="12967" spans="1:1" x14ac:dyDescent="0.15">
      <c r="A12967" s="1"/>
    </row>
    <row r="12968" spans="1:1" x14ac:dyDescent="0.15">
      <c r="A12968" s="1"/>
    </row>
    <row r="12969" spans="1:1" x14ac:dyDescent="0.15">
      <c r="A12969" s="1"/>
    </row>
    <row r="12970" spans="1:1" x14ac:dyDescent="0.15">
      <c r="A12970" s="1"/>
    </row>
    <row r="12971" spans="1:1" x14ac:dyDescent="0.15">
      <c r="A12971" s="1"/>
    </row>
    <row r="12972" spans="1:1" x14ac:dyDescent="0.15">
      <c r="A12972" s="1"/>
    </row>
    <row r="12973" spans="1:1" x14ac:dyDescent="0.15">
      <c r="A12973" s="1"/>
    </row>
    <row r="12974" spans="1:1" x14ac:dyDescent="0.15">
      <c r="A12974" s="1"/>
    </row>
    <row r="12975" spans="1:1" x14ac:dyDescent="0.15">
      <c r="A12975" s="1"/>
    </row>
    <row r="12976" spans="1:1" x14ac:dyDescent="0.15">
      <c r="A12976" s="1"/>
    </row>
    <row r="12977" spans="1:1" x14ac:dyDescent="0.15">
      <c r="A12977" s="1"/>
    </row>
    <row r="12978" spans="1:1" x14ac:dyDescent="0.15">
      <c r="A12978" s="1"/>
    </row>
    <row r="12979" spans="1:1" x14ac:dyDescent="0.15">
      <c r="A12979" s="1"/>
    </row>
    <row r="12980" spans="1:1" x14ac:dyDescent="0.15">
      <c r="A12980" s="1"/>
    </row>
    <row r="12981" spans="1:1" x14ac:dyDescent="0.15">
      <c r="A12981" s="1"/>
    </row>
    <row r="12982" spans="1:1" x14ac:dyDescent="0.15">
      <c r="A12982" s="1"/>
    </row>
    <row r="12983" spans="1:1" x14ac:dyDescent="0.15">
      <c r="A12983" s="1"/>
    </row>
    <row r="12984" spans="1:1" x14ac:dyDescent="0.15">
      <c r="A12984" s="1"/>
    </row>
    <row r="12985" spans="1:1" x14ac:dyDescent="0.15">
      <c r="A12985" s="1"/>
    </row>
    <row r="12986" spans="1:1" x14ac:dyDescent="0.15">
      <c r="A12986" s="1"/>
    </row>
    <row r="12987" spans="1:1" x14ac:dyDescent="0.15">
      <c r="A12987" s="1"/>
    </row>
    <row r="12988" spans="1:1" x14ac:dyDescent="0.15">
      <c r="A12988" s="1"/>
    </row>
    <row r="12989" spans="1:1" x14ac:dyDescent="0.15">
      <c r="A12989" s="1"/>
    </row>
    <row r="12990" spans="1:1" x14ac:dyDescent="0.15">
      <c r="A12990" s="1"/>
    </row>
    <row r="12991" spans="1:1" x14ac:dyDescent="0.15">
      <c r="A12991" s="1"/>
    </row>
    <row r="12992" spans="1:1" x14ac:dyDescent="0.15">
      <c r="A12992" s="1"/>
    </row>
    <row r="12993" spans="1:1" x14ac:dyDescent="0.15">
      <c r="A12993" s="1"/>
    </row>
    <row r="12994" spans="1:1" x14ac:dyDescent="0.15">
      <c r="A12994" s="1"/>
    </row>
    <row r="12995" spans="1:1" x14ac:dyDescent="0.15">
      <c r="A12995" s="1"/>
    </row>
    <row r="12996" spans="1:1" x14ac:dyDescent="0.15">
      <c r="A12996" s="1"/>
    </row>
    <row r="12997" spans="1:1" x14ac:dyDescent="0.15">
      <c r="A12997" s="1"/>
    </row>
    <row r="12998" spans="1:1" x14ac:dyDescent="0.15">
      <c r="A12998" s="1"/>
    </row>
    <row r="12999" spans="1:1" x14ac:dyDescent="0.15">
      <c r="A12999" s="1"/>
    </row>
    <row r="13000" spans="1:1" x14ac:dyDescent="0.15">
      <c r="A13000" s="1"/>
    </row>
    <row r="13001" spans="1:1" x14ac:dyDescent="0.15">
      <c r="A13001" s="1"/>
    </row>
    <row r="13002" spans="1:1" x14ac:dyDescent="0.15">
      <c r="A13002" s="1"/>
    </row>
    <row r="13003" spans="1:1" x14ac:dyDescent="0.15">
      <c r="A13003" s="1"/>
    </row>
    <row r="13004" spans="1:1" x14ac:dyDescent="0.15">
      <c r="A13004" s="1"/>
    </row>
    <row r="13005" spans="1:1" x14ac:dyDescent="0.15">
      <c r="A13005" s="1"/>
    </row>
    <row r="13006" spans="1:1" x14ac:dyDescent="0.15">
      <c r="A13006" s="1"/>
    </row>
    <row r="13007" spans="1:1" x14ac:dyDescent="0.15">
      <c r="A13007" s="1"/>
    </row>
    <row r="13008" spans="1:1" x14ac:dyDescent="0.15">
      <c r="A13008" s="1"/>
    </row>
    <row r="13009" spans="1:1" x14ac:dyDescent="0.15">
      <c r="A13009" s="1"/>
    </row>
    <row r="13010" spans="1:1" x14ac:dyDescent="0.15">
      <c r="A13010" s="1"/>
    </row>
    <row r="13011" spans="1:1" x14ac:dyDescent="0.15">
      <c r="A13011" s="1"/>
    </row>
    <row r="13012" spans="1:1" x14ac:dyDescent="0.15">
      <c r="A13012" s="1"/>
    </row>
    <row r="13013" spans="1:1" x14ac:dyDescent="0.15">
      <c r="A13013" s="1"/>
    </row>
    <row r="13014" spans="1:1" x14ac:dyDescent="0.15">
      <c r="A13014" s="1"/>
    </row>
    <row r="13015" spans="1:1" x14ac:dyDescent="0.15">
      <c r="A13015" s="1"/>
    </row>
    <row r="13016" spans="1:1" x14ac:dyDescent="0.15">
      <c r="A13016" s="1"/>
    </row>
    <row r="13017" spans="1:1" x14ac:dyDescent="0.15">
      <c r="A13017" s="1"/>
    </row>
    <row r="13018" spans="1:1" x14ac:dyDescent="0.15">
      <c r="A13018" s="1"/>
    </row>
    <row r="13019" spans="1:1" x14ac:dyDescent="0.15">
      <c r="A13019" s="1"/>
    </row>
    <row r="13020" spans="1:1" x14ac:dyDescent="0.15">
      <c r="A13020" s="1"/>
    </row>
    <row r="13021" spans="1:1" x14ac:dyDescent="0.15">
      <c r="A13021" s="1"/>
    </row>
    <row r="13022" spans="1:1" x14ac:dyDescent="0.15">
      <c r="A13022" s="1"/>
    </row>
    <row r="13023" spans="1:1" x14ac:dyDescent="0.15">
      <c r="A13023" s="1"/>
    </row>
    <row r="13024" spans="1:1" x14ac:dyDescent="0.15">
      <c r="A13024" s="1"/>
    </row>
    <row r="13025" spans="1:1" x14ac:dyDescent="0.15">
      <c r="A13025" s="1"/>
    </row>
    <row r="13026" spans="1:1" x14ac:dyDescent="0.15">
      <c r="A13026" s="1"/>
    </row>
    <row r="13027" spans="1:1" x14ac:dyDescent="0.15">
      <c r="A13027" s="1"/>
    </row>
    <row r="13028" spans="1:1" x14ac:dyDescent="0.15">
      <c r="A13028" s="1"/>
    </row>
    <row r="13029" spans="1:1" x14ac:dyDescent="0.15">
      <c r="A13029" s="1"/>
    </row>
    <row r="13030" spans="1:1" x14ac:dyDescent="0.15">
      <c r="A13030" s="1"/>
    </row>
    <row r="13031" spans="1:1" x14ac:dyDescent="0.15">
      <c r="A13031" s="1"/>
    </row>
    <row r="13032" spans="1:1" x14ac:dyDescent="0.15">
      <c r="A13032" s="1"/>
    </row>
    <row r="13033" spans="1:1" x14ac:dyDescent="0.15">
      <c r="A13033" s="1"/>
    </row>
    <row r="13034" spans="1:1" x14ac:dyDescent="0.15">
      <c r="A13034" s="1"/>
    </row>
    <row r="13035" spans="1:1" x14ac:dyDescent="0.15">
      <c r="A13035" s="1"/>
    </row>
    <row r="13036" spans="1:1" x14ac:dyDescent="0.15">
      <c r="A13036" s="1"/>
    </row>
    <row r="13037" spans="1:1" x14ac:dyDescent="0.15">
      <c r="A13037" s="1"/>
    </row>
    <row r="13038" spans="1:1" x14ac:dyDescent="0.15">
      <c r="A13038" s="1"/>
    </row>
    <row r="13039" spans="1:1" x14ac:dyDescent="0.15">
      <c r="A13039" s="1"/>
    </row>
    <row r="13040" spans="1:1" x14ac:dyDescent="0.15">
      <c r="A13040" s="1"/>
    </row>
    <row r="13041" spans="1:1" x14ac:dyDescent="0.15">
      <c r="A13041" s="1"/>
    </row>
    <row r="13042" spans="1:1" x14ac:dyDescent="0.15">
      <c r="A13042" s="1"/>
    </row>
    <row r="13043" spans="1:1" x14ac:dyDescent="0.15">
      <c r="A13043" s="1"/>
    </row>
    <row r="13044" spans="1:1" x14ac:dyDescent="0.15">
      <c r="A13044" s="1"/>
    </row>
    <row r="13045" spans="1:1" x14ac:dyDescent="0.15">
      <c r="A13045" s="1"/>
    </row>
    <row r="13046" spans="1:1" x14ac:dyDescent="0.15">
      <c r="A13046" s="1"/>
    </row>
    <row r="13047" spans="1:1" x14ac:dyDescent="0.15">
      <c r="A13047" s="1"/>
    </row>
    <row r="13048" spans="1:1" x14ac:dyDescent="0.15">
      <c r="A13048" s="1"/>
    </row>
    <row r="13049" spans="1:1" x14ac:dyDescent="0.15">
      <c r="A13049" s="1"/>
    </row>
    <row r="13050" spans="1:1" x14ac:dyDescent="0.15">
      <c r="A13050" s="1"/>
    </row>
    <row r="13051" spans="1:1" x14ac:dyDescent="0.15">
      <c r="A13051" s="1"/>
    </row>
    <row r="13052" spans="1:1" x14ac:dyDescent="0.15">
      <c r="A13052" s="1"/>
    </row>
    <row r="13053" spans="1:1" x14ac:dyDescent="0.15">
      <c r="A13053" s="1"/>
    </row>
    <row r="13054" spans="1:1" x14ac:dyDescent="0.15">
      <c r="A13054" s="1"/>
    </row>
    <row r="13055" spans="1:1" x14ac:dyDescent="0.15">
      <c r="A13055" s="1"/>
    </row>
    <row r="13056" spans="1:1" x14ac:dyDescent="0.15">
      <c r="A13056" s="1"/>
    </row>
    <row r="13057" spans="1:1" x14ac:dyDescent="0.15">
      <c r="A13057" s="1"/>
    </row>
    <row r="13058" spans="1:1" x14ac:dyDescent="0.15">
      <c r="A13058" s="1"/>
    </row>
    <row r="13059" spans="1:1" x14ac:dyDescent="0.15">
      <c r="A13059" s="1"/>
    </row>
    <row r="13060" spans="1:1" x14ac:dyDescent="0.15">
      <c r="A13060" s="1"/>
    </row>
    <row r="13061" spans="1:1" x14ac:dyDescent="0.15">
      <c r="A13061" s="1"/>
    </row>
    <row r="13062" spans="1:1" x14ac:dyDescent="0.15">
      <c r="A13062" s="1"/>
    </row>
    <row r="13063" spans="1:1" x14ac:dyDescent="0.15">
      <c r="A13063" s="1"/>
    </row>
    <row r="13064" spans="1:1" x14ac:dyDescent="0.15">
      <c r="A13064" s="1"/>
    </row>
    <row r="13065" spans="1:1" x14ac:dyDescent="0.15">
      <c r="A13065" s="1"/>
    </row>
    <row r="13066" spans="1:1" x14ac:dyDescent="0.15">
      <c r="A13066" s="1"/>
    </row>
    <row r="13067" spans="1:1" x14ac:dyDescent="0.15">
      <c r="A13067" s="1"/>
    </row>
    <row r="13068" spans="1:1" x14ac:dyDescent="0.15">
      <c r="A13068" s="1"/>
    </row>
    <row r="13069" spans="1:1" x14ac:dyDescent="0.15">
      <c r="A13069" s="1"/>
    </row>
    <row r="13070" spans="1:1" x14ac:dyDescent="0.15">
      <c r="A13070" s="1"/>
    </row>
    <row r="13071" spans="1:1" x14ac:dyDescent="0.15">
      <c r="A13071" s="1"/>
    </row>
    <row r="13072" spans="1:1" x14ac:dyDescent="0.15">
      <c r="A13072" s="1"/>
    </row>
    <row r="13073" spans="1:1" x14ac:dyDescent="0.15">
      <c r="A13073" s="1"/>
    </row>
    <row r="13074" spans="1:1" x14ac:dyDescent="0.15">
      <c r="A13074" s="1"/>
    </row>
    <row r="13075" spans="1:1" x14ac:dyDescent="0.15">
      <c r="A13075" s="1"/>
    </row>
    <row r="13076" spans="1:1" x14ac:dyDescent="0.15">
      <c r="A13076" s="1"/>
    </row>
    <row r="13077" spans="1:1" x14ac:dyDescent="0.15">
      <c r="A13077" s="1"/>
    </row>
    <row r="13078" spans="1:1" x14ac:dyDescent="0.15">
      <c r="A13078" s="1"/>
    </row>
    <row r="13079" spans="1:1" x14ac:dyDescent="0.15">
      <c r="A13079" s="1"/>
    </row>
    <row r="13080" spans="1:1" x14ac:dyDescent="0.15">
      <c r="A13080" s="1"/>
    </row>
    <row r="13081" spans="1:1" x14ac:dyDescent="0.15">
      <c r="A13081" s="1"/>
    </row>
    <row r="13082" spans="1:1" x14ac:dyDescent="0.15">
      <c r="A13082" s="1"/>
    </row>
    <row r="13083" spans="1:1" x14ac:dyDescent="0.15">
      <c r="A13083" s="1"/>
    </row>
    <row r="13084" spans="1:1" x14ac:dyDescent="0.15">
      <c r="A13084" s="1"/>
    </row>
    <row r="13085" spans="1:1" x14ac:dyDescent="0.15">
      <c r="A13085" s="1"/>
    </row>
    <row r="13086" spans="1:1" x14ac:dyDescent="0.15">
      <c r="A13086" s="1"/>
    </row>
    <row r="13087" spans="1:1" x14ac:dyDescent="0.15">
      <c r="A13087" s="1"/>
    </row>
    <row r="13088" spans="1:1" x14ac:dyDescent="0.15">
      <c r="A13088" s="1"/>
    </row>
    <row r="13089" spans="1:1" x14ac:dyDescent="0.15">
      <c r="A13089" s="1"/>
    </row>
    <row r="13090" spans="1:1" x14ac:dyDescent="0.15">
      <c r="A13090" s="1"/>
    </row>
    <row r="13091" spans="1:1" x14ac:dyDescent="0.15">
      <c r="A13091" s="1"/>
    </row>
    <row r="13092" spans="1:1" x14ac:dyDescent="0.15">
      <c r="A13092" s="1"/>
    </row>
    <row r="13093" spans="1:1" x14ac:dyDescent="0.15">
      <c r="A13093" s="1"/>
    </row>
    <row r="13094" spans="1:1" x14ac:dyDescent="0.15">
      <c r="A13094" s="1"/>
    </row>
    <row r="13095" spans="1:1" x14ac:dyDescent="0.15">
      <c r="A13095" s="1"/>
    </row>
    <row r="13096" spans="1:1" x14ac:dyDescent="0.15">
      <c r="A13096" s="1"/>
    </row>
    <row r="13097" spans="1:1" x14ac:dyDescent="0.15">
      <c r="A13097" s="1"/>
    </row>
    <row r="13098" spans="1:1" x14ac:dyDescent="0.15">
      <c r="A13098" s="1"/>
    </row>
    <row r="13099" spans="1:1" x14ac:dyDescent="0.15">
      <c r="A13099" s="1"/>
    </row>
    <row r="13100" spans="1:1" x14ac:dyDescent="0.15">
      <c r="A13100" s="1"/>
    </row>
    <row r="13101" spans="1:1" x14ac:dyDescent="0.15">
      <c r="A13101" s="1"/>
    </row>
    <row r="13102" spans="1:1" x14ac:dyDescent="0.15">
      <c r="A13102" s="1"/>
    </row>
    <row r="13103" spans="1:1" x14ac:dyDescent="0.15">
      <c r="A13103" s="1"/>
    </row>
    <row r="13104" spans="1:1" x14ac:dyDescent="0.15">
      <c r="A13104" s="1"/>
    </row>
    <row r="13105" spans="1:1" x14ac:dyDescent="0.15">
      <c r="A13105" s="1"/>
    </row>
    <row r="13106" spans="1:1" x14ac:dyDescent="0.15">
      <c r="A13106" s="1"/>
    </row>
    <row r="13107" spans="1:1" x14ac:dyDescent="0.15">
      <c r="A13107" s="1"/>
    </row>
    <row r="13108" spans="1:1" x14ac:dyDescent="0.15">
      <c r="A13108" s="1"/>
    </row>
    <row r="13109" spans="1:1" x14ac:dyDescent="0.15">
      <c r="A13109" s="1"/>
    </row>
    <row r="13110" spans="1:1" x14ac:dyDescent="0.15">
      <c r="A13110" s="1"/>
    </row>
    <row r="13111" spans="1:1" x14ac:dyDescent="0.15">
      <c r="A13111" s="1"/>
    </row>
    <row r="13112" spans="1:1" x14ac:dyDescent="0.15">
      <c r="A13112" s="1"/>
    </row>
    <row r="13113" spans="1:1" x14ac:dyDescent="0.15">
      <c r="A13113" s="1"/>
    </row>
    <row r="13114" spans="1:1" x14ac:dyDescent="0.15">
      <c r="A13114" s="1"/>
    </row>
    <row r="13115" spans="1:1" x14ac:dyDescent="0.15">
      <c r="A13115" s="1"/>
    </row>
    <row r="13116" spans="1:1" x14ac:dyDescent="0.15">
      <c r="A13116" s="1"/>
    </row>
    <row r="13117" spans="1:1" x14ac:dyDescent="0.15">
      <c r="A13117" s="1"/>
    </row>
    <row r="13118" spans="1:1" x14ac:dyDescent="0.15">
      <c r="A13118" s="1"/>
    </row>
    <row r="13119" spans="1:1" x14ac:dyDescent="0.15">
      <c r="A13119" s="1"/>
    </row>
    <row r="13120" spans="1:1" x14ac:dyDescent="0.15">
      <c r="A13120" s="1"/>
    </row>
    <row r="13121" spans="1:1" x14ac:dyDescent="0.15">
      <c r="A13121" s="1"/>
    </row>
    <row r="13122" spans="1:1" x14ac:dyDescent="0.15">
      <c r="A13122" s="1"/>
    </row>
    <row r="13123" spans="1:1" x14ac:dyDescent="0.15">
      <c r="A13123" s="1"/>
    </row>
    <row r="13124" spans="1:1" x14ac:dyDescent="0.15">
      <c r="A13124" s="1"/>
    </row>
    <row r="13125" spans="1:1" x14ac:dyDescent="0.15">
      <c r="A13125" s="1"/>
    </row>
    <row r="13126" spans="1:1" x14ac:dyDescent="0.15">
      <c r="A13126" s="1"/>
    </row>
    <row r="13127" spans="1:1" x14ac:dyDescent="0.15">
      <c r="A13127" s="1"/>
    </row>
    <row r="13128" spans="1:1" x14ac:dyDescent="0.15">
      <c r="A13128" s="1"/>
    </row>
    <row r="13129" spans="1:1" x14ac:dyDescent="0.15">
      <c r="A13129" s="1"/>
    </row>
    <row r="13130" spans="1:1" x14ac:dyDescent="0.15">
      <c r="A13130" s="1"/>
    </row>
    <row r="13131" spans="1:1" x14ac:dyDescent="0.15">
      <c r="A13131" s="1"/>
    </row>
    <row r="13132" spans="1:1" x14ac:dyDescent="0.15">
      <c r="A13132" s="1"/>
    </row>
    <row r="13133" spans="1:1" x14ac:dyDescent="0.15">
      <c r="A13133" s="1"/>
    </row>
    <row r="13134" spans="1:1" x14ac:dyDescent="0.15">
      <c r="A13134" s="1"/>
    </row>
    <row r="13135" spans="1:1" x14ac:dyDescent="0.15">
      <c r="A13135" s="1"/>
    </row>
    <row r="13136" spans="1:1" x14ac:dyDescent="0.15">
      <c r="A13136" s="1"/>
    </row>
    <row r="13137" spans="1:1" x14ac:dyDescent="0.15">
      <c r="A13137" s="1"/>
    </row>
    <row r="13138" spans="1:1" x14ac:dyDescent="0.15">
      <c r="A13138" s="1"/>
    </row>
    <row r="13139" spans="1:1" x14ac:dyDescent="0.15">
      <c r="A13139" s="1"/>
    </row>
    <row r="13140" spans="1:1" x14ac:dyDescent="0.15">
      <c r="A13140" s="1"/>
    </row>
    <row r="13141" spans="1:1" x14ac:dyDescent="0.15">
      <c r="A13141" s="1"/>
    </row>
    <row r="13142" spans="1:1" x14ac:dyDescent="0.15">
      <c r="A13142" s="1"/>
    </row>
    <row r="13143" spans="1:1" x14ac:dyDescent="0.15">
      <c r="A13143" s="1"/>
    </row>
    <row r="13144" spans="1:1" x14ac:dyDescent="0.15">
      <c r="A13144" s="1"/>
    </row>
    <row r="13145" spans="1:1" x14ac:dyDescent="0.15">
      <c r="A13145" s="1"/>
    </row>
    <row r="13146" spans="1:1" x14ac:dyDescent="0.15">
      <c r="A13146" s="1"/>
    </row>
    <row r="13147" spans="1:1" x14ac:dyDescent="0.15">
      <c r="A13147" s="1"/>
    </row>
    <row r="13148" spans="1:1" x14ac:dyDescent="0.15">
      <c r="A13148" s="1"/>
    </row>
    <row r="13149" spans="1:1" x14ac:dyDescent="0.15">
      <c r="A13149" s="1"/>
    </row>
    <row r="13150" spans="1:1" x14ac:dyDescent="0.15">
      <c r="A13150" s="1"/>
    </row>
    <row r="13151" spans="1:1" x14ac:dyDescent="0.15">
      <c r="A13151" s="1"/>
    </row>
    <row r="13152" spans="1:1" x14ac:dyDescent="0.15">
      <c r="A13152" s="1"/>
    </row>
    <row r="13153" spans="1:1" x14ac:dyDescent="0.15">
      <c r="A13153" s="1"/>
    </row>
    <row r="13154" spans="1:1" x14ac:dyDescent="0.15">
      <c r="A13154" s="1"/>
    </row>
    <row r="13155" spans="1:1" x14ac:dyDescent="0.15">
      <c r="A13155" s="1"/>
    </row>
    <row r="13156" spans="1:1" x14ac:dyDescent="0.15">
      <c r="A13156" s="1"/>
    </row>
    <row r="13157" spans="1:1" x14ac:dyDescent="0.15">
      <c r="A13157" s="1"/>
    </row>
    <row r="13158" spans="1:1" x14ac:dyDescent="0.15">
      <c r="A13158" s="1"/>
    </row>
    <row r="13159" spans="1:1" x14ac:dyDescent="0.15">
      <c r="A13159" s="1"/>
    </row>
    <row r="13160" spans="1:1" x14ac:dyDescent="0.15">
      <c r="A13160" s="1"/>
    </row>
    <row r="13161" spans="1:1" x14ac:dyDescent="0.15">
      <c r="A13161" s="1"/>
    </row>
    <row r="13162" spans="1:1" x14ac:dyDescent="0.15">
      <c r="A13162" s="1"/>
    </row>
    <row r="13163" spans="1:1" x14ac:dyDescent="0.15">
      <c r="A13163" s="1"/>
    </row>
    <row r="13164" spans="1:1" x14ac:dyDescent="0.15">
      <c r="A13164" s="1"/>
    </row>
    <row r="13165" spans="1:1" x14ac:dyDescent="0.15">
      <c r="A13165" s="1"/>
    </row>
    <row r="13166" spans="1:1" x14ac:dyDescent="0.15">
      <c r="A13166" s="1"/>
    </row>
    <row r="13167" spans="1:1" x14ac:dyDescent="0.15">
      <c r="A13167" s="1"/>
    </row>
    <row r="13168" spans="1:1" x14ac:dyDescent="0.15">
      <c r="A13168" s="1"/>
    </row>
    <row r="13169" spans="1:1" x14ac:dyDescent="0.15">
      <c r="A13169" s="1"/>
    </row>
    <row r="13170" spans="1:1" x14ac:dyDescent="0.15">
      <c r="A13170" s="1"/>
    </row>
    <row r="13171" spans="1:1" x14ac:dyDescent="0.15">
      <c r="A13171" s="1"/>
    </row>
    <row r="13172" spans="1:1" x14ac:dyDescent="0.15">
      <c r="A13172" s="1"/>
    </row>
    <row r="13173" spans="1:1" x14ac:dyDescent="0.15">
      <c r="A13173" s="1"/>
    </row>
    <row r="13174" spans="1:1" x14ac:dyDescent="0.15">
      <c r="A13174" s="1"/>
    </row>
    <row r="13175" spans="1:1" x14ac:dyDescent="0.15">
      <c r="A13175" s="1"/>
    </row>
    <row r="13176" spans="1:1" x14ac:dyDescent="0.15">
      <c r="A13176" s="1"/>
    </row>
    <row r="13177" spans="1:1" x14ac:dyDescent="0.15">
      <c r="A13177" s="1"/>
    </row>
    <row r="13178" spans="1:1" x14ac:dyDescent="0.15">
      <c r="A13178" s="1"/>
    </row>
    <row r="13179" spans="1:1" x14ac:dyDescent="0.15">
      <c r="A13179" s="1"/>
    </row>
    <row r="13180" spans="1:1" x14ac:dyDescent="0.15">
      <c r="A13180" s="1"/>
    </row>
    <row r="13181" spans="1:1" x14ac:dyDescent="0.15">
      <c r="A13181" s="1"/>
    </row>
    <row r="13182" spans="1:1" x14ac:dyDescent="0.15">
      <c r="A13182" s="1"/>
    </row>
    <row r="13183" spans="1:1" x14ac:dyDescent="0.15">
      <c r="A13183" s="1"/>
    </row>
    <row r="13184" spans="1:1" x14ac:dyDescent="0.15">
      <c r="A13184" s="1"/>
    </row>
    <row r="13185" spans="1:1" x14ac:dyDescent="0.15">
      <c r="A13185" s="1"/>
    </row>
    <row r="13186" spans="1:1" x14ac:dyDescent="0.15">
      <c r="A13186" s="1"/>
    </row>
    <row r="13187" spans="1:1" x14ac:dyDescent="0.15">
      <c r="A13187" s="1"/>
    </row>
    <row r="13188" spans="1:1" x14ac:dyDescent="0.15">
      <c r="A13188" s="1"/>
    </row>
    <row r="13189" spans="1:1" x14ac:dyDescent="0.15">
      <c r="A13189" s="1"/>
    </row>
    <row r="13190" spans="1:1" x14ac:dyDescent="0.15">
      <c r="A13190" s="1"/>
    </row>
    <row r="13191" spans="1:1" x14ac:dyDescent="0.15">
      <c r="A13191" s="1"/>
    </row>
    <row r="13192" spans="1:1" x14ac:dyDescent="0.15">
      <c r="A13192" s="1"/>
    </row>
    <row r="13193" spans="1:1" x14ac:dyDescent="0.15">
      <c r="A13193" s="1"/>
    </row>
    <row r="13194" spans="1:1" x14ac:dyDescent="0.15">
      <c r="A13194" s="1"/>
    </row>
    <row r="13195" spans="1:1" x14ac:dyDescent="0.15">
      <c r="A13195" s="1"/>
    </row>
    <row r="13196" spans="1:1" x14ac:dyDescent="0.15">
      <c r="A13196" s="1"/>
    </row>
    <row r="13197" spans="1:1" x14ac:dyDescent="0.15">
      <c r="A13197" s="1"/>
    </row>
    <row r="13198" spans="1:1" x14ac:dyDescent="0.15">
      <c r="A13198" s="1"/>
    </row>
    <row r="13199" spans="1:1" x14ac:dyDescent="0.15">
      <c r="A13199" s="1"/>
    </row>
    <row r="13200" spans="1:1" x14ac:dyDescent="0.15">
      <c r="A13200" s="1"/>
    </row>
    <row r="13201" spans="1:1" x14ac:dyDescent="0.15">
      <c r="A13201" s="1"/>
    </row>
    <row r="13202" spans="1:1" x14ac:dyDescent="0.15">
      <c r="A13202" s="1"/>
    </row>
    <row r="13203" spans="1:1" x14ac:dyDescent="0.15">
      <c r="A13203" s="1"/>
    </row>
    <row r="13204" spans="1:1" x14ac:dyDescent="0.15">
      <c r="A13204" s="1"/>
    </row>
    <row r="13205" spans="1:1" x14ac:dyDescent="0.15">
      <c r="A13205" s="1"/>
    </row>
    <row r="13206" spans="1:1" x14ac:dyDescent="0.15">
      <c r="A13206" s="1"/>
    </row>
    <row r="13207" spans="1:1" x14ac:dyDescent="0.15">
      <c r="A13207" s="1"/>
    </row>
    <row r="13208" spans="1:1" x14ac:dyDescent="0.15">
      <c r="A13208" s="1"/>
    </row>
    <row r="13209" spans="1:1" x14ac:dyDescent="0.15">
      <c r="A13209" s="1"/>
    </row>
    <row r="13210" spans="1:1" x14ac:dyDescent="0.15">
      <c r="A13210" s="1"/>
    </row>
    <row r="13211" spans="1:1" x14ac:dyDescent="0.15">
      <c r="A13211" s="1"/>
    </row>
    <row r="13212" spans="1:1" x14ac:dyDescent="0.15">
      <c r="A13212" s="1"/>
    </row>
    <row r="13213" spans="1:1" x14ac:dyDescent="0.15">
      <c r="A13213" s="1"/>
    </row>
    <row r="13214" spans="1:1" x14ac:dyDescent="0.15">
      <c r="A13214" s="1"/>
    </row>
    <row r="13215" spans="1:1" x14ac:dyDescent="0.15">
      <c r="A13215" s="1"/>
    </row>
    <row r="13216" spans="1:1" x14ac:dyDescent="0.15">
      <c r="A13216" s="1"/>
    </row>
    <row r="13217" spans="1:1" x14ac:dyDescent="0.15">
      <c r="A13217" s="1"/>
    </row>
    <row r="13218" spans="1:1" x14ac:dyDescent="0.15">
      <c r="A13218" s="1"/>
    </row>
    <row r="13219" spans="1:1" x14ac:dyDescent="0.15">
      <c r="A13219" s="1"/>
    </row>
    <row r="13220" spans="1:1" x14ac:dyDescent="0.15">
      <c r="A13220" s="1"/>
    </row>
    <row r="13221" spans="1:1" x14ac:dyDescent="0.15">
      <c r="A13221" s="1"/>
    </row>
    <row r="13222" spans="1:1" x14ac:dyDescent="0.15">
      <c r="A13222" s="1"/>
    </row>
    <row r="13223" spans="1:1" x14ac:dyDescent="0.15">
      <c r="A13223" s="1"/>
    </row>
    <row r="13224" spans="1:1" x14ac:dyDescent="0.15">
      <c r="A13224" s="1"/>
    </row>
    <row r="13225" spans="1:1" x14ac:dyDescent="0.15">
      <c r="A13225" s="1"/>
    </row>
    <row r="13226" spans="1:1" x14ac:dyDescent="0.15">
      <c r="A13226" s="1"/>
    </row>
    <row r="13227" spans="1:1" x14ac:dyDescent="0.15">
      <c r="A13227" s="1"/>
    </row>
    <row r="13228" spans="1:1" x14ac:dyDescent="0.15">
      <c r="A13228" s="1"/>
    </row>
    <row r="13229" spans="1:1" x14ac:dyDescent="0.15">
      <c r="A13229" s="1"/>
    </row>
    <row r="13230" spans="1:1" x14ac:dyDescent="0.15">
      <c r="A13230" s="1"/>
    </row>
    <row r="13231" spans="1:1" x14ac:dyDescent="0.15">
      <c r="A13231" s="1"/>
    </row>
    <row r="13232" spans="1:1" x14ac:dyDescent="0.15">
      <c r="A13232" s="1"/>
    </row>
    <row r="13233" spans="1:1" x14ac:dyDescent="0.15">
      <c r="A13233" s="1"/>
    </row>
    <row r="13234" spans="1:1" x14ac:dyDescent="0.15">
      <c r="A13234" s="1"/>
    </row>
    <row r="13235" spans="1:1" x14ac:dyDescent="0.15">
      <c r="A13235" s="1"/>
    </row>
    <row r="13236" spans="1:1" x14ac:dyDescent="0.15">
      <c r="A13236" s="1"/>
    </row>
    <row r="13237" spans="1:1" x14ac:dyDescent="0.15">
      <c r="A13237" s="1"/>
    </row>
    <row r="13238" spans="1:1" x14ac:dyDescent="0.15">
      <c r="A13238" s="1"/>
    </row>
    <row r="13239" spans="1:1" x14ac:dyDescent="0.15">
      <c r="A13239" s="1"/>
    </row>
    <row r="13240" spans="1:1" x14ac:dyDescent="0.15">
      <c r="A13240" s="1"/>
    </row>
    <row r="13241" spans="1:1" x14ac:dyDescent="0.15">
      <c r="A13241" s="1"/>
    </row>
    <row r="13242" spans="1:1" x14ac:dyDescent="0.15">
      <c r="A13242" s="1"/>
    </row>
    <row r="13243" spans="1:1" x14ac:dyDescent="0.15">
      <c r="A13243" s="1"/>
    </row>
    <row r="13244" spans="1:1" x14ac:dyDescent="0.15">
      <c r="A13244" s="1"/>
    </row>
    <row r="13245" spans="1:1" x14ac:dyDescent="0.15">
      <c r="A13245" s="1"/>
    </row>
    <row r="13246" spans="1:1" x14ac:dyDescent="0.15">
      <c r="A13246" s="1"/>
    </row>
    <row r="13247" spans="1:1" x14ac:dyDescent="0.15">
      <c r="A13247" s="1"/>
    </row>
    <row r="13248" spans="1:1" x14ac:dyDescent="0.15">
      <c r="A13248" s="1"/>
    </row>
    <row r="13249" spans="1:1" x14ac:dyDescent="0.15">
      <c r="A13249" s="1"/>
    </row>
    <row r="13250" spans="1:1" x14ac:dyDescent="0.15">
      <c r="A13250" s="1"/>
    </row>
    <row r="13251" spans="1:1" x14ac:dyDescent="0.15">
      <c r="A13251" s="1"/>
    </row>
    <row r="13252" spans="1:1" x14ac:dyDescent="0.15">
      <c r="A13252" s="1"/>
    </row>
    <row r="13253" spans="1:1" x14ac:dyDescent="0.15">
      <c r="A13253" s="1"/>
    </row>
    <row r="13254" spans="1:1" x14ac:dyDescent="0.15">
      <c r="A13254" s="1"/>
    </row>
    <row r="13255" spans="1:1" x14ac:dyDescent="0.15">
      <c r="A13255" s="1"/>
    </row>
    <row r="13256" spans="1:1" x14ac:dyDescent="0.15">
      <c r="A13256" s="1"/>
    </row>
    <row r="13257" spans="1:1" x14ac:dyDescent="0.15">
      <c r="A13257" s="1"/>
    </row>
    <row r="13258" spans="1:1" x14ac:dyDescent="0.15">
      <c r="A13258" s="1"/>
    </row>
    <row r="13259" spans="1:1" x14ac:dyDescent="0.15">
      <c r="A13259" s="1"/>
    </row>
    <row r="13260" spans="1:1" x14ac:dyDescent="0.15">
      <c r="A13260" s="1"/>
    </row>
    <row r="13261" spans="1:1" x14ac:dyDescent="0.15">
      <c r="A13261" s="1"/>
    </row>
    <row r="13262" spans="1:1" x14ac:dyDescent="0.15">
      <c r="A13262" s="1"/>
    </row>
    <row r="13263" spans="1:1" x14ac:dyDescent="0.15">
      <c r="A13263" s="1"/>
    </row>
    <row r="13264" spans="1:1" x14ac:dyDescent="0.15">
      <c r="A13264" s="1"/>
    </row>
    <row r="13265" spans="1:1" x14ac:dyDescent="0.15">
      <c r="A13265" s="1"/>
    </row>
    <row r="13266" spans="1:1" x14ac:dyDescent="0.15">
      <c r="A13266" s="1"/>
    </row>
    <row r="13267" spans="1:1" x14ac:dyDescent="0.15">
      <c r="A13267" s="1"/>
    </row>
    <row r="13268" spans="1:1" x14ac:dyDescent="0.15">
      <c r="A13268" s="1"/>
    </row>
    <row r="13269" spans="1:1" x14ac:dyDescent="0.15">
      <c r="A13269" s="1"/>
    </row>
    <row r="13270" spans="1:1" x14ac:dyDescent="0.15">
      <c r="A13270" s="1"/>
    </row>
    <row r="13271" spans="1:1" x14ac:dyDescent="0.15">
      <c r="A13271" s="1"/>
    </row>
    <row r="13272" spans="1:1" x14ac:dyDescent="0.15">
      <c r="A13272" s="1"/>
    </row>
    <row r="13273" spans="1:1" x14ac:dyDescent="0.15">
      <c r="A13273" s="1"/>
    </row>
    <row r="13274" spans="1:1" x14ac:dyDescent="0.15">
      <c r="A13274" s="1"/>
    </row>
    <row r="13275" spans="1:1" x14ac:dyDescent="0.15">
      <c r="A13275" s="1"/>
    </row>
    <row r="13276" spans="1:1" x14ac:dyDescent="0.15">
      <c r="A13276" s="1"/>
    </row>
    <row r="13277" spans="1:1" x14ac:dyDescent="0.15">
      <c r="A13277" s="1"/>
    </row>
    <row r="13278" spans="1:1" x14ac:dyDescent="0.15">
      <c r="A13278" s="1"/>
    </row>
    <row r="13279" spans="1:1" x14ac:dyDescent="0.15">
      <c r="A13279" s="1"/>
    </row>
    <row r="13280" spans="1:1" x14ac:dyDescent="0.15">
      <c r="A13280" s="1"/>
    </row>
    <row r="13281" spans="1:1" x14ac:dyDescent="0.15">
      <c r="A13281" s="1"/>
    </row>
    <row r="13282" spans="1:1" x14ac:dyDescent="0.15">
      <c r="A13282" s="1"/>
    </row>
    <row r="13283" spans="1:1" x14ac:dyDescent="0.15">
      <c r="A13283" s="1"/>
    </row>
    <row r="13284" spans="1:1" x14ac:dyDescent="0.15">
      <c r="A13284" s="1"/>
    </row>
    <row r="13285" spans="1:1" x14ac:dyDescent="0.15">
      <c r="A13285" s="1"/>
    </row>
    <row r="13286" spans="1:1" x14ac:dyDescent="0.15">
      <c r="A13286" s="1"/>
    </row>
    <row r="13287" spans="1:1" x14ac:dyDescent="0.15">
      <c r="A13287" s="1"/>
    </row>
    <row r="13288" spans="1:1" x14ac:dyDescent="0.15">
      <c r="A13288" s="1"/>
    </row>
    <row r="13289" spans="1:1" x14ac:dyDescent="0.15">
      <c r="A13289" s="1"/>
    </row>
    <row r="13290" spans="1:1" x14ac:dyDescent="0.15">
      <c r="A13290" s="1"/>
    </row>
    <row r="13291" spans="1:1" x14ac:dyDescent="0.15">
      <c r="A13291" s="1"/>
    </row>
    <row r="13292" spans="1:1" x14ac:dyDescent="0.15">
      <c r="A13292" s="1"/>
    </row>
    <row r="13293" spans="1:1" x14ac:dyDescent="0.15">
      <c r="A13293" s="1"/>
    </row>
    <row r="13294" spans="1:1" x14ac:dyDescent="0.15">
      <c r="A13294" s="1"/>
    </row>
    <row r="13295" spans="1:1" x14ac:dyDescent="0.15">
      <c r="A13295" s="1"/>
    </row>
    <row r="13296" spans="1:1" x14ac:dyDescent="0.15">
      <c r="A13296" s="1"/>
    </row>
    <row r="13297" spans="1:1" x14ac:dyDescent="0.15">
      <c r="A13297" s="1"/>
    </row>
    <row r="13298" spans="1:1" x14ac:dyDescent="0.15">
      <c r="A13298" s="1"/>
    </row>
    <row r="13299" spans="1:1" x14ac:dyDescent="0.15">
      <c r="A13299" s="1"/>
    </row>
    <row r="13300" spans="1:1" x14ac:dyDescent="0.15">
      <c r="A13300" s="1"/>
    </row>
    <row r="13301" spans="1:1" x14ac:dyDescent="0.15">
      <c r="A13301" s="1"/>
    </row>
    <row r="13302" spans="1:1" x14ac:dyDescent="0.15">
      <c r="A13302" s="1"/>
    </row>
    <row r="13303" spans="1:1" x14ac:dyDescent="0.15">
      <c r="A13303" s="1"/>
    </row>
    <row r="13304" spans="1:1" x14ac:dyDescent="0.15">
      <c r="A13304" s="1"/>
    </row>
    <row r="13305" spans="1:1" x14ac:dyDescent="0.15">
      <c r="A13305" s="1"/>
    </row>
    <row r="13306" spans="1:1" x14ac:dyDescent="0.15">
      <c r="A13306" s="1"/>
    </row>
    <row r="13307" spans="1:1" x14ac:dyDescent="0.15">
      <c r="A13307" s="1"/>
    </row>
    <row r="13308" spans="1:1" x14ac:dyDescent="0.15">
      <c r="A13308" s="1"/>
    </row>
    <row r="13309" spans="1:1" x14ac:dyDescent="0.15">
      <c r="A13309" s="1"/>
    </row>
    <row r="13310" spans="1:1" x14ac:dyDescent="0.15">
      <c r="A13310" s="1"/>
    </row>
    <row r="13311" spans="1:1" x14ac:dyDescent="0.15">
      <c r="A13311" s="1"/>
    </row>
    <row r="13312" spans="1:1" x14ac:dyDescent="0.15">
      <c r="A13312" s="1"/>
    </row>
    <row r="13313" spans="1:1" x14ac:dyDescent="0.15">
      <c r="A13313" s="1"/>
    </row>
    <row r="13314" spans="1:1" x14ac:dyDescent="0.15">
      <c r="A13314" s="1"/>
    </row>
    <row r="13315" spans="1:1" x14ac:dyDescent="0.15">
      <c r="A13315" s="1"/>
    </row>
    <row r="13316" spans="1:1" x14ac:dyDescent="0.15">
      <c r="A13316" s="1"/>
    </row>
    <row r="13317" spans="1:1" x14ac:dyDescent="0.15">
      <c r="A13317" s="1"/>
    </row>
    <row r="13318" spans="1:1" x14ac:dyDescent="0.15">
      <c r="A13318" s="1"/>
    </row>
    <row r="13319" spans="1:1" x14ac:dyDescent="0.15">
      <c r="A13319" s="1"/>
    </row>
    <row r="13320" spans="1:1" x14ac:dyDescent="0.15">
      <c r="A13320" s="1"/>
    </row>
    <row r="13321" spans="1:1" x14ac:dyDescent="0.15">
      <c r="A13321" s="1"/>
    </row>
    <row r="13322" spans="1:1" x14ac:dyDescent="0.15">
      <c r="A13322" s="1"/>
    </row>
    <row r="13323" spans="1:1" x14ac:dyDescent="0.15">
      <c r="A13323" s="1"/>
    </row>
    <row r="13324" spans="1:1" x14ac:dyDescent="0.15">
      <c r="A13324" s="1"/>
    </row>
    <row r="13325" spans="1:1" x14ac:dyDescent="0.15">
      <c r="A13325" s="1"/>
    </row>
    <row r="13326" spans="1:1" x14ac:dyDescent="0.15">
      <c r="A13326" s="1"/>
    </row>
    <row r="13327" spans="1:1" x14ac:dyDescent="0.15">
      <c r="A13327" s="1"/>
    </row>
    <row r="13328" spans="1:1" x14ac:dyDescent="0.15">
      <c r="A13328" s="1"/>
    </row>
    <row r="13329" spans="1:1" x14ac:dyDescent="0.15">
      <c r="A13329" s="1"/>
    </row>
    <row r="13330" spans="1:1" x14ac:dyDescent="0.15">
      <c r="A13330" s="1"/>
    </row>
    <row r="13331" spans="1:1" x14ac:dyDescent="0.15">
      <c r="A13331" s="1"/>
    </row>
    <row r="13332" spans="1:1" x14ac:dyDescent="0.15">
      <c r="A13332" s="1"/>
    </row>
    <row r="13333" spans="1:1" x14ac:dyDescent="0.15">
      <c r="A13333" s="1"/>
    </row>
    <row r="13334" spans="1:1" x14ac:dyDescent="0.15">
      <c r="A13334" s="1"/>
    </row>
    <row r="13335" spans="1:1" x14ac:dyDescent="0.15">
      <c r="A13335" s="1"/>
    </row>
    <row r="13336" spans="1:1" x14ac:dyDescent="0.15">
      <c r="A13336" s="1"/>
    </row>
    <row r="13337" spans="1:1" x14ac:dyDescent="0.15">
      <c r="A13337" s="1"/>
    </row>
    <row r="13338" spans="1:1" x14ac:dyDescent="0.15">
      <c r="A13338" s="1"/>
    </row>
    <row r="13339" spans="1:1" x14ac:dyDescent="0.15">
      <c r="A13339" s="1"/>
    </row>
    <row r="13340" spans="1:1" x14ac:dyDescent="0.15">
      <c r="A13340" s="1"/>
    </row>
    <row r="13341" spans="1:1" x14ac:dyDescent="0.15">
      <c r="A13341" s="1"/>
    </row>
    <row r="13342" spans="1:1" x14ac:dyDescent="0.15">
      <c r="A13342" s="1"/>
    </row>
    <row r="13343" spans="1:1" x14ac:dyDescent="0.15">
      <c r="A13343" s="1"/>
    </row>
    <row r="13344" spans="1:1" x14ac:dyDescent="0.15">
      <c r="A13344" s="1"/>
    </row>
    <row r="13345" spans="1:1" x14ac:dyDescent="0.15">
      <c r="A13345" s="1"/>
    </row>
    <row r="13346" spans="1:1" x14ac:dyDescent="0.15">
      <c r="A13346" s="1"/>
    </row>
    <row r="13347" spans="1:1" x14ac:dyDescent="0.15">
      <c r="A13347" s="1"/>
    </row>
    <row r="13348" spans="1:1" x14ac:dyDescent="0.15">
      <c r="A13348" s="1"/>
    </row>
    <row r="13349" spans="1:1" x14ac:dyDescent="0.15">
      <c r="A13349" s="1"/>
    </row>
    <row r="13350" spans="1:1" x14ac:dyDescent="0.15">
      <c r="A13350" s="1"/>
    </row>
    <row r="13351" spans="1:1" x14ac:dyDescent="0.15">
      <c r="A13351" s="1"/>
    </row>
    <row r="13352" spans="1:1" x14ac:dyDescent="0.15">
      <c r="A13352" s="1"/>
    </row>
    <row r="13353" spans="1:1" x14ac:dyDescent="0.15">
      <c r="A13353" s="1"/>
    </row>
    <row r="13354" spans="1:1" x14ac:dyDescent="0.15">
      <c r="A13354" s="1"/>
    </row>
    <row r="13355" spans="1:1" x14ac:dyDescent="0.15">
      <c r="A13355" s="1"/>
    </row>
    <row r="13356" spans="1:1" x14ac:dyDescent="0.15">
      <c r="A13356" s="1"/>
    </row>
    <row r="13357" spans="1:1" x14ac:dyDescent="0.15">
      <c r="A13357" s="1"/>
    </row>
    <row r="13358" spans="1:1" x14ac:dyDescent="0.15">
      <c r="A13358" s="1"/>
    </row>
    <row r="13359" spans="1:1" x14ac:dyDescent="0.15">
      <c r="A13359" s="1"/>
    </row>
    <row r="13360" spans="1:1" x14ac:dyDescent="0.15">
      <c r="A13360" s="1"/>
    </row>
    <row r="13361" spans="1:1" x14ac:dyDescent="0.15">
      <c r="A13361" s="1"/>
    </row>
    <row r="13362" spans="1:1" x14ac:dyDescent="0.15">
      <c r="A13362" s="1"/>
    </row>
    <row r="13363" spans="1:1" x14ac:dyDescent="0.15">
      <c r="A13363" s="1"/>
    </row>
    <row r="13364" spans="1:1" x14ac:dyDescent="0.15">
      <c r="A13364" s="1"/>
    </row>
    <row r="13365" spans="1:1" x14ac:dyDescent="0.15">
      <c r="A13365" s="1"/>
    </row>
    <row r="13366" spans="1:1" x14ac:dyDescent="0.15">
      <c r="A13366" s="1"/>
    </row>
    <row r="13367" spans="1:1" x14ac:dyDescent="0.15">
      <c r="A13367" s="1"/>
    </row>
    <row r="13368" spans="1:1" x14ac:dyDescent="0.15">
      <c r="A13368" s="1"/>
    </row>
    <row r="13369" spans="1:1" x14ac:dyDescent="0.15">
      <c r="A13369" s="1"/>
    </row>
    <row r="13370" spans="1:1" x14ac:dyDescent="0.15">
      <c r="A13370" s="1"/>
    </row>
    <row r="13371" spans="1:1" x14ac:dyDescent="0.15">
      <c r="A13371" s="1"/>
    </row>
    <row r="13372" spans="1:1" x14ac:dyDescent="0.15">
      <c r="A13372" s="1"/>
    </row>
    <row r="13373" spans="1:1" x14ac:dyDescent="0.15">
      <c r="A13373" s="1"/>
    </row>
    <row r="13374" spans="1:1" x14ac:dyDescent="0.15">
      <c r="A13374" s="1"/>
    </row>
    <row r="13375" spans="1:1" x14ac:dyDescent="0.15">
      <c r="A13375" s="1"/>
    </row>
    <row r="13376" spans="1:1" x14ac:dyDescent="0.15">
      <c r="A13376" s="1"/>
    </row>
    <row r="13377" spans="1:1" x14ac:dyDescent="0.15">
      <c r="A13377" s="1"/>
    </row>
    <row r="13378" spans="1:1" x14ac:dyDescent="0.15">
      <c r="A13378" s="1"/>
    </row>
    <row r="13379" spans="1:1" x14ac:dyDescent="0.15">
      <c r="A13379" s="1"/>
    </row>
    <row r="13380" spans="1:1" x14ac:dyDescent="0.15">
      <c r="A13380" s="1"/>
    </row>
    <row r="13381" spans="1:1" x14ac:dyDescent="0.15">
      <c r="A13381" s="1"/>
    </row>
    <row r="13382" spans="1:1" x14ac:dyDescent="0.15">
      <c r="A13382" s="1"/>
    </row>
    <row r="13383" spans="1:1" x14ac:dyDescent="0.15">
      <c r="A13383" s="1"/>
    </row>
    <row r="13384" spans="1:1" x14ac:dyDescent="0.15">
      <c r="A13384" s="1"/>
    </row>
    <row r="13385" spans="1:1" x14ac:dyDescent="0.15">
      <c r="A13385" s="1"/>
    </row>
    <row r="13386" spans="1:1" x14ac:dyDescent="0.15">
      <c r="A13386" s="1"/>
    </row>
    <row r="13387" spans="1:1" x14ac:dyDescent="0.15">
      <c r="A13387" s="1"/>
    </row>
    <row r="13388" spans="1:1" x14ac:dyDescent="0.15">
      <c r="A13388" s="1"/>
    </row>
    <row r="13389" spans="1:1" x14ac:dyDescent="0.15">
      <c r="A13389" s="1"/>
    </row>
    <row r="13390" spans="1:1" x14ac:dyDescent="0.15">
      <c r="A13390" s="1"/>
    </row>
    <row r="13391" spans="1:1" x14ac:dyDescent="0.15">
      <c r="A13391" s="1"/>
    </row>
    <row r="13392" spans="1:1" x14ac:dyDescent="0.15">
      <c r="A13392" s="1"/>
    </row>
    <row r="13393" spans="1:1" x14ac:dyDescent="0.15">
      <c r="A13393" s="1"/>
    </row>
    <row r="13394" spans="1:1" x14ac:dyDescent="0.15">
      <c r="A13394" s="1"/>
    </row>
    <row r="13395" spans="1:1" x14ac:dyDescent="0.15">
      <c r="A13395" s="1"/>
    </row>
    <row r="13396" spans="1:1" x14ac:dyDescent="0.15">
      <c r="A13396" s="1"/>
    </row>
    <row r="13397" spans="1:1" x14ac:dyDescent="0.15">
      <c r="A13397" s="1"/>
    </row>
    <row r="13398" spans="1:1" x14ac:dyDescent="0.15">
      <c r="A13398" s="1"/>
    </row>
    <row r="13399" spans="1:1" x14ac:dyDescent="0.15">
      <c r="A13399" s="1"/>
    </row>
    <row r="13400" spans="1:1" x14ac:dyDescent="0.15">
      <c r="A13400" s="1"/>
    </row>
    <row r="13401" spans="1:1" x14ac:dyDescent="0.15">
      <c r="A13401" s="1"/>
    </row>
    <row r="13402" spans="1:1" x14ac:dyDescent="0.15">
      <c r="A13402" s="1"/>
    </row>
    <row r="13403" spans="1:1" x14ac:dyDescent="0.15">
      <c r="A13403" s="1"/>
    </row>
    <row r="13404" spans="1:1" x14ac:dyDescent="0.15">
      <c r="A13404" s="1"/>
    </row>
    <row r="13405" spans="1:1" x14ac:dyDescent="0.15">
      <c r="A13405" s="1"/>
    </row>
    <row r="13406" spans="1:1" x14ac:dyDescent="0.15">
      <c r="A13406" s="1"/>
    </row>
    <row r="13407" spans="1:1" x14ac:dyDescent="0.15">
      <c r="A13407" s="1"/>
    </row>
    <row r="13408" spans="1:1" x14ac:dyDescent="0.15">
      <c r="A13408" s="1"/>
    </row>
    <row r="13409" spans="1:1" x14ac:dyDescent="0.15">
      <c r="A13409" s="1"/>
    </row>
    <row r="13410" spans="1:1" x14ac:dyDescent="0.15">
      <c r="A13410" s="1"/>
    </row>
    <row r="13411" spans="1:1" x14ac:dyDescent="0.15">
      <c r="A13411" s="1"/>
    </row>
    <row r="13412" spans="1:1" x14ac:dyDescent="0.15">
      <c r="A13412" s="1"/>
    </row>
    <row r="13413" spans="1:1" x14ac:dyDescent="0.15">
      <c r="A13413" s="1"/>
    </row>
    <row r="13414" spans="1:1" x14ac:dyDescent="0.15">
      <c r="A13414" s="1"/>
    </row>
    <row r="13415" spans="1:1" x14ac:dyDescent="0.15">
      <c r="A13415" s="1"/>
    </row>
    <row r="13416" spans="1:1" x14ac:dyDescent="0.15">
      <c r="A13416" s="1"/>
    </row>
    <row r="13417" spans="1:1" x14ac:dyDescent="0.15">
      <c r="A13417" s="1"/>
    </row>
    <row r="13418" spans="1:1" x14ac:dyDescent="0.15">
      <c r="A13418" s="1"/>
    </row>
    <row r="13419" spans="1:1" x14ac:dyDescent="0.15">
      <c r="A13419" s="1"/>
    </row>
    <row r="13420" spans="1:1" x14ac:dyDescent="0.15">
      <c r="A13420" s="1"/>
    </row>
    <row r="13421" spans="1:1" x14ac:dyDescent="0.15">
      <c r="A13421" s="1"/>
    </row>
    <row r="13422" spans="1:1" x14ac:dyDescent="0.15">
      <c r="A13422" s="1"/>
    </row>
    <row r="13423" spans="1:1" x14ac:dyDescent="0.15">
      <c r="A13423" s="1"/>
    </row>
    <row r="13424" spans="1:1" x14ac:dyDescent="0.15">
      <c r="A13424" s="1"/>
    </row>
    <row r="13425" spans="1:1" x14ac:dyDescent="0.15">
      <c r="A13425" s="1"/>
    </row>
    <row r="13426" spans="1:1" x14ac:dyDescent="0.15">
      <c r="A13426" s="1"/>
    </row>
    <row r="13427" spans="1:1" x14ac:dyDescent="0.15">
      <c r="A13427" s="1"/>
    </row>
    <row r="13428" spans="1:1" x14ac:dyDescent="0.15">
      <c r="A13428" s="1"/>
    </row>
    <row r="13429" spans="1:1" x14ac:dyDescent="0.15">
      <c r="A13429" s="1"/>
    </row>
    <row r="13430" spans="1:1" x14ac:dyDescent="0.15">
      <c r="A13430" s="1"/>
    </row>
    <row r="13431" spans="1:1" x14ac:dyDescent="0.15">
      <c r="A13431" s="1"/>
    </row>
    <row r="13432" spans="1:1" x14ac:dyDescent="0.15">
      <c r="A13432" s="1"/>
    </row>
    <row r="13433" spans="1:1" x14ac:dyDescent="0.15">
      <c r="A13433" s="1"/>
    </row>
    <row r="13434" spans="1:1" x14ac:dyDescent="0.15">
      <c r="A13434" s="1"/>
    </row>
    <row r="13435" spans="1:1" x14ac:dyDescent="0.15">
      <c r="A13435" s="1"/>
    </row>
    <row r="13436" spans="1:1" x14ac:dyDescent="0.15">
      <c r="A13436" s="1"/>
    </row>
    <row r="13437" spans="1:1" x14ac:dyDescent="0.15">
      <c r="A13437" s="1"/>
    </row>
    <row r="13438" spans="1:1" x14ac:dyDescent="0.15">
      <c r="A13438" s="1"/>
    </row>
    <row r="13439" spans="1:1" x14ac:dyDescent="0.15">
      <c r="A13439" s="1"/>
    </row>
    <row r="13440" spans="1:1" x14ac:dyDescent="0.15">
      <c r="A13440" s="1"/>
    </row>
    <row r="13441" spans="1:1" x14ac:dyDescent="0.15">
      <c r="A13441" s="1"/>
    </row>
    <row r="13442" spans="1:1" x14ac:dyDescent="0.15">
      <c r="A13442" s="1"/>
    </row>
    <row r="13443" spans="1:1" x14ac:dyDescent="0.15">
      <c r="A13443" s="1"/>
    </row>
    <row r="13444" spans="1:1" x14ac:dyDescent="0.15">
      <c r="A13444" s="1"/>
    </row>
    <row r="13445" spans="1:1" x14ac:dyDescent="0.15">
      <c r="A13445" s="1"/>
    </row>
    <row r="13446" spans="1:1" x14ac:dyDescent="0.15">
      <c r="A13446" s="1"/>
    </row>
    <row r="13447" spans="1:1" x14ac:dyDescent="0.15">
      <c r="A13447" s="1"/>
    </row>
    <row r="13448" spans="1:1" x14ac:dyDescent="0.15">
      <c r="A13448" s="1"/>
    </row>
    <row r="13449" spans="1:1" x14ac:dyDescent="0.15">
      <c r="A13449" s="1"/>
    </row>
    <row r="13450" spans="1:1" x14ac:dyDescent="0.15">
      <c r="A13450" s="1"/>
    </row>
    <row r="13451" spans="1:1" x14ac:dyDescent="0.15">
      <c r="A13451" s="1"/>
    </row>
    <row r="13452" spans="1:1" x14ac:dyDescent="0.15">
      <c r="A13452" s="1"/>
    </row>
    <row r="13453" spans="1:1" x14ac:dyDescent="0.15">
      <c r="A13453" s="1"/>
    </row>
    <row r="13454" spans="1:1" x14ac:dyDescent="0.15">
      <c r="A13454" s="1"/>
    </row>
    <row r="13455" spans="1:1" x14ac:dyDescent="0.15">
      <c r="A13455" s="1"/>
    </row>
    <row r="13456" spans="1:1" x14ac:dyDescent="0.15">
      <c r="A13456" s="1"/>
    </row>
    <row r="13457" spans="1:1" x14ac:dyDescent="0.15">
      <c r="A13457" s="1"/>
    </row>
    <row r="13458" spans="1:1" x14ac:dyDescent="0.15">
      <c r="A13458" s="1"/>
    </row>
    <row r="13459" spans="1:1" x14ac:dyDescent="0.15">
      <c r="A13459" s="1"/>
    </row>
    <row r="13460" spans="1:1" x14ac:dyDescent="0.15">
      <c r="A13460" s="1"/>
    </row>
    <row r="13461" spans="1:1" x14ac:dyDescent="0.15">
      <c r="A13461" s="1"/>
    </row>
    <row r="13462" spans="1:1" x14ac:dyDescent="0.15">
      <c r="A13462" s="1"/>
    </row>
    <row r="13463" spans="1:1" x14ac:dyDescent="0.15">
      <c r="A13463" s="1"/>
    </row>
    <row r="13464" spans="1:1" x14ac:dyDescent="0.15">
      <c r="A13464" s="1"/>
    </row>
    <row r="13465" spans="1:1" x14ac:dyDescent="0.15">
      <c r="A13465" s="1"/>
    </row>
    <row r="13466" spans="1:1" x14ac:dyDescent="0.15">
      <c r="A13466" s="1"/>
    </row>
    <row r="13467" spans="1:1" x14ac:dyDescent="0.15">
      <c r="A13467" s="1"/>
    </row>
    <row r="13468" spans="1:1" x14ac:dyDescent="0.15">
      <c r="A13468" s="1"/>
    </row>
    <row r="13469" spans="1:1" x14ac:dyDescent="0.15">
      <c r="A13469" s="1"/>
    </row>
    <row r="13470" spans="1:1" x14ac:dyDescent="0.15">
      <c r="A13470" s="1"/>
    </row>
    <row r="13471" spans="1:1" x14ac:dyDescent="0.15">
      <c r="A13471" s="1"/>
    </row>
    <row r="13472" spans="1:1" x14ac:dyDescent="0.15">
      <c r="A13472" s="1"/>
    </row>
    <row r="13473" spans="1:1" x14ac:dyDescent="0.15">
      <c r="A13473" s="1"/>
    </row>
    <row r="13474" spans="1:1" x14ac:dyDescent="0.15">
      <c r="A13474" s="1"/>
    </row>
    <row r="13475" spans="1:1" x14ac:dyDescent="0.15">
      <c r="A13475" s="1"/>
    </row>
    <row r="13476" spans="1:1" x14ac:dyDescent="0.15">
      <c r="A13476" s="1"/>
    </row>
    <row r="13477" spans="1:1" x14ac:dyDescent="0.15">
      <c r="A13477" s="1"/>
    </row>
    <row r="13478" spans="1:1" x14ac:dyDescent="0.15">
      <c r="A13478" s="1"/>
    </row>
    <row r="13479" spans="1:1" x14ac:dyDescent="0.15">
      <c r="A13479" s="1"/>
    </row>
    <row r="13480" spans="1:1" x14ac:dyDescent="0.15">
      <c r="A13480" s="1"/>
    </row>
    <row r="13481" spans="1:1" x14ac:dyDescent="0.15">
      <c r="A13481" s="1"/>
    </row>
    <row r="13482" spans="1:1" x14ac:dyDescent="0.15">
      <c r="A13482" s="1"/>
    </row>
    <row r="13483" spans="1:1" x14ac:dyDescent="0.15">
      <c r="A13483" s="1"/>
    </row>
    <row r="13484" spans="1:1" x14ac:dyDescent="0.15">
      <c r="A13484" s="1"/>
    </row>
    <row r="13485" spans="1:1" x14ac:dyDescent="0.15">
      <c r="A13485" s="1"/>
    </row>
    <row r="13486" spans="1:1" x14ac:dyDescent="0.15">
      <c r="A13486" s="1"/>
    </row>
    <row r="13487" spans="1:1" x14ac:dyDescent="0.15">
      <c r="A13487" s="1"/>
    </row>
    <row r="13488" spans="1:1" x14ac:dyDescent="0.15">
      <c r="A13488" s="1"/>
    </row>
    <row r="13489" spans="1:1" x14ac:dyDescent="0.15">
      <c r="A13489" s="1"/>
    </row>
    <row r="13490" spans="1:1" x14ac:dyDescent="0.15">
      <c r="A13490" s="1"/>
    </row>
    <row r="13491" spans="1:1" x14ac:dyDescent="0.15">
      <c r="A13491" s="1"/>
    </row>
    <row r="13492" spans="1:1" x14ac:dyDescent="0.15">
      <c r="A13492" s="1"/>
    </row>
    <row r="13493" spans="1:1" x14ac:dyDescent="0.15">
      <c r="A13493" s="1"/>
    </row>
    <row r="13494" spans="1:1" x14ac:dyDescent="0.15">
      <c r="A13494" s="1"/>
    </row>
    <row r="13495" spans="1:1" x14ac:dyDescent="0.15">
      <c r="A13495" s="1"/>
    </row>
    <row r="13496" spans="1:1" x14ac:dyDescent="0.15">
      <c r="A13496" s="1"/>
    </row>
    <row r="13497" spans="1:1" x14ac:dyDescent="0.15">
      <c r="A13497" s="1"/>
    </row>
    <row r="13498" spans="1:1" x14ac:dyDescent="0.15">
      <c r="A13498" s="1"/>
    </row>
    <row r="13499" spans="1:1" x14ac:dyDescent="0.15">
      <c r="A13499" s="1"/>
    </row>
    <row r="13500" spans="1:1" x14ac:dyDescent="0.15">
      <c r="A13500" s="1"/>
    </row>
    <row r="13501" spans="1:1" x14ac:dyDescent="0.15">
      <c r="A13501" s="1"/>
    </row>
    <row r="13502" spans="1:1" x14ac:dyDescent="0.15">
      <c r="A13502" s="1"/>
    </row>
    <row r="13503" spans="1:1" x14ac:dyDescent="0.15">
      <c r="A13503" s="1"/>
    </row>
    <row r="13504" spans="1:1" x14ac:dyDescent="0.15">
      <c r="A13504" s="1"/>
    </row>
    <row r="13505" spans="1:1" x14ac:dyDescent="0.15">
      <c r="A13505" s="1"/>
    </row>
    <row r="13506" spans="1:1" x14ac:dyDescent="0.15">
      <c r="A13506" s="1"/>
    </row>
    <row r="13507" spans="1:1" x14ac:dyDescent="0.15">
      <c r="A13507" s="1"/>
    </row>
    <row r="13508" spans="1:1" x14ac:dyDescent="0.15">
      <c r="A13508" s="1"/>
    </row>
    <row r="13509" spans="1:1" x14ac:dyDescent="0.15">
      <c r="A13509" s="1"/>
    </row>
    <row r="13510" spans="1:1" x14ac:dyDescent="0.15">
      <c r="A13510" s="1"/>
    </row>
    <row r="13511" spans="1:1" x14ac:dyDescent="0.15">
      <c r="A13511" s="1"/>
    </row>
    <row r="13512" spans="1:1" x14ac:dyDescent="0.15">
      <c r="A13512" s="1"/>
    </row>
    <row r="13513" spans="1:1" x14ac:dyDescent="0.15">
      <c r="A13513" s="1"/>
    </row>
    <row r="13514" spans="1:1" x14ac:dyDescent="0.15">
      <c r="A13514" s="1"/>
    </row>
    <row r="13515" spans="1:1" x14ac:dyDescent="0.15">
      <c r="A13515" s="1"/>
    </row>
    <row r="13516" spans="1:1" x14ac:dyDescent="0.15">
      <c r="A13516" s="1"/>
    </row>
    <row r="13517" spans="1:1" x14ac:dyDescent="0.15">
      <c r="A13517" s="1"/>
    </row>
    <row r="13518" spans="1:1" x14ac:dyDescent="0.15">
      <c r="A13518" s="1"/>
    </row>
    <row r="13519" spans="1:1" x14ac:dyDescent="0.15">
      <c r="A13519" s="1"/>
    </row>
    <row r="13520" spans="1:1" x14ac:dyDescent="0.15">
      <c r="A13520" s="1"/>
    </row>
    <row r="13521" spans="1:1" x14ac:dyDescent="0.15">
      <c r="A13521" s="1"/>
    </row>
    <row r="13522" spans="1:1" x14ac:dyDescent="0.15">
      <c r="A13522" s="1"/>
    </row>
    <row r="13523" spans="1:1" x14ac:dyDescent="0.15">
      <c r="A13523" s="1"/>
    </row>
    <row r="13524" spans="1:1" x14ac:dyDescent="0.15">
      <c r="A13524" s="1"/>
    </row>
    <row r="13525" spans="1:1" x14ac:dyDescent="0.15">
      <c r="A13525" s="1"/>
    </row>
    <row r="13526" spans="1:1" x14ac:dyDescent="0.15">
      <c r="A13526" s="1"/>
    </row>
    <row r="13527" spans="1:1" x14ac:dyDescent="0.15">
      <c r="A13527" s="1"/>
    </row>
    <row r="13528" spans="1:1" x14ac:dyDescent="0.15">
      <c r="A13528" s="1"/>
    </row>
    <row r="13529" spans="1:1" x14ac:dyDescent="0.15">
      <c r="A13529" s="1"/>
    </row>
    <row r="13530" spans="1:1" x14ac:dyDescent="0.15">
      <c r="A13530" s="1"/>
    </row>
    <row r="13531" spans="1:1" x14ac:dyDescent="0.15">
      <c r="A13531" s="1"/>
    </row>
    <row r="13532" spans="1:1" x14ac:dyDescent="0.15">
      <c r="A13532" s="1"/>
    </row>
    <row r="13533" spans="1:1" x14ac:dyDescent="0.15">
      <c r="A13533" s="1"/>
    </row>
    <row r="13534" spans="1:1" x14ac:dyDescent="0.15">
      <c r="A13534" s="1"/>
    </row>
    <row r="13535" spans="1:1" x14ac:dyDescent="0.15">
      <c r="A13535" s="1"/>
    </row>
    <row r="13536" spans="1:1" x14ac:dyDescent="0.15">
      <c r="A13536" s="1"/>
    </row>
    <row r="13537" spans="1:1" x14ac:dyDescent="0.15">
      <c r="A13537" s="1"/>
    </row>
    <row r="13538" spans="1:1" x14ac:dyDescent="0.15">
      <c r="A13538" s="1"/>
    </row>
    <row r="13539" spans="1:1" x14ac:dyDescent="0.15">
      <c r="A13539" s="1"/>
    </row>
    <row r="13540" spans="1:1" x14ac:dyDescent="0.15">
      <c r="A13540" s="1"/>
    </row>
    <row r="13541" spans="1:1" x14ac:dyDescent="0.15">
      <c r="A13541" s="1"/>
    </row>
    <row r="13542" spans="1:1" x14ac:dyDescent="0.15">
      <c r="A13542" s="1"/>
    </row>
    <row r="13543" spans="1:1" x14ac:dyDescent="0.15">
      <c r="A13543" s="1"/>
    </row>
    <row r="13544" spans="1:1" x14ac:dyDescent="0.15">
      <c r="A13544" s="1"/>
    </row>
    <row r="13545" spans="1:1" x14ac:dyDescent="0.15">
      <c r="A13545" s="1"/>
    </row>
    <row r="13546" spans="1:1" x14ac:dyDescent="0.15">
      <c r="A13546" s="1"/>
    </row>
    <row r="13547" spans="1:1" x14ac:dyDescent="0.15">
      <c r="A13547" s="1"/>
    </row>
    <row r="13548" spans="1:1" x14ac:dyDescent="0.15">
      <c r="A13548" s="1"/>
    </row>
    <row r="13549" spans="1:1" x14ac:dyDescent="0.15">
      <c r="A13549" s="1"/>
    </row>
    <row r="13550" spans="1:1" x14ac:dyDescent="0.15">
      <c r="A13550" s="1"/>
    </row>
    <row r="13551" spans="1:1" x14ac:dyDescent="0.15">
      <c r="A13551" s="1"/>
    </row>
    <row r="13552" spans="1:1" x14ac:dyDescent="0.15">
      <c r="A13552" s="1"/>
    </row>
    <row r="13553" spans="1:1" x14ac:dyDescent="0.15">
      <c r="A13553" s="1"/>
    </row>
    <row r="13554" spans="1:1" x14ac:dyDescent="0.15">
      <c r="A13554" s="1"/>
    </row>
    <row r="13555" spans="1:1" x14ac:dyDescent="0.15">
      <c r="A13555" s="1"/>
    </row>
    <row r="13556" spans="1:1" x14ac:dyDescent="0.15">
      <c r="A13556" s="1"/>
    </row>
    <row r="13557" spans="1:1" x14ac:dyDescent="0.15">
      <c r="A13557" s="1"/>
    </row>
    <row r="13558" spans="1:1" x14ac:dyDescent="0.15">
      <c r="A13558" s="1"/>
    </row>
    <row r="13559" spans="1:1" x14ac:dyDescent="0.15">
      <c r="A13559" s="1"/>
    </row>
    <row r="13560" spans="1:1" x14ac:dyDescent="0.15">
      <c r="A13560" s="1"/>
    </row>
    <row r="13561" spans="1:1" x14ac:dyDescent="0.15">
      <c r="A13561" s="1"/>
    </row>
    <row r="13562" spans="1:1" x14ac:dyDescent="0.15">
      <c r="A13562" s="1"/>
    </row>
    <row r="13563" spans="1:1" x14ac:dyDescent="0.15">
      <c r="A13563" s="1"/>
    </row>
    <row r="13564" spans="1:1" x14ac:dyDescent="0.15">
      <c r="A13564" s="1"/>
    </row>
    <row r="13565" spans="1:1" x14ac:dyDescent="0.15">
      <c r="A13565" s="1"/>
    </row>
    <row r="13566" spans="1:1" x14ac:dyDescent="0.15">
      <c r="A13566" s="1"/>
    </row>
    <row r="13567" spans="1:1" x14ac:dyDescent="0.15">
      <c r="A13567" s="1"/>
    </row>
    <row r="13568" spans="1:1" x14ac:dyDescent="0.15">
      <c r="A13568" s="1"/>
    </row>
    <row r="13569" spans="1:1" x14ac:dyDescent="0.15">
      <c r="A13569" s="1"/>
    </row>
    <row r="13570" spans="1:1" x14ac:dyDescent="0.15">
      <c r="A13570" s="1"/>
    </row>
    <row r="13571" spans="1:1" x14ac:dyDescent="0.15">
      <c r="A13571" s="1"/>
    </row>
    <row r="13572" spans="1:1" x14ac:dyDescent="0.15">
      <c r="A13572" s="1"/>
    </row>
    <row r="13573" spans="1:1" x14ac:dyDescent="0.15">
      <c r="A13573" s="1"/>
    </row>
    <row r="13574" spans="1:1" x14ac:dyDescent="0.15">
      <c r="A13574" s="1"/>
    </row>
    <row r="13575" spans="1:1" x14ac:dyDescent="0.15">
      <c r="A13575" s="1"/>
    </row>
    <row r="13576" spans="1:1" x14ac:dyDescent="0.15">
      <c r="A13576" s="1"/>
    </row>
    <row r="13577" spans="1:1" x14ac:dyDescent="0.15">
      <c r="A13577" s="1"/>
    </row>
    <row r="13578" spans="1:1" x14ac:dyDescent="0.15">
      <c r="A13578" s="1"/>
    </row>
    <row r="13579" spans="1:1" x14ac:dyDescent="0.15">
      <c r="A13579" s="1"/>
    </row>
    <row r="13580" spans="1:1" x14ac:dyDescent="0.15">
      <c r="A13580" s="1"/>
    </row>
    <row r="13581" spans="1:1" x14ac:dyDescent="0.15">
      <c r="A13581" s="1"/>
    </row>
    <row r="13582" spans="1:1" x14ac:dyDescent="0.15">
      <c r="A13582" s="1"/>
    </row>
    <row r="13583" spans="1:1" x14ac:dyDescent="0.15">
      <c r="A13583" s="1"/>
    </row>
    <row r="13584" spans="1:1" x14ac:dyDescent="0.15">
      <c r="A13584" s="1"/>
    </row>
    <row r="13585" spans="1:1" x14ac:dyDescent="0.15">
      <c r="A13585" s="1"/>
    </row>
    <row r="13586" spans="1:1" x14ac:dyDescent="0.15">
      <c r="A13586" s="1"/>
    </row>
    <row r="13587" spans="1:1" x14ac:dyDescent="0.15">
      <c r="A13587" s="1"/>
    </row>
    <row r="13588" spans="1:1" x14ac:dyDescent="0.15">
      <c r="A13588" s="1"/>
    </row>
    <row r="13589" spans="1:1" x14ac:dyDescent="0.15">
      <c r="A13589" s="1"/>
    </row>
    <row r="13590" spans="1:1" x14ac:dyDescent="0.15">
      <c r="A13590" s="1"/>
    </row>
    <row r="13591" spans="1:1" x14ac:dyDescent="0.15">
      <c r="A13591" s="1"/>
    </row>
    <row r="13592" spans="1:1" x14ac:dyDescent="0.15">
      <c r="A13592" s="1"/>
    </row>
    <row r="13593" spans="1:1" x14ac:dyDescent="0.15">
      <c r="A13593" s="1"/>
    </row>
    <row r="13594" spans="1:1" x14ac:dyDescent="0.15">
      <c r="A13594" s="1"/>
    </row>
    <row r="13595" spans="1:1" x14ac:dyDescent="0.15">
      <c r="A13595" s="1"/>
    </row>
    <row r="13596" spans="1:1" x14ac:dyDescent="0.15">
      <c r="A13596" s="1"/>
    </row>
    <row r="13597" spans="1:1" x14ac:dyDescent="0.15">
      <c r="A13597" s="1"/>
    </row>
    <row r="13598" spans="1:1" x14ac:dyDescent="0.15">
      <c r="A13598" s="1"/>
    </row>
    <row r="13599" spans="1:1" x14ac:dyDescent="0.15">
      <c r="A13599" s="1"/>
    </row>
    <row r="13600" spans="1:1" x14ac:dyDescent="0.15">
      <c r="A13600" s="1"/>
    </row>
    <row r="13601" spans="1:1" x14ac:dyDescent="0.15">
      <c r="A13601" s="1"/>
    </row>
    <row r="13602" spans="1:1" x14ac:dyDescent="0.15">
      <c r="A13602" s="1"/>
    </row>
    <row r="13603" spans="1:1" x14ac:dyDescent="0.15">
      <c r="A13603" s="1"/>
    </row>
    <row r="13604" spans="1:1" x14ac:dyDescent="0.15">
      <c r="A13604" s="1"/>
    </row>
    <row r="13605" spans="1:1" x14ac:dyDescent="0.15">
      <c r="A13605" s="1"/>
    </row>
    <row r="13606" spans="1:1" x14ac:dyDescent="0.15">
      <c r="A13606" s="1"/>
    </row>
    <row r="13607" spans="1:1" x14ac:dyDescent="0.15">
      <c r="A13607" s="1"/>
    </row>
    <row r="13608" spans="1:1" x14ac:dyDescent="0.15">
      <c r="A13608" s="1"/>
    </row>
    <row r="13609" spans="1:1" x14ac:dyDescent="0.15">
      <c r="A13609" s="1"/>
    </row>
    <row r="13610" spans="1:1" x14ac:dyDescent="0.15">
      <c r="A13610" s="1"/>
    </row>
    <row r="13611" spans="1:1" x14ac:dyDescent="0.15">
      <c r="A13611" s="1"/>
    </row>
    <row r="13612" spans="1:1" x14ac:dyDescent="0.15">
      <c r="A13612" s="1"/>
    </row>
    <row r="13613" spans="1:1" x14ac:dyDescent="0.15">
      <c r="A13613" s="1"/>
    </row>
    <row r="13614" spans="1:1" x14ac:dyDescent="0.15">
      <c r="A13614" s="1"/>
    </row>
    <row r="13615" spans="1:1" x14ac:dyDescent="0.15">
      <c r="A13615" s="1"/>
    </row>
    <row r="13616" spans="1:1" x14ac:dyDescent="0.15">
      <c r="A13616" s="1"/>
    </row>
    <row r="13617" spans="1:1" x14ac:dyDescent="0.15">
      <c r="A13617" s="1"/>
    </row>
    <row r="13618" spans="1:1" x14ac:dyDescent="0.15">
      <c r="A13618" s="1"/>
    </row>
    <row r="13619" spans="1:1" x14ac:dyDescent="0.15">
      <c r="A13619" s="1"/>
    </row>
    <row r="13620" spans="1:1" x14ac:dyDescent="0.15">
      <c r="A13620" s="1"/>
    </row>
    <row r="13621" spans="1:1" x14ac:dyDescent="0.15">
      <c r="A13621" s="1"/>
    </row>
    <row r="13622" spans="1:1" x14ac:dyDescent="0.15">
      <c r="A13622" s="1"/>
    </row>
    <row r="13623" spans="1:1" x14ac:dyDescent="0.15">
      <c r="A13623" s="1"/>
    </row>
    <row r="13624" spans="1:1" x14ac:dyDescent="0.15">
      <c r="A13624" s="1"/>
    </row>
    <row r="13625" spans="1:1" x14ac:dyDescent="0.15">
      <c r="A13625" s="1"/>
    </row>
    <row r="13626" spans="1:1" x14ac:dyDescent="0.15">
      <c r="A13626" s="1"/>
    </row>
    <row r="13627" spans="1:1" x14ac:dyDescent="0.15">
      <c r="A13627" s="1"/>
    </row>
    <row r="13628" spans="1:1" x14ac:dyDescent="0.15">
      <c r="A13628" s="1"/>
    </row>
    <row r="13629" spans="1:1" x14ac:dyDescent="0.15">
      <c r="A13629" s="1"/>
    </row>
    <row r="13630" spans="1:1" x14ac:dyDescent="0.15">
      <c r="A13630" s="1"/>
    </row>
    <row r="13631" spans="1:1" x14ac:dyDescent="0.15">
      <c r="A13631" s="1"/>
    </row>
    <row r="13632" spans="1:1" x14ac:dyDescent="0.15">
      <c r="A13632" s="1"/>
    </row>
    <row r="13633" spans="1:1" x14ac:dyDescent="0.15">
      <c r="A13633" s="1"/>
    </row>
    <row r="13634" spans="1:1" x14ac:dyDescent="0.15">
      <c r="A13634" s="1"/>
    </row>
    <row r="13635" spans="1:1" x14ac:dyDescent="0.15">
      <c r="A13635" s="1"/>
    </row>
    <row r="13636" spans="1:1" x14ac:dyDescent="0.15">
      <c r="A13636" s="1"/>
    </row>
    <row r="13637" spans="1:1" x14ac:dyDescent="0.15">
      <c r="A13637" s="1"/>
    </row>
    <row r="13638" spans="1:1" x14ac:dyDescent="0.15">
      <c r="A13638" s="1"/>
    </row>
    <row r="13639" spans="1:1" x14ac:dyDescent="0.15">
      <c r="A13639" s="1"/>
    </row>
    <row r="13640" spans="1:1" x14ac:dyDescent="0.15">
      <c r="A13640" s="1"/>
    </row>
    <row r="13641" spans="1:1" x14ac:dyDescent="0.15">
      <c r="A13641" s="1"/>
    </row>
    <row r="13642" spans="1:1" x14ac:dyDescent="0.15">
      <c r="A13642" s="1"/>
    </row>
    <row r="13643" spans="1:1" x14ac:dyDescent="0.15">
      <c r="A13643" s="1"/>
    </row>
    <row r="13644" spans="1:1" x14ac:dyDescent="0.15">
      <c r="A13644" s="1"/>
    </row>
    <row r="13645" spans="1:1" x14ac:dyDescent="0.15">
      <c r="A13645" s="1"/>
    </row>
    <row r="13646" spans="1:1" x14ac:dyDescent="0.15">
      <c r="A13646" s="1"/>
    </row>
    <row r="13647" spans="1:1" x14ac:dyDescent="0.15">
      <c r="A13647" s="1"/>
    </row>
    <row r="13648" spans="1:1" x14ac:dyDescent="0.15">
      <c r="A13648" s="1"/>
    </row>
    <row r="13649" spans="1:1" x14ac:dyDescent="0.15">
      <c r="A13649" s="1"/>
    </row>
    <row r="13650" spans="1:1" x14ac:dyDescent="0.15">
      <c r="A13650" s="1"/>
    </row>
    <row r="13651" spans="1:1" x14ac:dyDescent="0.15">
      <c r="A13651" s="1"/>
    </row>
    <row r="13652" spans="1:1" x14ac:dyDescent="0.15">
      <c r="A13652" s="1"/>
    </row>
    <row r="13653" spans="1:1" x14ac:dyDescent="0.15">
      <c r="A13653" s="1"/>
    </row>
    <row r="13654" spans="1:1" x14ac:dyDescent="0.15">
      <c r="A13654" s="1"/>
    </row>
    <row r="13655" spans="1:1" x14ac:dyDescent="0.15">
      <c r="A13655" s="1"/>
    </row>
    <row r="13656" spans="1:1" x14ac:dyDescent="0.15">
      <c r="A13656" s="1"/>
    </row>
    <row r="13657" spans="1:1" x14ac:dyDescent="0.15">
      <c r="A13657" s="1"/>
    </row>
    <row r="13658" spans="1:1" x14ac:dyDescent="0.15">
      <c r="A13658" s="1"/>
    </row>
    <row r="13659" spans="1:1" x14ac:dyDescent="0.15">
      <c r="A13659" s="1"/>
    </row>
    <row r="13660" spans="1:1" x14ac:dyDescent="0.15">
      <c r="A13660" s="1"/>
    </row>
    <row r="13661" spans="1:1" x14ac:dyDescent="0.15">
      <c r="A13661" s="1"/>
    </row>
    <row r="13662" spans="1:1" x14ac:dyDescent="0.15">
      <c r="A13662" s="1"/>
    </row>
    <row r="13663" spans="1:1" x14ac:dyDescent="0.15">
      <c r="A13663" s="1"/>
    </row>
    <row r="13664" spans="1:1" x14ac:dyDescent="0.15">
      <c r="A13664" s="1"/>
    </row>
    <row r="13665" spans="1:1" x14ac:dyDescent="0.15">
      <c r="A13665" s="1"/>
    </row>
    <row r="13666" spans="1:1" x14ac:dyDescent="0.15">
      <c r="A13666" s="1"/>
    </row>
    <row r="13667" spans="1:1" x14ac:dyDescent="0.15">
      <c r="A13667" s="1"/>
    </row>
    <row r="13668" spans="1:1" x14ac:dyDescent="0.15">
      <c r="A13668" s="1"/>
    </row>
    <row r="13669" spans="1:1" x14ac:dyDescent="0.15">
      <c r="A13669" s="1"/>
    </row>
    <row r="13670" spans="1:1" x14ac:dyDescent="0.15">
      <c r="A13670" s="1"/>
    </row>
    <row r="13671" spans="1:1" x14ac:dyDescent="0.15">
      <c r="A13671" s="1"/>
    </row>
    <row r="13672" spans="1:1" x14ac:dyDescent="0.15">
      <c r="A13672" s="1"/>
    </row>
    <row r="13673" spans="1:1" x14ac:dyDescent="0.15">
      <c r="A13673" s="1"/>
    </row>
    <row r="13674" spans="1:1" x14ac:dyDescent="0.15">
      <c r="A13674" s="1"/>
    </row>
    <row r="13675" spans="1:1" x14ac:dyDescent="0.15">
      <c r="A13675" s="1"/>
    </row>
    <row r="13676" spans="1:1" x14ac:dyDescent="0.15">
      <c r="A13676" s="1"/>
    </row>
    <row r="13677" spans="1:1" x14ac:dyDescent="0.15">
      <c r="A13677" s="1"/>
    </row>
    <row r="13678" spans="1:1" x14ac:dyDescent="0.15">
      <c r="A13678" s="1"/>
    </row>
    <row r="13679" spans="1:1" x14ac:dyDescent="0.15">
      <c r="A13679" s="1"/>
    </row>
    <row r="13680" spans="1:1" x14ac:dyDescent="0.15">
      <c r="A13680" s="1"/>
    </row>
    <row r="13681" spans="1:1" x14ac:dyDescent="0.15">
      <c r="A13681" s="1"/>
    </row>
    <row r="13682" spans="1:1" x14ac:dyDescent="0.15">
      <c r="A13682" s="1"/>
    </row>
    <row r="13683" spans="1:1" x14ac:dyDescent="0.15">
      <c r="A13683" s="1"/>
    </row>
    <row r="13684" spans="1:1" x14ac:dyDescent="0.15">
      <c r="A13684" s="1"/>
    </row>
    <row r="13685" spans="1:1" x14ac:dyDescent="0.15">
      <c r="A13685" s="1"/>
    </row>
    <row r="13686" spans="1:1" x14ac:dyDescent="0.15">
      <c r="A13686" s="1"/>
    </row>
    <row r="13687" spans="1:1" x14ac:dyDescent="0.15">
      <c r="A13687" s="1"/>
    </row>
    <row r="13688" spans="1:1" x14ac:dyDescent="0.15">
      <c r="A13688" s="1"/>
    </row>
    <row r="13689" spans="1:1" x14ac:dyDescent="0.15">
      <c r="A13689" s="1"/>
    </row>
    <row r="13690" spans="1:1" x14ac:dyDescent="0.15">
      <c r="A13690" s="1"/>
    </row>
    <row r="13691" spans="1:1" x14ac:dyDescent="0.15">
      <c r="A13691" s="1"/>
    </row>
    <row r="13692" spans="1:1" x14ac:dyDescent="0.15">
      <c r="A13692" s="1"/>
    </row>
    <row r="13693" spans="1:1" x14ac:dyDescent="0.15">
      <c r="A13693" s="1"/>
    </row>
    <row r="13694" spans="1:1" x14ac:dyDescent="0.15">
      <c r="A13694" s="1"/>
    </row>
    <row r="13695" spans="1:1" x14ac:dyDescent="0.15">
      <c r="A13695" s="1"/>
    </row>
    <row r="13696" spans="1:1" x14ac:dyDescent="0.15">
      <c r="A13696" s="1"/>
    </row>
    <row r="13697" spans="1:1" x14ac:dyDescent="0.15">
      <c r="A13697" s="1"/>
    </row>
    <row r="13698" spans="1:1" x14ac:dyDescent="0.15">
      <c r="A13698" s="1"/>
    </row>
    <row r="13699" spans="1:1" x14ac:dyDescent="0.15">
      <c r="A13699" s="1"/>
    </row>
    <row r="13700" spans="1:1" x14ac:dyDescent="0.15">
      <c r="A13700" s="1"/>
    </row>
    <row r="13701" spans="1:1" x14ac:dyDescent="0.15">
      <c r="A13701" s="1"/>
    </row>
    <row r="13702" spans="1:1" x14ac:dyDescent="0.15">
      <c r="A13702" s="1"/>
    </row>
    <row r="13703" spans="1:1" x14ac:dyDescent="0.15">
      <c r="A13703" s="1"/>
    </row>
    <row r="13704" spans="1:1" x14ac:dyDescent="0.15">
      <c r="A13704" s="1"/>
    </row>
    <row r="13705" spans="1:1" x14ac:dyDescent="0.15">
      <c r="A13705" s="1"/>
    </row>
    <row r="13706" spans="1:1" x14ac:dyDescent="0.15">
      <c r="A13706" s="1"/>
    </row>
    <row r="13707" spans="1:1" x14ac:dyDescent="0.15">
      <c r="A13707" s="1"/>
    </row>
    <row r="13708" spans="1:1" x14ac:dyDescent="0.15">
      <c r="A13708" s="1"/>
    </row>
    <row r="13709" spans="1:1" x14ac:dyDescent="0.15">
      <c r="A13709" s="1"/>
    </row>
    <row r="13710" spans="1:1" x14ac:dyDescent="0.15">
      <c r="A13710" s="1"/>
    </row>
    <row r="13711" spans="1:1" x14ac:dyDescent="0.15">
      <c r="A13711" s="1"/>
    </row>
    <row r="13712" spans="1:1" x14ac:dyDescent="0.15">
      <c r="A13712" s="1"/>
    </row>
    <row r="13713" spans="1:1" x14ac:dyDescent="0.15">
      <c r="A13713" s="1"/>
    </row>
    <row r="13714" spans="1:1" x14ac:dyDescent="0.15">
      <c r="A13714" s="1"/>
    </row>
    <row r="13715" spans="1:1" x14ac:dyDescent="0.15">
      <c r="A13715" s="1"/>
    </row>
    <row r="13716" spans="1:1" x14ac:dyDescent="0.15">
      <c r="A13716" s="1"/>
    </row>
    <row r="13717" spans="1:1" x14ac:dyDescent="0.15">
      <c r="A13717" s="1"/>
    </row>
    <row r="13718" spans="1:1" x14ac:dyDescent="0.15">
      <c r="A13718" s="1"/>
    </row>
    <row r="13719" spans="1:1" x14ac:dyDescent="0.15">
      <c r="A13719" s="1"/>
    </row>
    <row r="13720" spans="1:1" x14ac:dyDescent="0.15">
      <c r="A13720" s="1"/>
    </row>
    <row r="13721" spans="1:1" x14ac:dyDescent="0.15">
      <c r="A13721" s="1"/>
    </row>
    <row r="13722" spans="1:1" x14ac:dyDescent="0.15">
      <c r="A13722" s="1"/>
    </row>
    <row r="13723" spans="1:1" x14ac:dyDescent="0.15">
      <c r="A13723" s="1"/>
    </row>
    <row r="13724" spans="1:1" x14ac:dyDescent="0.15">
      <c r="A13724" s="1"/>
    </row>
    <row r="13725" spans="1:1" x14ac:dyDescent="0.15">
      <c r="A13725" s="1"/>
    </row>
    <row r="13726" spans="1:1" x14ac:dyDescent="0.15">
      <c r="A13726" s="1"/>
    </row>
    <row r="13727" spans="1:1" x14ac:dyDescent="0.15">
      <c r="A13727" s="1"/>
    </row>
    <row r="13728" spans="1:1" x14ac:dyDescent="0.15">
      <c r="A13728" s="1"/>
    </row>
    <row r="13729" spans="1:1" x14ac:dyDescent="0.15">
      <c r="A13729" s="1"/>
    </row>
    <row r="13730" spans="1:1" x14ac:dyDescent="0.15">
      <c r="A13730" s="1"/>
    </row>
    <row r="13731" spans="1:1" x14ac:dyDescent="0.15">
      <c r="A13731" s="1"/>
    </row>
    <row r="13732" spans="1:1" x14ac:dyDescent="0.15">
      <c r="A13732" s="1"/>
    </row>
    <row r="13733" spans="1:1" x14ac:dyDescent="0.15">
      <c r="A13733" s="1"/>
    </row>
    <row r="13734" spans="1:1" x14ac:dyDescent="0.15">
      <c r="A13734" s="1"/>
    </row>
    <row r="13735" spans="1:1" x14ac:dyDescent="0.15">
      <c r="A13735" s="1"/>
    </row>
    <row r="13736" spans="1:1" x14ac:dyDescent="0.15">
      <c r="A13736" s="1"/>
    </row>
    <row r="13737" spans="1:1" x14ac:dyDescent="0.15">
      <c r="A13737" s="1"/>
    </row>
    <row r="13738" spans="1:1" x14ac:dyDescent="0.15">
      <c r="A13738" s="1"/>
    </row>
    <row r="13739" spans="1:1" x14ac:dyDescent="0.15">
      <c r="A13739" s="1"/>
    </row>
    <row r="13740" spans="1:1" x14ac:dyDescent="0.15">
      <c r="A13740" s="1"/>
    </row>
    <row r="13741" spans="1:1" x14ac:dyDescent="0.15">
      <c r="A13741" s="1"/>
    </row>
    <row r="13742" spans="1:1" x14ac:dyDescent="0.15">
      <c r="A13742" s="1"/>
    </row>
    <row r="13743" spans="1:1" x14ac:dyDescent="0.15">
      <c r="A13743" s="1"/>
    </row>
    <row r="13744" spans="1:1" x14ac:dyDescent="0.15">
      <c r="A13744" s="1"/>
    </row>
    <row r="13745" spans="1:1" x14ac:dyDescent="0.15">
      <c r="A13745" s="1"/>
    </row>
    <row r="13746" spans="1:1" x14ac:dyDescent="0.15">
      <c r="A13746" s="1"/>
    </row>
    <row r="13747" spans="1:1" x14ac:dyDescent="0.15">
      <c r="A13747" s="1"/>
    </row>
    <row r="13748" spans="1:1" x14ac:dyDescent="0.15">
      <c r="A13748" s="1"/>
    </row>
    <row r="13749" spans="1:1" x14ac:dyDescent="0.15">
      <c r="A13749" s="1"/>
    </row>
    <row r="13750" spans="1:1" x14ac:dyDescent="0.15">
      <c r="A13750" s="1"/>
    </row>
    <row r="13751" spans="1:1" x14ac:dyDescent="0.15">
      <c r="A13751" s="1"/>
    </row>
    <row r="13752" spans="1:1" x14ac:dyDescent="0.15">
      <c r="A13752" s="1"/>
    </row>
    <row r="13753" spans="1:1" x14ac:dyDescent="0.15">
      <c r="A13753" s="1"/>
    </row>
    <row r="13754" spans="1:1" x14ac:dyDescent="0.15">
      <c r="A13754" s="1"/>
    </row>
    <row r="13755" spans="1:1" x14ac:dyDescent="0.15">
      <c r="A13755" s="1"/>
    </row>
    <row r="13756" spans="1:1" x14ac:dyDescent="0.15">
      <c r="A13756" s="1"/>
    </row>
    <row r="13757" spans="1:1" x14ac:dyDescent="0.15">
      <c r="A13757" s="1"/>
    </row>
    <row r="13758" spans="1:1" x14ac:dyDescent="0.15">
      <c r="A13758" s="1"/>
    </row>
    <row r="13759" spans="1:1" x14ac:dyDescent="0.15">
      <c r="A13759" s="1"/>
    </row>
    <row r="13760" spans="1:1" x14ac:dyDescent="0.15">
      <c r="A13760" s="1"/>
    </row>
    <row r="13761" spans="1:1" x14ac:dyDescent="0.15">
      <c r="A13761" s="1"/>
    </row>
    <row r="13762" spans="1:1" x14ac:dyDescent="0.15">
      <c r="A13762" s="1"/>
    </row>
    <row r="13763" spans="1:1" x14ac:dyDescent="0.15">
      <c r="A13763" s="1"/>
    </row>
    <row r="13764" spans="1:1" x14ac:dyDescent="0.15">
      <c r="A13764" s="1"/>
    </row>
    <row r="13765" spans="1:1" x14ac:dyDescent="0.15">
      <c r="A13765" s="1"/>
    </row>
    <row r="13766" spans="1:1" x14ac:dyDescent="0.15">
      <c r="A13766" s="1"/>
    </row>
    <row r="13767" spans="1:1" x14ac:dyDescent="0.15">
      <c r="A13767" s="1"/>
    </row>
    <row r="13768" spans="1:1" x14ac:dyDescent="0.15">
      <c r="A13768" s="1"/>
    </row>
    <row r="13769" spans="1:1" x14ac:dyDescent="0.15">
      <c r="A13769" s="1"/>
    </row>
    <row r="13770" spans="1:1" x14ac:dyDescent="0.15">
      <c r="A13770" s="1"/>
    </row>
    <row r="13771" spans="1:1" x14ac:dyDescent="0.15">
      <c r="A13771" s="1"/>
    </row>
    <row r="13772" spans="1:1" x14ac:dyDescent="0.15">
      <c r="A13772" s="1"/>
    </row>
    <row r="13773" spans="1:1" x14ac:dyDescent="0.15">
      <c r="A13773" s="1"/>
    </row>
    <row r="13774" spans="1:1" x14ac:dyDescent="0.15">
      <c r="A13774" s="1"/>
    </row>
    <row r="13775" spans="1:1" x14ac:dyDescent="0.15">
      <c r="A13775" s="1"/>
    </row>
    <row r="13776" spans="1:1" x14ac:dyDescent="0.15">
      <c r="A13776" s="1"/>
    </row>
    <row r="13777" spans="1:1" x14ac:dyDescent="0.15">
      <c r="A13777" s="1"/>
    </row>
    <row r="13778" spans="1:1" x14ac:dyDescent="0.15">
      <c r="A13778" s="1"/>
    </row>
    <row r="13779" spans="1:1" x14ac:dyDescent="0.15">
      <c r="A13779" s="1"/>
    </row>
    <row r="13780" spans="1:1" x14ac:dyDescent="0.15">
      <c r="A13780" s="1"/>
    </row>
    <row r="13781" spans="1:1" x14ac:dyDescent="0.15">
      <c r="A13781" s="1"/>
    </row>
    <row r="13782" spans="1:1" x14ac:dyDescent="0.15">
      <c r="A13782" s="1"/>
    </row>
    <row r="13783" spans="1:1" x14ac:dyDescent="0.15">
      <c r="A13783" s="1"/>
    </row>
    <row r="13784" spans="1:1" x14ac:dyDescent="0.15">
      <c r="A13784" s="1"/>
    </row>
    <row r="13785" spans="1:1" x14ac:dyDescent="0.15">
      <c r="A13785" s="1"/>
    </row>
    <row r="13786" spans="1:1" x14ac:dyDescent="0.15">
      <c r="A13786" s="1"/>
    </row>
    <row r="13787" spans="1:1" x14ac:dyDescent="0.15">
      <c r="A13787" s="1"/>
    </row>
    <row r="13788" spans="1:1" x14ac:dyDescent="0.15">
      <c r="A13788" s="1"/>
    </row>
    <row r="13789" spans="1:1" x14ac:dyDescent="0.15">
      <c r="A13789" s="1"/>
    </row>
    <row r="13790" spans="1:1" x14ac:dyDescent="0.15">
      <c r="A13790" s="1"/>
    </row>
    <row r="13791" spans="1:1" x14ac:dyDescent="0.15">
      <c r="A13791" s="1"/>
    </row>
    <row r="13792" spans="1:1" x14ac:dyDescent="0.15">
      <c r="A13792" s="1"/>
    </row>
    <row r="13793" spans="1:1" x14ac:dyDescent="0.15">
      <c r="A13793" s="1"/>
    </row>
    <row r="13794" spans="1:1" x14ac:dyDescent="0.15">
      <c r="A13794" s="1"/>
    </row>
    <row r="13795" spans="1:1" x14ac:dyDescent="0.15">
      <c r="A13795" s="1"/>
    </row>
    <row r="13796" spans="1:1" x14ac:dyDescent="0.15">
      <c r="A13796" s="1"/>
    </row>
    <row r="13797" spans="1:1" x14ac:dyDescent="0.15">
      <c r="A13797" s="1"/>
    </row>
    <row r="13798" spans="1:1" x14ac:dyDescent="0.15">
      <c r="A13798" s="1"/>
    </row>
    <row r="13799" spans="1:1" x14ac:dyDescent="0.15">
      <c r="A13799" s="1"/>
    </row>
    <row r="13800" spans="1:1" x14ac:dyDescent="0.15">
      <c r="A13800" s="1"/>
    </row>
    <row r="13801" spans="1:1" x14ac:dyDescent="0.15">
      <c r="A13801" s="1"/>
    </row>
    <row r="13802" spans="1:1" x14ac:dyDescent="0.15">
      <c r="A13802" s="1"/>
    </row>
    <row r="13803" spans="1:1" x14ac:dyDescent="0.15">
      <c r="A13803" s="1"/>
    </row>
    <row r="13804" spans="1:1" x14ac:dyDescent="0.15">
      <c r="A13804" s="1"/>
    </row>
    <row r="13805" spans="1:1" x14ac:dyDescent="0.15">
      <c r="A13805" s="1"/>
    </row>
    <row r="13806" spans="1:1" x14ac:dyDescent="0.15">
      <c r="A13806" s="1"/>
    </row>
    <row r="13807" spans="1:1" x14ac:dyDescent="0.15">
      <c r="A13807" s="1"/>
    </row>
    <row r="13808" spans="1:1" x14ac:dyDescent="0.15">
      <c r="A13808" s="1"/>
    </row>
    <row r="13809" spans="1:1" x14ac:dyDescent="0.15">
      <c r="A13809" s="1"/>
    </row>
    <row r="13810" spans="1:1" x14ac:dyDescent="0.15">
      <c r="A13810" s="1"/>
    </row>
    <row r="13811" spans="1:1" x14ac:dyDescent="0.15">
      <c r="A13811" s="1"/>
    </row>
    <row r="13812" spans="1:1" x14ac:dyDescent="0.15">
      <c r="A13812" s="1"/>
    </row>
    <row r="13813" spans="1:1" x14ac:dyDescent="0.15">
      <c r="A13813" s="1"/>
    </row>
    <row r="13814" spans="1:1" x14ac:dyDescent="0.15">
      <c r="A13814" s="1"/>
    </row>
    <row r="13815" spans="1:1" x14ac:dyDescent="0.15">
      <c r="A13815" s="1"/>
    </row>
    <row r="13816" spans="1:1" x14ac:dyDescent="0.15">
      <c r="A13816" s="1"/>
    </row>
    <row r="13817" spans="1:1" x14ac:dyDescent="0.15">
      <c r="A13817" s="1"/>
    </row>
    <row r="13818" spans="1:1" x14ac:dyDescent="0.15">
      <c r="A13818" s="1"/>
    </row>
    <row r="13819" spans="1:1" x14ac:dyDescent="0.15">
      <c r="A13819" s="1"/>
    </row>
    <row r="13820" spans="1:1" x14ac:dyDescent="0.15">
      <c r="A13820" s="1"/>
    </row>
    <row r="13821" spans="1:1" x14ac:dyDescent="0.15">
      <c r="A13821" s="1"/>
    </row>
    <row r="13822" spans="1:1" x14ac:dyDescent="0.15">
      <c r="A13822" s="1"/>
    </row>
    <row r="13823" spans="1:1" x14ac:dyDescent="0.15">
      <c r="A13823" s="1"/>
    </row>
    <row r="13824" spans="1:1" x14ac:dyDescent="0.15">
      <c r="A13824" s="1"/>
    </row>
    <row r="13825" spans="1:1" x14ac:dyDescent="0.15">
      <c r="A13825" s="1"/>
    </row>
    <row r="13826" spans="1:1" x14ac:dyDescent="0.15">
      <c r="A13826" s="1"/>
    </row>
    <row r="13827" spans="1:1" x14ac:dyDescent="0.15">
      <c r="A13827" s="1"/>
    </row>
    <row r="13828" spans="1:1" x14ac:dyDescent="0.15">
      <c r="A13828" s="1"/>
    </row>
    <row r="13829" spans="1:1" x14ac:dyDescent="0.15">
      <c r="A13829" s="1"/>
    </row>
    <row r="13830" spans="1:1" x14ac:dyDescent="0.15">
      <c r="A13830" s="1"/>
    </row>
    <row r="13831" spans="1:1" x14ac:dyDescent="0.15">
      <c r="A13831" s="1"/>
    </row>
    <row r="13832" spans="1:1" x14ac:dyDescent="0.15">
      <c r="A13832" s="1"/>
    </row>
    <row r="13833" spans="1:1" x14ac:dyDescent="0.15">
      <c r="A13833" s="1"/>
    </row>
    <row r="13834" spans="1:1" x14ac:dyDescent="0.15">
      <c r="A13834" s="1"/>
    </row>
    <row r="13835" spans="1:1" x14ac:dyDescent="0.15">
      <c r="A13835" s="1"/>
    </row>
    <row r="13836" spans="1:1" x14ac:dyDescent="0.15">
      <c r="A13836" s="1"/>
    </row>
    <row r="13837" spans="1:1" x14ac:dyDescent="0.15">
      <c r="A13837" s="1"/>
    </row>
    <row r="13838" spans="1:1" x14ac:dyDescent="0.15">
      <c r="A13838" s="1"/>
    </row>
    <row r="13839" spans="1:1" x14ac:dyDescent="0.15">
      <c r="A13839" s="1"/>
    </row>
    <row r="13840" spans="1:1" x14ac:dyDescent="0.15">
      <c r="A13840" s="1"/>
    </row>
    <row r="13841" spans="1:1" x14ac:dyDescent="0.15">
      <c r="A13841" s="1"/>
    </row>
    <row r="13842" spans="1:1" x14ac:dyDescent="0.15">
      <c r="A13842" s="1"/>
    </row>
    <row r="13843" spans="1:1" x14ac:dyDescent="0.15">
      <c r="A13843" s="1"/>
    </row>
    <row r="13844" spans="1:1" x14ac:dyDescent="0.15">
      <c r="A13844" s="1"/>
    </row>
    <row r="13845" spans="1:1" x14ac:dyDescent="0.15">
      <c r="A13845" s="1"/>
    </row>
    <row r="13846" spans="1:1" x14ac:dyDescent="0.15">
      <c r="A13846" s="1"/>
    </row>
    <row r="13847" spans="1:1" x14ac:dyDescent="0.15">
      <c r="A13847" s="1"/>
    </row>
    <row r="13848" spans="1:1" x14ac:dyDescent="0.15">
      <c r="A13848" s="1"/>
    </row>
    <row r="13849" spans="1:1" x14ac:dyDescent="0.15">
      <c r="A13849" s="1"/>
    </row>
    <row r="13850" spans="1:1" x14ac:dyDescent="0.15">
      <c r="A13850" s="1"/>
    </row>
    <row r="13851" spans="1:1" x14ac:dyDescent="0.15">
      <c r="A13851" s="1"/>
    </row>
    <row r="13852" spans="1:1" x14ac:dyDescent="0.15">
      <c r="A13852" s="1"/>
    </row>
    <row r="13853" spans="1:1" x14ac:dyDescent="0.15">
      <c r="A13853" s="1"/>
    </row>
    <row r="13854" spans="1:1" x14ac:dyDescent="0.15">
      <c r="A13854" s="1"/>
    </row>
    <row r="13855" spans="1:1" x14ac:dyDescent="0.15">
      <c r="A13855" s="1"/>
    </row>
    <row r="13856" spans="1:1" x14ac:dyDescent="0.15">
      <c r="A13856" s="1"/>
    </row>
    <row r="13857" spans="1:1" x14ac:dyDescent="0.15">
      <c r="A13857" s="1"/>
    </row>
    <row r="13858" spans="1:1" x14ac:dyDescent="0.15">
      <c r="A13858" s="1"/>
    </row>
    <row r="13859" spans="1:1" x14ac:dyDescent="0.15">
      <c r="A13859" s="1"/>
    </row>
    <row r="13860" spans="1:1" x14ac:dyDescent="0.15">
      <c r="A13860" s="1"/>
    </row>
    <row r="13861" spans="1:1" x14ac:dyDescent="0.15">
      <c r="A13861" s="1"/>
    </row>
    <row r="13862" spans="1:1" x14ac:dyDescent="0.15">
      <c r="A13862" s="1"/>
    </row>
    <row r="13863" spans="1:1" x14ac:dyDescent="0.15">
      <c r="A13863" s="1"/>
    </row>
    <row r="13864" spans="1:1" x14ac:dyDescent="0.15">
      <c r="A13864" s="1"/>
    </row>
    <row r="13865" spans="1:1" x14ac:dyDescent="0.15">
      <c r="A13865" s="1"/>
    </row>
    <row r="13866" spans="1:1" x14ac:dyDescent="0.15">
      <c r="A13866" s="1"/>
    </row>
    <row r="13867" spans="1:1" x14ac:dyDescent="0.15">
      <c r="A13867" s="1"/>
    </row>
    <row r="13868" spans="1:1" x14ac:dyDescent="0.15">
      <c r="A13868" s="1"/>
    </row>
    <row r="13869" spans="1:1" x14ac:dyDescent="0.15">
      <c r="A13869" s="1"/>
    </row>
    <row r="13870" spans="1:1" x14ac:dyDescent="0.15">
      <c r="A13870" s="1"/>
    </row>
    <row r="13871" spans="1:1" x14ac:dyDescent="0.15">
      <c r="A13871" s="1"/>
    </row>
    <row r="13872" spans="1:1" x14ac:dyDescent="0.15">
      <c r="A13872" s="1"/>
    </row>
    <row r="13873" spans="1:1" x14ac:dyDescent="0.15">
      <c r="A13873" s="1"/>
    </row>
    <row r="13874" spans="1:1" x14ac:dyDescent="0.15">
      <c r="A13874" s="1"/>
    </row>
    <row r="13875" spans="1:1" x14ac:dyDescent="0.15">
      <c r="A13875" s="1"/>
    </row>
    <row r="13876" spans="1:1" x14ac:dyDescent="0.15">
      <c r="A13876" s="1"/>
    </row>
    <row r="13877" spans="1:1" x14ac:dyDescent="0.15">
      <c r="A13877" s="1"/>
    </row>
    <row r="13878" spans="1:1" x14ac:dyDescent="0.15">
      <c r="A13878" s="1"/>
    </row>
    <row r="13879" spans="1:1" x14ac:dyDescent="0.15">
      <c r="A13879" s="1"/>
    </row>
    <row r="13880" spans="1:1" x14ac:dyDescent="0.15">
      <c r="A13880" s="1"/>
    </row>
    <row r="13881" spans="1:1" x14ac:dyDescent="0.15">
      <c r="A13881" s="1"/>
    </row>
    <row r="13882" spans="1:1" x14ac:dyDescent="0.15">
      <c r="A13882" s="1"/>
    </row>
    <row r="13883" spans="1:1" x14ac:dyDescent="0.15">
      <c r="A13883" s="1"/>
    </row>
    <row r="13884" spans="1:1" x14ac:dyDescent="0.15">
      <c r="A13884" s="1"/>
    </row>
    <row r="13885" spans="1:1" x14ac:dyDescent="0.15">
      <c r="A13885" s="1"/>
    </row>
    <row r="13886" spans="1:1" x14ac:dyDescent="0.15">
      <c r="A13886" s="1"/>
    </row>
    <row r="13887" spans="1:1" x14ac:dyDescent="0.15">
      <c r="A13887" s="1"/>
    </row>
    <row r="13888" spans="1:1" x14ac:dyDescent="0.15">
      <c r="A13888" s="1"/>
    </row>
    <row r="13889" spans="1:1" x14ac:dyDescent="0.15">
      <c r="A13889" s="1"/>
    </row>
    <row r="13890" spans="1:1" x14ac:dyDescent="0.15">
      <c r="A13890" s="1"/>
    </row>
    <row r="13891" spans="1:1" x14ac:dyDescent="0.15">
      <c r="A13891" s="1"/>
    </row>
    <row r="13892" spans="1:1" x14ac:dyDescent="0.15">
      <c r="A13892" s="1"/>
    </row>
    <row r="13893" spans="1:1" x14ac:dyDescent="0.15">
      <c r="A13893" s="1"/>
    </row>
    <row r="13894" spans="1:1" x14ac:dyDescent="0.15">
      <c r="A13894" s="1"/>
    </row>
    <row r="13895" spans="1:1" x14ac:dyDescent="0.15">
      <c r="A13895" s="1"/>
    </row>
    <row r="13896" spans="1:1" x14ac:dyDescent="0.15">
      <c r="A13896" s="1"/>
    </row>
    <row r="13897" spans="1:1" x14ac:dyDescent="0.15">
      <c r="A13897" s="1"/>
    </row>
    <row r="13898" spans="1:1" x14ac:dyDescent="0.15">
      <c r="A13898" s="1"/>
    </row>
    <row r="13899" spans="1:1" x14ac:dyDescent="0.15">
      <c r="A13899" s="1"/>
    </row>
    <row r="13900" spans="1:1" x14ac:dyDescent="0.15">
      <c r="A13900" s="1"/>
    </row>
    <row r="13901" spans="1:1" x14ac:dyDescent="0.15">
      <c r="A13901" s="1"/>
    </row>
    <row r="13902" spans="1:1" x14ac:dyDescent="0.15">
      <c r="A13902" s="1"/>
    </row>
    <row r="13903" spans="1:1" x14ac:dyDescent="0.15">
      <c r="A13903" s="1"/>
    </row>
    <row r="13904" spans="1:1" x14ac:dyDescent="0.15">
      <c r="A13904" s="1"/>
    </row>
    <row r="13905" spans="1:1" x14ac:dyDescent="0.15">
      <c r="A13905" s="1"/>
    </row>
    <row r="13906" spans="1:1" x14ac:dyDescent="0.15">
      <c r="A13906" s="1"/>
    </row>
    <row r="13907" spans="1:1" x14ac:dyDescent="0.15">
      <c r="A13907" s="1"/>
    </row>
    <row r="13908" spans="1:1" x14ac:dyDescent="0.15">
      <c r="A13908" s="1"/>
    </row>
    <row r="13909" spans="1:1" x14ac:dyDescent="0.15">
      <c r="A13909" s="1"/>
    </row>
    <row r="13910" spans="1:1" x14ac:dyDescent="0.15">
      <c r="A13910" s="1"/>
    </row>
    <row r="13911" spans="1:1" x14ac:dyDescent="0.15">
      <c r="A13911" s="1"/>
    </row>
    <row r="13912" spans="1:1" x14ac:dyDescent="0.15">
      <c r="A13912" s="1"/>
    </row>
    <row r="13913" spans="1:1" x14ac:dyDescent="0.15">
      <c r="A13913" s="1"/>
    </row>
    <row r="13914" spans="1:1" x14ac:dyDescent="0.15">
      <c r="A13914" s="1"/>
    </row>
    <row r="13915" spans="1:1" x14ac:dyDescent="0.15">
      <c r="A13915" s="1"/>
    </row>
    <row r="13916" spans="1:1" x14ac:dyDescent="0.15">
      <c r="A13916" s="1"/>
    </row>
    <row r="13917" spans="1:1" x14ac:dyDescent="0.15">
      <c r="A13917" s="1"/>
    </row>
    <row r="13918" spans="1:1" x14ac:dyDescent="0.15">
      <c r="A13918" s="1"/>
    </row>
    <row r="13919" spans="1:1" x14ac:dyDescent="0.15">
      <c r="A13919" s="1"/>
    </row>
    <row r="13920" spans="1:1" x14ac:dyDescent="0.15">
      <c r="A13920" s="1"/>
    </row>
    <row r="13921" spans="1:1" x14ac:dyDescent="0.15">
      <c r="A13921" s="1"/>
    </row>
    <row r="13922" spans="1:1" x14ac:dyDescent="0.15">
      <c r="A13922" s="1"/>
    </row>
    <row r="13923" spans="1:1" x14ac:dyDescent="0.15">
      <c r="A13923" s="1"/>
    </row>
    <row r="13924" spans="1:1" x14ac:dyDescent="0.15">
      <c r="A13924" s="1"/>
    </row>
    <row r="13925" spans="1:1" x14ac:dyDescent="0.15">
      <c r="A13925" s="1"/>
    </row>
    <row r="13926" spans="1:1" x14ac:dyDescent="0.15">
      <c r="A13926" s="1"/>
    </row>
    <row r="13927" spans="1:1" x14ac:dyDescent="0.15">
      <c r="A13927" s="1"/>
    </row>
    <row r="13928" spans="1:1" x14ac:dyDescent="0.15">
      <c r="A13928" s="1"/>
    </row>
    <row r="13929" spans="1:1" x14ac:dyDescent="0.15">
      <c r="A13929" s="1"/>
    </row>
    <row r="13930" spans="1:1" x14ac:dyDescent="0.15">
      <c r="A13930" s="1"/>
    </row>
    <row r="13931" spans="1:1" x14ac:dyDescent="0.15">
      <c r="A13931" s="1"/>
    </row>
    <row r="13932" spans="1:1" x14ac:dyDescent="0.15">
      <c r="A13932" s="1"/>
    </row>
    <row r="13933" spans="1:1" x14ac:dyDescent="0.15">
      <c r="A13933" s="1"/>
    </row>
    <row r="13934" spans="1:1" x14ac:dyDescent="0.15">
      <c r="A13934" s="1"/>
    </row>
    <row r="13935" spans="1:1" x14ac:dyDescent="0.15">
      <c r="A13935" s="1"/>
    </row>
    <row r="13936" spans="1:1" x14ac:dyDescent="0.15">
      <c r="A13936" s="1"/>
    </row>
    <row r="13937" spans="1:1" x14ac:dyDescent="0.15">
      <c r="A13937" s="1"/>
    </row>
    <row r="13938" spans="1:1" x14ac:dyDescent="0.15">
      <c r="A13938" s="1"/>
    </row>
    <row r="13939" spans="1:1" x14ac:dyDescent="0.15">
      <c r="A13939" s="1"/>
    </row>
    <row r="13940" spans="1:1" x14ac:dyDescent="0.15">
      <c r="A13940" s="1"/>
    </row>
    <row r="13941" spans="1:1" x14ac:dyDescent="0.15">
      <c r="A13941" s="1"/>
    </row>
    <row r="13942" spans="1:1" x14ac:dyDescent="0.15">
      <c r="A13942" s="1"/>
    </row>
    <row r="13943" spans="1:1" x14ac:dyDescent="0.15">
      <c r="A13943" s="1"/>
    </row>
    <row r="13944" spans="1:1" x14ac:dyDescent="0.15">
      <c r="A13944" s="1"/>
    </row>
    <row r="13945" spans="1:1" x14ac:dyDescent="0.15">
      <c r="A13945" s="1"/>
    </row>
    <row r="13946" spans="1:1" x14ac:dyDescent="0.15">
      <c r="A13946" s="1"/>
    </row>
    <row r="13947" spans="1:1" x14ac:dyDescent="0.15">
      <c r="A13947" s="1"/>
    </row>
    <row r="13948" spans="1:1" x14ac:dyDescent="0.15">
      <c r="A13948" s="1"/>
    </row>
    <row r="13949" spans="1:1" x14ac:dyDescent="0.15">
      <c r="A13949" s="1"/>
    </row>
    <row r="13950" spans="1:1" x14ac:dyDescent="0.15">
      <c r="A13950" s="1"/>
    </row>
    <row r="13951" spans="1:1" x14ac:dyDescent="0.15">
      <c r="A13951" s="1"/>
    </row>
    <row r="13952" spans="1:1" x14ac:dyDescent="0.15">
      <c r="A13952" s="1"/>
    </row>
    <row r="13953" spans="1:1" x14ac:dyDescent="0.15">
      <c r="A13953" s="1"/>
    </row>
    <row r="13954" spans="1:1" x14ac:dyDescent="0.15">
      <c r="A13954" s="1"/>
    </row>
    <row r="13955" spans="1:1" x14ac:dyDescent="0.15">
      <c r="A13955" s="1"/>
    </row>
    <row r="13956" spans="1:1" x14ac:dyDescent="0.15">
      <c r="A13956" s="1"/>
    </row>
    <row r="13957" spans="1:1" x14ac:dyDescent="0.15">
      <c r="A13957" s="1"/>
    </row>
    <row r="13958" spans="1:1" x14ac:dyDescent="0.15">
      <c r="A13958" s="1"/>
    </row>
    <row r="13959" spans="1:1" x14ac:dyDescent="0.15">
      <c r="A13959" s="1"/>
    </row>
    <row r="13960" spans="1:1" x14ac:dyDescent="0.15">
      <c r="A13960" s="1"/>
    </row>
    <row r="13961" spans="1:1" x14ac:dyDescent="0.15">
      <c r="A13961" s="1"/>
    </row>
    <row r="13962" spans="1:1" x14ac:dyDescent="0.15">
      <c r="A13962" s="1"/>
    </row>
    <row r="13963" spans="1:1" x14ac:dyDescent="0.15">
      <c r="A13963" s="1"/>
    </row>
    <row r="13964" spans="1:1" x14ac:dyDescent="0.15">
      <c r="A13964" s="1"/>
    </row>
    <row r="13965" spans="1:1" x14ac:dyDescent="0.15">
      <c r="A13965" s="1"/>
    </row>
    <row r="13966" spans="1:1" x14ac:dyDescent="0.15">
      <c r="A13966" s="1"/>
    </row>
    <row r="13967" spans="1:1" x14ac:dyDescent="0.15">
      <c r="A13967" s="1"/>
    </row>
    <row r="13968" spans="1:1" x14ac:dyDescent="0.15">
      <c r="A13968" s="1"/>
    </row>
    <row r="13969" spans="1:1" x14ac:dyDescent="0.15">
      <c r="A13969" s="1"/>
    </row>
    <row r="13970" spans="1:1" x14ac:dyDescent="0.15">
      <c r="A13970" s="1"/>
    </row>
    <row r="13971" spans="1:1" x14ac:dyDescent="0.15">
      <c r="A13971" s="1"/>
    </row>
    <row r="13972" spans="1:1" x14ac:dyDescent="0.15">
      <c r="A13972" s="1"/>
    </row>
    <row r="13973" spans="1:1" x14ac:dyDescent="0.15">
      <c r="A13973" s="1"/>
    </row>
    <row r="13974" spans="1:1" x14ac:dyDescent="0.15">
      <c r="A13974" s="1"/>
    </row>
    <row r="13975" spans="1:1" x14ac:dyDescent="0.15">
      <c r="A13975" s="1"/>
    </row>
    <row r="13976" spans="1:1" x14ac:dyDescent="0.15">
      <c r="A13976" s="1"/>
    </row>
    <row r="13977" spans="1:1" x14ac:dyDescent="0.15">
      <c r="A13977" s="1"/>
    </row>
    <row r="13978" spans="1:1" x14ac:dyDescent="0.15">
      <c r="A13978" s="1"/>
    </row>
    <row r="13979" spans="1:1" x14ac:dyDescent="0.15">
      <c r="A13979" s="1"/>
    </row>
    <row r="13980" spans="1:1" x14ac:dyDescent="0.15">
      <c r="A13980" s="1"/>
    </row>
    <row r="13981" spans="1:1" x14ac:dyDescent="0.15">
      <c r="A13981" s="1"/>
    </row>
    <row r="13982" spans="1:1" x14ac:dyDescent="0.15">
      <c r="A13982" s="1"/>
    </row>
    <row r="13983" spans="1:1" x14ac:dyDescent="0.15">
      <c r="A13983" s="1"/>
    </row>
    <row r="13984" spans="1:1" x14ac:dyDescent="0.15">
      <c r="A13984" s="1"/>
    </row>
    <row r="13985" spans="1:1" x14ac:dyDescent="0.15">
      <c r="A13985" s="1"/>
    </row>
    <row r="13986" spans="1:1" x14ac:dyDescent="0.15">
      <c r="A13986" s="1"/>
    </row>
    <row r="13987" spans="1:1" x14ac:dyDescent="0.15">
      <c r="A13987" s="1"/>
    </row>
    <row r="13988" spans="1:1" x14ac:dyDescent="0.15">
      <c r="A13988" s="1"/>
    </row>
    <row r="13989" spans="1:1" x14ac:dyDescent="0.15">
      <c r="A13989" s="1"/>
    </row>
    <row r="13990" spans="1:1" x14ac:dyDescent="0.15">
      <c r="A13990" s="1"/>
    </row>
    <row r="13991" spans="1:1" x14ac:dyDescent="0.15">
      <c r="A13991" s="1"/>
    </row>
    <row r="13992" spans="1:1" x14ac:dyDescent="0.15">
      <c r="A13992" s="1"/>
    </row>
    <row r="13993" spans="1:1" x14ac:dyDescent="0.15">
      <c r="A13993" s="1"/>
    </row>
    <row r="13994" spans="1:1" x14ac:dyDescent="0.15">
      <c r="A13994" s="1"/>
    </row>
    <row r="13995" spans="1:1" x14ac:dyDescent="0.15">
      <c r="A13995" s="1"/>
    </row>
    <row r="13996" spans="1:1" x14ac:dyDescent="0.15">
      <c r="A13996" s="1"/>
    </row>
    <row r="13997" spans="1:1" x14ac:dyDescent="0.15">
      <c r="A13997" s="1"/>
    </row>
    <row r="13998" spans="1:1" x14ac:dyDescent="0.15">
      <c r="A13998" s="1"/>
    </row>
    <row r="13999" spans="1:1" x14ac:dyDescent="0.15">
      <c r="A13999" s="1"/>
    </row>
    <row r="14000" spans="1:1" x14ac:dyDescent="0.15">
      <c r="A14000" s="1"/>
    </row>
    <row r="14001" spans="1:1" x14ac:dyDescent="0.15">
      <c r="A14001" s="1"/>
    </row>
    <row r="14002" spans="1:1" x14ac:dyDescent="0.15">
      <c r="A14002" s="1"/>
    </row>
    <row r="14003" spans="1:1" x14ac:dyDescent="0.15">
      <c r="A14003" s="1"/>
    </row>
    <row r="14004" spans="1:1" x14ac:dyDescent="0.15">
      <c r="A14004" s="1"/>
    </row>
    <row r="14005" spans="1:1" x14ac:dyDescent="0.15">
      <c r="A14005" s="1"/>
    </row>
    <row r="14006" spans="1:1" x14ac:dyDescent="0.15">
      <c r="A14006" s="1"/>
    </row>
    <row r="14007" spans="1:1" x14ac:dyDescent="0.15">
      <c r="A14007" s="1"/>
    </row>
    <row r="14008" spans="1:1" x14ac:dyDescent="0.15">
      <c r="A14008" s="1"/>
    </row>
    <row r="14009" spans="1:1" x14ac:dyDescent="0.15">
      <c r="A14009" s="1"/>
    </row>
    <row r="14010" spans="1:1" x14ac:dyDescent="0.15">
      <c r="A14010" s="1"/>
    </row>
    <row r="14011" spans="1:1" x14ac:dyDescent="0.15">
      <c r="A14011" s="1"/>
    </row>
    <row r="14012" spans="1:1" x14ac:dyDescent="0.15">
      <c r="A14012" s="1"/>
    </row>
    <row r="14013" spans="1:1" x14ac:dyDescent="0.15">
      <c r="A14013" s="1"/>
    </row>
    <row r="14014" spans="1:1" x14ac:dyDescent="0.15">
      <c r="A14014" s="1"/>
    </row>
    <row r="14015" spans="1:1" x14ac:dyDescent="0.15">
      <c r="A14015" s="1"/>
    </row>
    <row r="14016" spans="1:1" x14ac:dyDescent="0.15">
      <c r="A14016" s="1"/>
    </row>
    <row r="14017" spans="1:1" x14ac:dyDescent="0.15">
      <c r="A14017" s="1"/>
    </row>
    <row r="14018" spans="1:1" x14ac:dyDescent="0.15">
      <c r="A14018" s="1"/>
    </row>
    <row r="14019" spans="1:1" x14ac:dyDescent="0.15">
      <c r="A14019" s="1"/>
    </row>
    <row r="14020" spans="1:1" x14ac:dyDescent="0.15">
      <c r="A14020" s="1"/>
    </row>
    <row r="14021" spans="1:1" x14ac:dyDescent="0.15">
      <c r="A14021" s="1"/>
    </row>
    <row r="14022" spans="1:1" x14ac:dyDescent="0.15">
      <c r="A14022" s="1"/>
    </row>
    <row r="14023" spans="1:1" x14ac:dyDescent="0.15">
      <c r="A14023" s="1"/>
    </row>
    <row r="14024" spans="1:1" x14ac:dyDescent="0.15">
      <c r="A14024" s="1"/>
    </row>
    <row r="14025" spans="1:1" x14ac:dyDescent="0.15">
      <c r="A14025" s="1"/>
    </row>
    <row r="14026" spans="1:1" x14ac:dyDescent="0.15">
      <c r="A14026" s="1"/>
    </row>
    <row r="14027" spans="1:1" x14ac:dyDescent="0.15">
      <c r="A14027" s="1"/>
    </row>
    <row r="14028" spans="1:1" x14ac:dyDescent="0.15">
      <c r="A14028" s="1"/>
    </row>
    <row r="14029" spans="1:1" x14ac:dyDescent="0.15">
      <c r="A14029" s="1"/>
    </row>
    <row r="14030" spans="1:1" x14ac:dyDescent="0.15">
      <c r="A14030" s="1"/>
    </row>
    <row r="14031" spans="1:1" x14ac:dyDescent="0.15">
      <c r="A14031" s="1"/>
    </row>
    <row r="14032" spans="1:1" x14ac:dyDescent="0.15">
      <c r="A14032" s="1"/>
    </row>
    <row r="14033" spans="1:1" x14ac:dyDescent="0.15">
      <c r="A14033" s="1"/>
    </row>
    <row r="14034" spans="1:1" x14ac:dyDescent="0.15">
      <c r="A14034" s="1"/>
    </row>
    <row r="14035" spans="1:1" x14ac:dyDescent="0.15">
      <c r="A14035" s="1"/>
    </row>
    <row r="14036" spans="1:1" x14ac:dyDescent="0.15">
      <c r="A14036" s="1"/>
    </row>
    <row r="14037" spans="1:1" x14ac:dyDescent="0.15">
      <c r="A14037" s="1"/>
    </row>
    <row r="14038" spans="1:1" x14ac:dyDescent="0.15">
      <c r="A14038" s="1"/>
    </row>
    <row r="14039" spans="1:1" x14ac:dyDescent="0.15">
      <c r="A14039" s="1"/>
    </row>
    <row r="14040" spans="1:1" x14ac:dyDescent="0.15">
      <c r="A14040" s="1"/>
    </row>
    <row r="14041" spans="1:1" x14ac:dyDescent="0.15">
      <c r="A14041" s="1"/>
    </row>
    <row r="14042" spans="1:1" x14ac:dyDescent="0.15">
      <c r="A14042" s="1"/>
    </row>
    <row r="14043" spans="1:1" x14ac:dyDescent="0.15">
      <c r="A14043" s="1"/>
    </row>
    <row r="14044" spans="1:1" x14ac:dyDescent="0.15">
      <c r="A14044" s="1"/>
    </row>
    <row r="14045" spans="1:1" x14ac:dyDescent="0.15">
      <c r="A14045" s="1"/>
    </row>
    <row r="14046" spans="1:1" x14ac:dyDescent="0.15">
      <c r="A14046" s="1"/>
    </row>
    <row r="14047" spans="1:1" x14ac:dyDescent="0.15">
      <c r="A14047" s="1"/>
    </row>
    <row r="14048" spans="1:1" x14ac:dyDescent="0.15">
      <c r="A14048" s="1"/>
    </row>
    <row r="14049" spans="1:1" x14ac:dyDescent="0.15">
      <c r="A14049" s="1"/>
    </row>
    <row r="14050" spans="1:1" x14ac:dyDescent="0.15">
      <c r="A14050" s="1"/>
    </row>
    <row r="14051" spans="1:1" x14ac:dyDescent="0.15">
      <c r="A14051" s="1"/>
    </row>
    <row r="14052" spans="1:1" x14ac:dyDescent="0.15">
      <c r="A14052" s="1"/>
    </row>
    <row r="14053" spans="1:1" x14ac:dyDescent="0.15">
      <c r="A14053" s="1"/>
    </row>
    <row r="14054" spans="1:1" x14ac:dyDescent="0.15">
      <c r="A14054" s="1"/>
    </row>
    <row r="14055" spans="1:1" x14ac:dyDescent="0.15">
      <c r="A14055" s="1"/>
    </row>
    <row r="14056" spans="1:1" x14ac:dyDescent="0.15">
      <c r="A14056" s="1"/>
    </row>
    <row r="14057" spans="1:1" x14ac:dyDescent="0.15">
      <c r="A14057" s="1"/>
    </row>
    <row r="14058" spans="1:1" x14ac:dyDescent="0.15">
      <c r="A14058" s="1"/>
    </row>
    <row r="14059" spans="1:1" x14ac:dyDescent="0.15">
      <c r="A14059" s="1"/>
    </row>
    <row r="14060" spans="1:1" x14ac:dyDescent="0.15">
      <c r="A14060" s="1"/>
    </row>
    <row r="14061" spans="1:1" x14ac:dyDescent="0.15">
      <c r="A14061" s="1"/>
    </row>
    <row r="14062" spans="1:1" x14ac:dyDescent="0.15">
      <c r="A14062" s="1"/>
    </row>
    <row r="14063" spans="1:1" x14ac:dyDescent="0.15">
      <c r="A14063" s="1"/>
    </row>
    <row r="14064" spans="1:1" x14ac:dyDescent="0.15">
      <c r="A14064" s="1"/>
    </row>
    <row r="14065" spans="1:1" x14ac:dyDescent="0.15">
      <c r="A14065" s="1"/>
    </row>
    <row r="14066" spans="1:1" x14ac:dyDescent="0.15">
      <c r="A14066" s="1"/>
    </row>
    <row r="14067" spans="1:1" x14ac:dyDescent="0.15">
      <c r="A14067" s="1"/>
    </row>
    <row r="14068" spans="1:1" x14ac:dyDescent="0.15">
      <c r="A14068" s="1"/>
    </row>
    <row r="14069" spans="1:1" x14ac:dyDescent="0.15">
      <c r="A14069" s="1"/>
    </row>
    <row r="14070" spans="1:1" x14ac:dyDescent="0.15">
      <c r="A14070" s="1"/>
    </row>
    <row r="14071" spans="1:1" x14ac:dyDescent="0.15">
      <c r="A14071" s="1"/>
    </row>
    <row r="14072" spans="1:1" x14ac:dyDescent="0.15">
      <c r="A14072" s="1"/>
    </row>
    <row r="14073" spans="1:1" x14ac:dyDescent="0.15">
      <c r="A14073" s="1"/>
    </row>
    <row r="14074" spans="1:1" x14ac:dyDescent="0.15">
      <c r="A14074" s="1"/>
    </row>
    <row r="14075" spans="1:1" x14ac:dyDescent="0.15">
      <c r="A14075" s="1"/>
    </row>
    <row r="14076" spans="1:1" x14ac:dyDescent="0.15">
      <c r="A14076" s="1"/>
    </row>
    <row r="14077" spans="1:1" x14ac:dyDescent="0.15">
      <c r="A14077" s="1"/>
    </row>
    <row r="14078" spans="1:1" x14ac:dyDescent="0.15">
      <c r="A14078" s="1"/>
    </row>
    <row r="14079" spans="1:1" x14ac:dyDescent="0.15">
      <c r="A14079" s="1"/>
    </row>
    <row r="14080" spans="1:1" x14ac:dyDescent="0.15">
      <c r="A14080" s="1"/>
    </row>
    <row r="14081" spans="1:1" x14ac:dyDescent="0.15">
      <c r="A14081" s="1"/>
    </row>
    <row r="14082" spans="1:1" x14ac:dyDescent="0.15">
      <c r="A14082" s="1"/>
    </row>
    <row r="14083" spans="1:1" x14ac:dyDescent="0.15">
      <c r="A14083" s="1"/>
    </row>
    <row r="14084" spans="1:1" x14ac:dyDescent="0.15">
      <c r="A14084" s="1"/>
    </row>
    <row r="14085" spans="1:1" x14ac:dyDescent="0.15">
      <c r="A14085" s="1"/>
    </row>
    <row r="14086" spans="1:1" x14ac:dyDescent="0.15">
      <c r="A14086" s="1"/>
    </row>
    <row r="14087" spans="1:1" x14ac:dyDescent="0.15">
      <c r="A14087" s="1"/>
    </row>
    <row r="14088" spans="1:1" x14ac:dyDescent="0.15">
      <c r="A14088" s="1"/>
    </row>
    <row r="14089" spans="1:1" x14ac:dyDescent="0.15">
      <c r="A14089" s="1"/>
    </row>
    <row r="14090" spans="1:1" x14ac:dyDescent="0.15">
      <c r="A14090" s="1"/>
    </row>
    <row r="14091" spans="1:1" x14ac:dyDescent="0.15">
      <c r="A14091" s="1"/>
    </row>
    <row r="14092" spans="1:1" x14ac:dyDescent="0.15">
      <c r="A14092" s="1"/>
    </row>
    <row r="14093" spans="1:1" x14ac:dyDescent="0.15">
      <c r="A14093" s="1"/>
    </row>
    <row r="14094" spans="1:1" x14ac:dyDescent="0.15">
      <c r="A14094" s="1"/>
    </row>
    <row r="14095" spans="1:1" x14ac:dyDescent="0.15">
      <c r="A14095" s="1"/>
    </row>
    <row r="14096" spans="1:1" x14ac:dyDescent="0.15">
      <c r="A14096" s="1"/>
    </row>
    <row r="14097" spans="1:1" x14ac:dyDescent="0.15">
      <c r="A14097" s="1"/>
    </row>
    <row r="14098" spans="1:1" x14ac:dyDescent="0.15">
      <c r="A14098" s="1"/>
    </row>
    <row r="14099" spans="1:1" x14ac:dyDescent="0.15">
      <c r="A14099" s="1"/>
    </row>
    <row r="14100" spans="1:1" x14ac:dyDescent="0.15">
      <c r="A14100" s="1"/>
    </row>
    <row r="14101" spans="1:1" x14ac:dyDescent="0.15">
      <c r="A14101" s="1"/>
    </row>
    <row r="14102" spans="1:1" x14ac:dyDescent="0.15">
      <c r="A14102" s="1"/>
    </row>
    <row r="14103" spans="1:1" x14ac:dyDescent="0.15">
      <c r="A14103" s="1"/>
    </row>
    <row r="14104" spans="1:1" x14ac:dyDescent="0.15">
      <c r="A14104" s="1"/>
    </row>
    <row r="14105" spans="1:1" x14ac:dyDescent="0.15">
      <c r="A14105" s="1"/>
    </row>
    <row r="14106" spans="1:1" x14ac:dyDescent="0.15">
      <c r="A14106" s="1"/>
    </row>
    <row r="14107" spans="1:1" x14ac:dyDescent="0.15">
      <c r="A14107" s="1"/>
    </row>
    <row r="14108" spans="1:1" x14ac:dyDescent="0.15">
      <c r="A14108" s="1"/>
    </row>
    <row r="14109" spans="1:1" x14ac:dyDescent="0.15">
      <c r="A14109" s="1"/>
    </row>
    <row r="14110" spans="1:1" x14ac:dyDescent="0.15">
      <c r="A14110" s="1"/>
    </row>
    <row r="14111" spans="1:1" x14ac:dyDescent="0.15">
      <c r="A14111" s="1"/>
    </row>
    <row r="14112" spans="1:1" x14ac:dyDescent="0.15">
      <c r="A14112" s="1"/>
    </row>
    <row r="14113" spans="1:1" x14ac:dyDescent="0.15">
      <c r="A14113" s="1"/>
    </row>
    <row r="14114" spans="1:1" x14ac:dyDescent="0.15">
      <c r="A14114" s="1"/>
    </row>
    <row r="14115" spans="1:1" x14ac:dyDescent="0.15">
      <c r="A14115" s="1"/>
    </row>
    <row r="14116" spans="1:1" x14ac:dyDescent="0.15">
      <c r="A14116" s="1"/>
    </row>
    <row r="14117" spans="1:1" x14ac:dyDescent="0.15">
      <c r="A14117" s="1"/>
    </row>
    <row r="14118" spans="1:1" x14ac:dyDescent="0.15">
      <c r="A14118" s="1"/>
    </row>
    <row r="14119" spans="1:1" x14ac:dyDescent="0.15">
      <c r="A14119" s="1"/>
    </row>
    <row r="14120" spans="1:1" x14ac:dyDescent="0.15">
      <c r="A14120" s="1"/>
    </row>
    <row r="14121" spans="1:1" x14ac:dyDescent="0.15">
      <c r="A14121" s="1"/>
    </row>
    <row r="14122" spans="1:1" x14ac:dyDescent="0.15">
      <c r="A14122" s="1"/>
    </row>
    <row r="14123" spans="1:1" x14ac:dyDescent="0.15">
      <c r="A14123" s="1"/>
    </row>
    <row r="14124" spans="1:1" x14ac:dyDescent="0.15">
      <c r="A14124" s="1"/>
    </row>
    <row r="14125" spans="1:1" x14ac:dyDescent="0.15">
      <c r="A14125" s="1"/>
    </row>
    <row r="14126" spans="1:1" x14ac:dyDescent="0.15">
      <c r="A14126" s="1"/>
    </row>
    <row r="14127" spans="1:1" x14ac:dyDescent="0.15">
      <c r="A14127" s="1"/>
    </row>
    <row r="14128" spans="1:1" x14ac:dyDescent="0.15">
      <c r="A14128" s="1"/>
    </row>
    <row r="14129" spans="1:1" x14ac:dyDescent="0.15">
      <c r="A14129" s="1"/>
    </row>
    <row r="14130" spans="1:1" x14ac:dyDescent="0.15">
      <c r="A14130" s="1"/>
    </row>
    <row r="14131" spans="1:1" x14ac:dyDescent="0.15">
      <c r="A14131" s="1"/>
    </row>
    <row r="14132" spans="1:1" x14ac:dyDescent="0.15">
      <c r="A14132" s="1"/>
    </row>
    <row r="14133" spans="1:1" x14ac:dyDescent="0.15">
      <c r="A14133" s="1"/>
    </row>
    <row r="14134" spans="1:1" x14ac:dyDescent="0.15">
      <c r="A14134" s="1"/>
    </row>
    <row r="14135" spans="1:1" x14ac:dyDescent="0.15">
      <c r="A14135" s="1"/>
    </row>
    <row r="14136" spans="1:1" x14ac:dyDescent="0.15">
      <c r="A14136" s="1"/>
    </row>
    <row r="14137" spans="1:1" x14ac:dyDescent="0.15">
      <c r="A14137" s="1"/>
    </row>
    <row r="14138" spans="1:1" x14ac:dyDescent="0.15">
      <c r="A14138" s="1"/>
    </row>
    <row r="14139" spans="1:1" x14ac:dyDescent="0.15">
      <c r="A14139" s="1"/>
    </row>
    <row r="14140" spans="1:1" x14ac:dyDescent="0.15">
      <c r="A14140" s="1"/>
    </row>
    <row r="14141" spans="1:1" x14ac:dyDescent="0.15">
      <c r="A14141" s="1"/>
    </row>
    <row r="14142" spans="1:1" x14ac:dyDescent="0.15">
      <c r="A14142" s="1"/>
    </row>
    <row r="14143" spans="1:1" x14ac:dyDescent="0.15">
      <c r="A14143" s="1"/>
    </row>
    <row r="14144" spans="1:1" x14ac:dyDescent="0.15">
      <c r="A14144" s="1"/>
    </row>
    <row r="14145" spans="1:1" x14ac:dyDescent="0.15">
      <c r="A14145" s="1"/>
    </row>
    <row r="14146" spans="1:1" x14ac:dyDescent="0.15">
      <c r="A14146" s="1"/>
    </row>
    <row r="14147" spans="1:1" x14ac:dyDescent="0.15">
      <c r="A14147" s="1"/>
    </row>
    <row r="14148" spans="1:1" x14ac:dyDescent="0.15">
      <c r="A14148" s="1"/>
    </row>
    <row r="14149" spans="1:1" x14ac:dyDescent="0.15">
      <c r="A14149" s="1"/>
    </row>
    <row r="14150" spans="1:1" x14ac:dyDescent="0.15">
      <c r="A14150" s="1"/>
    </row>
    <row r="14151" spans="1:1" x14ac:dyDescent="0.15">
      <c r="A14151" s="1"/>
    </row>
    <row r="14152" spans="1:1" x14ac:dyDescent="0.15">
      <c r="A14152" s="1"/>
    </row>
    <row r="14153" spans="1:1" x14ac:dyDescent="0.15">
      <c r="A14153" s="1"/>
    </row>
    <row r="14154" spans="1:1" x14ac:dyDescent="0.15">
      <c r="A14154" s="1"/>
    </row>
    <row r="14155" spans="1:1" x14ac:dyDescent="0.15">
      <c r="A14155" s="1"/>
    </row>
    <row r="14156" spans="1:1" x14ac:dyDescent="0.15">
      <c r="A14156" s="1"/>
    </row>
    <row r="14157" spans="1:1" x14ac:dyDescent="0.15">
      <c r="A14157" s="1"/>
    </row>
    <row r="14158" spans="1:1" x14ac:dyDescent="0.15">
      <c r="A14158" s="1"/>
    </row>
    <row r="14159" spans="1:1" x14ac:dyDescent="0.15">
      <c r="A14159" s="1"/>
    </row>
    <row r="14160" spans="1:1" x14ac:dyDescent="0.15">
      <c r="A14160" s="1"/>
    </row>
    <row r="14161" spans="1:1" x14ac:dyDescent="0.15">
      <c r="A14161" s="1"/>
    </row>
    <row r="14162" spans="1:1" x14ac:dyDescent="0.15">
      <c r="A14162" s="1"/>
    </row>
    <row r="14163" spans="1:1" x14ac:dyDescent="0.15">
      <c r="A14163" s="1"/>
    </row>
    <row r="14164" spans="1:1" x14ac:dyDescent="0.15">
      <c r="A14164" s="1"/>
    </row>
    <row r="14165" spans="1:1" x14ac:dyDescent="0.15">
      <c r="A14165" s="1"/>
    </row>
    <row r="14166" spans="1:1" x14ac:dyDescent="0.15">
      <c r="A14166" s="1"/>
    </row>
    <row r="14167" spans="1:1" x14ac:dyDescent="0.15">
      <c r="A14167" s="1"/>
    </row>
    <row r="14168" spans="1:1" x14ac:dyDescent="0.15">
      <c r="A14168" s="1"/>
    </row>
    <row r="14169" spans="1:1" x14ac:dyDescent="0.15">
      <c r="A14169" s="1"/>
    </row>
    <row r="14170" spans="1:1" x14ac:dyDescent="0.15">
      <c r="A14170" s="1"/>
    </row>
    <row r="14171" spans="1:1" x14ac:dyDescent="0.15">
      <c r="A14171" s="1"/>
    </row>
    <row r="14172" spans="1:1" x14ac:dyDescent="0.15">
      <c r="A14172" s="1"/>
    </row>
    <row r="14173" spans="1:1" x14ac:dyDescent="0.15">
      <c r="A14173" s="1"/>
    </row>
    <row r="14174" spans="1:1" x14ac:dyDescent="0.15">
      <c r="A14174" s="1"/>
    </row>
    <row r="14175" spans="1:1" x14ac:dyDescent="0.15">
      <c r="A14175" s="1"/>
    </row>
    <row r="14176" spans="1:1" x14ac:dyDescent="0.15">
      <c r="A14176" s="1"/>
    </row>
    <row r="14177" spans="1:1" x14ac:dyDescent="0.15">
      <c r="A14177" s="1"/>
    </row>
    <row r="14178" spans="1:1" x14ac:dyDescent="0.15">
      <c r="A14178" s="1"/>
    </row>
    <row r="14179" spans="1:1" x14ac:dyDescent="0.15">
      <c r="A14179" s="1"/>
    </row>
    <row r="14180" spans="1:1" x14ac:dyDescent="0.15">
      <c r="A14180" s="1"/>
    </row>
    <row r="14181" spans="1:1" x14ac:dyDescent="0.15">
      <c r="A14181" s="1"/>
    </row>
    <row r="14182" spans="1:1" x14ac:dyDescent="0.15">
      <c r="A14182" s="1"/>
    </row>
    <row r="14183" spans="1:1" x14ac:dyDescent="0.15">
      <c r="A14183" s="1"/>
    </row>
    <row r="14184" spans="1:1" x14ac:dyDescent="0.15">
      <c r="A14184" s="1"/>
    </row>
    <row r="14185" spans="1:1" x14ac:dyDescent="0.15">
      <c r="A14185" s="1"/>
    </row>
    <row r="14186" spans="1:1" x14ac:dyDescent="0.15">
      <c r="A14186" s="1"/>
    </row>
    <row r="14187" spans="1:1" x14ac:dyDescent="0.15">
      <c r="A14187" s="1"/>
    </row>
    <row r="14188" spans="1:1" x14ac:dyDescent="0.15">
      <c r="A14188" s="1"/>
    </row>
    <row r="14189" spans="1:1" x14ac:dyDescent="0.15">
      <c r="A14189" s="1"/>
    </row>
    <row r="14190" spans="1:1" x14ac:dyDescent="0.15">
      <c r="A14190" s="1"/>
    </row>
    <row r="14191" spans="1:1" x14ac:dyDescent="0.15">
      <c r="A14191" s="1"/>
    </row>
    <row r="14192" spans="1:1" x14ac:dyDescent="0.15">
      <c r="A14192" s="1"/>
    </row>
    <row r="14193" spans="1:1" x14ac:dyDescent="0.15">
      <c r="A14193" s="1"/>
    </row>
    <row r="14194" spans="1:1" x14ac:dyDescent="0.15">
      <c r="A14194" s="1"/>
    </row>
    <row r="14195" spans="1:1" x14ac:dyDescent="0.15">
      <c r="A14195" s="1"/>
    </row>
    <row r="14196" spans="1:1" x14ac:dyDescent="0.15">
      <c r="A14196" s="1"/>
    </row>
    <row r="14197" spans="1:1" x14ac:dyDescent="0.15">
      <c r="A14197" s="1"/>
    </row>
    <row r="14198" spans="1:1" x14ac:dyDescent="0.15">
      <c r="A14198" s="1"/>
    </row>
    <row r="14199" spans="1:1" x14ac:dyDescent="0.15">
      <c r="A14199" s="1"/>
    </row>
    <row r="14200" spans="1:1" x14ac:dyDescent="0.15">
      <c r="A14200" s="1"/>
    </row>
    <row r="14201" spans="1:1" x14ac:dyDescent="0.15">
      <c r="A14201" s="1"/>
    </row>
    <row r="14202" spans="1:1" x14ac:dyDescent="0.15">
      <c r="A14202" s="1"/>
    </row>
    <row r="14203" spans="1:1" x14ac:dyDescent="0.15">
      <c r="A14203" s="1"/>
    </row>
    <row r="14204" spans="1:1" x14ac:dyDescent="0.15">
      <c r="A14204" s="1"/>
    </row>
    <row r="14205" spans="1:1" x14ac:dyDescent="0.15">
      <c r="A14205" s="1"/>
    </row>
    <row r="14206" spans="1:1" x14ac:dyDescent="0.15">
      <c r="A14206" s="1"/>
    </row>
    <row r="14207" spans="1:1" x14ac:dyDescent="0.15">
      <c r="A14207" s="1"/>
    </row>
    <row r="14208" spans="1:1" x14ac:dyDescent="0.15">
      <c r="A14208" s="1"/>
    </row>
    <row r="14209" spans="1:1" x14ac:dyDescent="0.15">
      <c r="A14209" s="1"/>
    </row>
    <row r="14210" spans="1:1" x14ac:dyDescent="0.15">
      <c r="A14210" s="1"/>
    </row>
    <row r="14211" spans="1:1" x14ac:dyDescent="0.15">
      <c r="A14211" s="1"/>
    </row>
    <row r="14212" spans="1:1" x14ac:dyDescent="0.15">
      <c r="A14212" s="1"/>
    </row>
    <row r="14213" spans="1:1" x14ac:dyDescent="0.15">
      <c r="A14213" s="1"/>
    </row>
    <row r="14214" spans="1:1" x14ac:dyDescent="0.15">
      <c r="A14214" s="1"/>
    </row>
    <row r="14215" spans="1:1" x14ac:dyDescent="0.15">
      <c r="A14215" s="1"/>
    </row>
    <row r="14216" spans="1:1" x14ac:dyDescent="0.15">
      <c r="A14216" s="1"/>
    </row>
    <row r="14217" spans="1:1" x14ac:dyDescent="0.15">
      <c r="A14217" s="1"/>
    </row>
    <row r="14218" spans="1:1" x14ac:dyDescent="0.15">
      <c r="A14218" s="1"/>
    </row>
    <row r="14219" spans="1:1" x14ac:dyDescent="0.15">
      <c r="A14219" s="1"/>
    </row>
    <row r="14220" spans="1:1" x14ac:dyDescent="0.15">
      <c r="A14220" s="1"/>
    </row>
    <row r="14221" spans="1:1" x14ac:dyDescent="0.15">
      <c r="A14221" s="1"/>
    </row>
    <row r="14222" spans="1:1" x14ac:dyDescent="0.15">
      <c r="A14222" s="1"/>
    </row>
    <row r="14223" spans="1:1" x14ac:dyDescent="0.15">
      <c r="A14223" s="1"/>
    </row>
    <row r="14224" spans="1:1" x14ac:dyDescent="0.15">
      <c r="A14224" s="1"/>
    </row>
    <row r="14225" spans="1:1" x14ac:dyDescent="0.15">
      <c r="A14225" s="1"/>
    </row>
    <row r="14226" spans="1:1" x14ac:dyDescent="0.15">
      <c r="A14226" s="1"/>
    </row>
    <row r="14227" spans="1:1" x14ac:dyDescent="0.15">
      <c r="A14227" s="1"/>
    </row>
    <row r="14228" spans="1:1" x14ac:dyDescent="0.15">
      <c r="A14228" s="1"/>
    </row>
    <row r="14229" spans="1:1" x14ac:dyDescent="0.15">
      <c r="A14229" s="1"/>
    </row>
    <row r="14230" spans="1:1" x14ac:dyDescent="0.15">
      <c r="A14230" s="1"/>
    </row>
    <row r="14231" spans="1:1" x14ac:dyDescent="0.15">
      <c r="A14231" s="1"/>
    </row>
    <row r="14232" spans="1:1" x14ac:dyDescent="0.15">
      <c r="A14232" s="1"/>
    </row>
    <row r="14233" spans="1:1" x14ac:dyDescent="0.15">
      <c r="A14233" s="1"/>
    </row>
    <row r="14234" spans="1:1" x14ac:dyDescent="0.15">
      <c r="A14234" s="1"/>
    </row>
    <row r="14235" spans="1:1" x14ac:dyDescent="0.15">
      <c r="A14235" s="1"/>
    </row>
    <row r="14236" spans="1:1" x14ac:dyDescent="0.15">
      <c r="A14236" s="1"/>
    </row>
    <row r="14237" spans="1:1" x14ac:dyDescent="0.15">
      <c r="A14237" s="1"/>
    </row>
    <row r="14238" spans="1:1" x14ac:dyDescent="0.15">
      <c r="A14238" s="1"/>
    </row>
    <row r="14239" spans="1:1" x14ac:dyDescent="0.15">
      <c r="A14239" s="1"/>
    </row>
    <row r="14240" spans="1:1" x14ac:dyDescent="0.15">
      <c r="A14240" s="1"/>
    </row>
    <row r="14241" spans="1:1" x14ac:dyDescent="0.15">
      <c r="A14241" s="1"/>
    </row>
    <row r="14242" spans="1:1" x14ac:dyDescent="0.15">
      <c r="A14242" s="1"/>
    </row>
    <row r="14243" spans="1:1" x14ac:dyDescent="0.15">
      <c r="A14243" s="1"/>
    </row>
    <row r="14244" spans="1:1" x14ac:dyDescent="0.15">
      <c r="A14244" s="1"/>
    </row>
    <row r="14245" spans="1:1" x14ac:dyDescent="0.15">
      <c r="A14245" s="1"/>
    </row>
    <row r="14246" spans="1:1" x14ac:dyDescent="0.15">
      <c r="A14246" s="1"/>
    </row>
    <row r="14247" spans="1:1" x14ac:dyDescent="0.15">
      <c r="A14247" s="1"/>
    </row>
    <row r="14248" spans="1:1" x14ac:dyDescent="0.15">
      <c r="A14248" s="1"/>
    </row>
    <row r="14249" spans="1:1" x14ac:dyDescent="0.15">
      <c r="A14249" s="1"/>
    </row>
    <row r="14250" spans="1:1" x14ac:dyDescent="0.15">
      <c r="A14250" s="1"/>
    </row>
    <row r="14251" spans="1:1" x14ac:dyDescent="0.15">
      <c r="A14251" s="1"/>
    </row>
    <row r="14252" spans="1:1" x14ac:dyDescent="0.15">
      <c r="A14252" s="1"/>
    </row>
    <row r="14253" spans="1:1" x14ac:dyDescent="0.15">
      <c r="A14253" s="1"/>
    </row>
    <row r="14254" spans="1:1" x14ac:dyDescent="0.15">
      <c r="A14254" s="1"/>
    </row>
    <row r="14255" spans="1:1" x14ac:dyDescent="0.15">
      <c r="A14255" s="1"/>
    </row>
    <row r="14256" spans="1:1" x14ac:dyDescent="0.15">
      <c r="A14256" s="1"/>
    </row>
    <row r="14257" spans="1:1" x14ac:dyDescent="0.15">
      <c r="A14257" s="1"/>
    </row>
    <row r="14258" spans="1:1" x14ac:dyDescent="0.15">
      <c r="A14258" s="1"/>
    </row>
    <row r="14259" spans="1:1" x14ac:dyDescent="0.15">
      <c r="A14259" s="1"/>
    </row>
    <row r="14260" spans="1:1" x14ac:dyDescent="0.15">
      <c r="A14260" s="1"/>
    </row>
    <row r="14261" spans="1:1" x14ac:dyDescent="0.15">
      <c r="A14261" s="1"/>
    </row>
    <row r="14262" spans="1:1" x14ac:dyDescent="0.15">
      <c r="A14262" s="1"/>
    </row>
    <row r="14263" spans="1:1" x14ac:dyDescent="0.15">
      <c r="A14263" s="1"/>
    </row>
    <row r="14264" spans="1:1" x14ac:dyDescent="0.15">
      <c r="A14264" s="1"/>
    </row>
    <row r="14265" spans="1:1" x14ac:dyDescent="0.15">
      <c r="A14265" s="1"/>
    </row>
    <row r="14266" spans="1:1" x14ac:dyDescent="0.15">
      <c r="A14266" s="1"/>
    </row>
    <row r="14267" spans="1:1" x14ac:dyDescent="0.15">
      <c r="A14267" s="1"/>
    </row>
    <row r="14268" spans="1:1" x14ac:dyDescent="0.15">
      <c r="A14268" s="1"/>
    </row>
    <row r="14269" spans="1:1" x14ac:dyDescent="0.15">
      <c r="A14269" s="1"/>
    </row>
    <row r="14270" spans="1:1" x14ac:dyDescent="0.15">
      <c r="A14270" s="1"/>
    </row>
    <row r="14271" spans="1:1" x14ac:dyDescent="0.15">
      <c r="A14271" s="1"/>
    </row>
    <row r="14272" spans="1:1" x14ac:dyDescent="0.15">
      <c r="A14272" s="1"/>
    </row>
    <row r="14273" spans="1:1" x14ac:dyDescent="0.15">
      <c r="A14273" s="1"/>
    </row>
    <row r="14274" spans="1:1" x14ac:dyDescent="0.15">
      <c r="A14274" s="1"/>
    </row>
    <row r="14275" spans="1:1" x14ac:dyDescent="0.15">
      <c r="A14275" s="1"/>
    </row>
    <row r="14276" spans="1:1" x14ac:dyDescent="0.15">
      <c r="A14276" s="1"/>
    </row>
    <row r="14277" spans="1:1" x14ac:dyDescent="0.15">
      <c r="A14277" s="1"/>
    </row>
    <row r="14278" spans="1:1" x14ac:dyDescent="0.15">
      <c r="A14278" s="1"/>
    </row>
    <row r="14279" spans="1:1" x14ac:dyDescent="0.15">
      <c r="A14279" s="1"/>
    </row>
    <row r="14280" spans="1:1" x14ac:dyDescent="0.15">
      <c r="A14280" s="1"/>
    </row>
    <row r="14281" spans="1:1" x14ac:dyDescent="0.15">
      <c r="A14281" s="1"/>
    </row>
    <row r="14282" spans="1:1" x14ac:dyDescent="0.15">
      <c r="A14282" s="1"/>
    </row>
    <row r="14283" spans="1:1" x14ac:dyDescent="0.15">
      <c r="A14283" s="1"/>
    </row>
    <row r="14284" spans="1:1" x14ac:dyDescent="0.15">
      <c r="A14284" s="1"/>
    </row>
    <row r="14285" spans="1:1" x14ac:dyDescent="0.15">
      <c r="A14285" s="1"/>
    </row>
    <row r="14286" spans="1:1" x14ac:dyDescent="0.15">
      <c r="A14286" s="1"/>
    </row>
    <row r="14287" spans="1:1" x14ac:dyDescent="0.15">
      <c r="A14287" s="1"/>
    </row>
    <row r="14288" spans="1:1" x14ac:dyDescent="0.15">
      <c r="A14288" s="1"/>
    </row>
    <row r="14289" spans="1:1" x14ac:dyDescent="0.15">
      <c r="A14289" s="1"/>
    </row>
    <row r="14290" spans="1:1" x14ac:dyDescent="0.15">
      <c r="A14290" s="1"/>
    </row>
    <row r="14291" spans="1:1" x14ac:dyDescent="0.15">
      <c r="A14291" s="1"/>
    </row>
    <row r="14292" spans="1:1" x14ac:dyDescent="0.15">
      <c r="A14292" s="1"/>
    </row>
    <row r="14293" spans="1:1" x14ac:dyDescent="0.15">
      <c r="A14293" s="1"/>
    </row>
    <row r="14294" spans="1:1" x14ac:dyDescent="0.15">
      <c r="A14294" s="1"/>
    </row>
    <row r="14295" spans="1:1" x14ac:dyDescent="0.15">
      <c r="A14295" s="1"/>
    </row>
    <row r="14296" spans="1:1" x14ac:dyDescent="0.15">
      <c r="A14296" s="1"/>
    </row>
    <row r="14297" spans="1:1" x14ac:dyDescent="0.15">
      <c r="A14297" s="1"/>
    </row>
    <row r="14298" spans="1:1" x14ac:dyDescent="0.15">
      <c r="A14298" s="1"/>
    </row>
    <row r="14299" spans="1:1" x14ac:dyDescent="0.15">
      <c r="A14299" s="1"/>
    </row>
    <row r="14300" spans="1:1" x14ac:dyDescent="0.15">
      <c r="A14300" s="1"/>
    </row>
    <row r="14301" spans="1:1" x14ac:dyDescent="0.15">
      <c r="A14301" s="1"/>
    </row>
    <row r="14302" spans="1:1" x14ac:dyDescent="0.15">
      <c r="A14302" s="1"/>
    </row>
    <row r="14303" spans="1:1" x14ac:dyDescent="0.15">
      <c r="A14303" s="1"/>
    </row>
    <row r="14304" spans="1:1" x14ac:dyDescent="0.15">
      <c r="A14304" s="1"/>
    </row>
    <row r="14305" spans="1:1" x14ac:dyDescent="0.15">
      <c r="A14305" s="1"/>
    </row>
    <row r="14306" spans="1:1" x14ac:dyDescent="0.15">
      <c r="A14306" s="1"/>
    </row>
    <row r="14307" spans="1:1" x14ac:dyDescent="0.15">
      <c r="A14307" s="1"/>
    </row>
    <row r="14308" spans="1:1" x14ac:dyDescent="0.15">
      <c r="A14308" s="1"/>
    </row>
    <row r="14309" spans="1:1" x14ac:dyDescent="0.15">
      <c r="A14309" s="1"/>
    </row>
    <row r="14310" spans="1:1" x14ac:dyDescent="0.15">
      <c r="A14310" s="1"/>
    </row>
    <row r="14311" spans="1:1" x14ac:dyDescent="0.15">
      <c r="A14311" s="1"/>
    </row>
    <row r="14312" spans="1:1" x14ac:dyDescent="0.15">
      <c r="A14312" s="1"/>
    </row>
    <row r="14313" spans="1:1" x14ac:dyDescent="0.15">
      <c r="A14313" s="1"/>
    </row>
    <row r="14314" spans="1:1" x14ac:dyDescent="0.15">
      <c r="A14314" s="1"/>
    </row>
    <row r="14315" spans="1:1" x14ac:dyDescent="0.15">
      <c r="A14315" s="1"/>
    </row>
    <row r="14316" spans="1:1" x14ac:dyDescent="0.15">
      <c r="A14316" s="1"/>
    </row>
    <row r="14317" spans="1:1" x14ac:dyDescent="0.15">
      <c r="A14317" s="1"/>
    </row>
    <row r="14318" spans="1:1" x14ac:dyDescent="0.15">
      <c r="A14318" s="1"/>
    </row>
    <row r="14319" spans="1:1" x14ac:dyDescent="0.15">
      <c r="A14319" s="1"/>
    </row>
    <row r="14320" spans="1:1" x14ac:dyDescent="0.15">
      <c r="A14320" s="1"/>
    </row>
    <row r="14321" spans="1:1" x14ac:dyDescent="0.15">
      <c r="A14321" s="1"/>
    </row>
    <row r="14322" spans="1:1" x14ac:dyDescent="0.15">
      <c r="A14322" s="1"/>
    </row>
    <row r="14323" spans="1:1" x14ac:dyDescent="0.15">
      <c r="A14323" s="1"/>
    </row>
    <row r="14324" spans="1:1" x14ac:dyDescent="0.15">
      <c r="A14324" s="1"/>
    </row>
    <row r="14325" spans="1:1" x14ac:dyDescent="0.15">
      <c r="A14325" s="1"/>
    </row>
    <row r="14326" spans="1:1" x14ac:dyDescent="0.15">
      <c r="A14326" s="1"/>
    </row>
    <row r="14327" spans="1:1" x14ac:dyDescent="0.15">
      <c r="A14327" s="1"/>
    </row>
    <row r="14328" spans="1:1" x14ac:dyDescent="0.15">
      <c r="A14328" s="1"/>
    </row>
    <row r="14329" spans="1:1" x14ac:dyDescent="0.15">
      <c r="A14329" s="1"/>
    </row>
    <row r="14330" spans="1:1" x14ac:dyDescent="0.15">
      <c r="A14330" s="1"/>
    </row>
    <row r="14331" spans="1:1" x14ac:dyDescent="0.15">
      <c r="A14331" s="1"/>
    </row>
    <row r="14332" spans="1:1" x14ac:dyDescent="0.15">
      <c r="A14332" s="1"/>
    </row>
    <row r="14333" spans="1:1" x14ac:dyDescent="0.15">
      <c r="A14333" s="1"/>
    </row>
    <row r="14334" spans="1:1" x14ac:dyDescent="0.15">
      <c r="A14334" s="1"/>
    </row>
    <row r="14335" spans="1:1" x14ac:dyDescent="0.15">
      <c r="A14335" s="1"/>
    </row>
    <row r="14336" spans="1:1" x14ac:dyDescent="0.15">
      <c r="A14336" s="1"/>
    </row>
    <row r="14337" spans="1:1" x14ac:dyDescent="0.15">
      <c r="A14337" s="1"/>
    </row>
    <row r="14338" spans="1:1" x14ac:dyDescent="0.15">
      <c r="A14338" s="1"/>
    </row>
    <row r="14339" spans="1:1" x14ac:dyDescent="0.15">
      <c r="A14339" s="1"/>
    </row>
    <row r="14340" spans="1:1" x14ac:dyDescent="0.15">
      <c r="A14340" s="1"/>
    </row>
    <row r="14341" spans="1:1" x14ac:dyDescent="0.15">
      <c r="A14341" s="1"/>
    </row>
    <row r="14342" spans="1:1" x14ac:dyDescent="0.15">
      <c r="A14342" s="1"/>
    </row>
    <row r="14343" spans="1:1" x14ac:dyDescent="0.15">
      <c r="A14343" s="1"/>
    </row>
    <row r="14344" spans="1:1" x14ac:dyDescent="0.15">
      <c r="A14344" s="1"/>
    </row>
    <row r="14345" spans="1:1" x14ac:dyDescent="0.15">
      <c r="A14345" s="1"/>
    </row>
    <row r="14346" spans="1:1" x14ac:dyDescent="0.15">
      <c r="A14346" s="1"/>
    </row>
    <row r="14347" spans="1:1" x14ac:dyDescent="0.15">
      <c r="A14347" s="1"/>
    </row>
    <row r="14348" spans="1:1" x14ac:dyDescent="0.15">
      <c r="A14348" s="1"/>
    </row>
    <row r="14349" spans="1:1" x14ac:dyDescent="0.15">
      <c r="A14349" s="1"/>
    </row>
    <row r="14350" spans="1:1" x14ac:dyDescent="0.15">
      <c r="A14350" s="1"/>
    </row>
    <row r="14351" spans="1:1" x14ac:dyDescent="0.15">
      <c r="A14351" s="1"/>
    </row>
    <row r="14352" spans="1:1" x14ac:dyDescent="0.15">
      <c r="A14352" s="1"/>
    </row>
    <row r="14353" spans="1:1" x14ac:dyDescent="0.15">
      <c r="A14353" s="1"/>
    </row>
    <row r="14354" spans="1:1" x14ac:dyDescent="0.15">
      <c r="A14354" s="1"/>
    </row>
    <row r="14355" spans="1:1" x14ac:dyDescent="0.15">
      <c r="A14355" s="1"/>
    </row>
    <row r="14356" spans="1:1" x14ac:dyDescent="0.15">
      <c r="A14356" s="1"/>
    </row>
    <row r="14357" spans="1:1" x14ac:dyDescent="0.15">
      <c r="A14357" s="1"/>
    </row>
    <row r="14358" spans="1:1" x14ac:dyDescent="0.15">
      <c r="A14358" s="1"/>
    </row>
    <row r="14359" spans="1:1" x14ac:dyDescent="0.15">
      <c r="A14359" s="1"/>
    </row>
    <row r="14360" spans="1:1" x14ac:dyDescent="0.15">
      <c r="A14360" s="1"/>
    </row>
    <row r="14361" spans="1:1" x14ac:dyDescent="0.15">
      <c r="A14361" s="1"/>
    </row>
    <row r="14362" spans="1:1" x14ac:dyDescent="0.15">
      <c r="A14362" s="1"/>
    </row>
    <row r="14363" spans="1:1" x14ac:dyDescent="0.15">
      <c r="A14363" s="1"/>
    </row>
    <row r="14364" spans="1:1" x14ac:dyDescent="0.15">
      <c r="A14364" s="1"/>
    </row>
    <row r="14365" spans="1:1" x14ac:dyDescent="0.15">
      <c r="A14365" s="1"/>
    </row>
    <row r="14366" spans="1:1" x14ac:dyDescent="0.15">
      <c r="A14366" s="1"/>
    </row>
    <row r="14367" spans="1:1" x14ac:dyDescent="0.15">
      <c r="A14367" s="1"/>
    </row>
    <row r="14368" spans="1:1" x14ac:dyDescent="0.15">
      <c r="A14368" s="1"/>
    </row>
    <row r="14369" spans="1:1" x14ac:dyDescent="0.15">
      <c r="A14369" s="1"/>
    </row>
    <row r="14370" spans="1:1" x14ac:dyDescent="0.15">
      <c r="A14370" s="1"/>
    </row>
    <row r="14371" spans="1:1" x14ac:dyDescent="0.15">
      <c r="A14371" s="1"/>
    </row>
    <row r="14372" spans="1:1" x14ac:dyDescent="0.15">
      <c r="A14372" s="1"/>
    </row>
    <row r="14373" spans="1:1" x14ac:dyDescent="0.15">
      <c r="A14373" s="1"/>
    </row>
    <row r="14374" spans="1:1" x14ac:dyDescent="0.15">
      <c r="A14374" s="1"/>
    </row>
    <row r="14375" spans="1:1" x14ac:dyDescent="0.15">
      <c r="A14375" s="1"/>
    </row>
    <row r="14376" spans="1:1" x14ac:dyDescent="0.15">
      <c r="A14376" s="1"/>
    </row>
    <row r="14377" spans="1:1" x14ac:dyDescent="0.15">
      <c r="A14377" s="1"/>
    </row>
    <row r="14378" spans="1:1" x14ac:dyDescent="0.15">
      <c r="A14378" s="1"/>
    </row>
    <row r="14379" spans="1:1" x14ac:dyDescent="0.15">
      <c r="A14379" s="1"/>
    </row>
    <row r="14380" spans="1:1" x14ac:dyDescent="0.15">
      <c r="A14380" s="1"/>
    </row>
    <row r="14381" spans="1:1" x14ac:dyDescent="0.15">
      <c r="A14381" s="1"/>
    </row>
    <row r="14382" spans="1:1" x14ac:dyDescent="0.15">
      <c r="A14382" s="1"/>
    </row>
    <row r="14383" spans="1:1" x14ac:dyDescent="0.15">
      <c r="A14383" s="1"/>
    </row>
    <row r="14384" spans="1:1" x14ac:dyDescent="0.15">
      <c r="A14384" s="1"/>
    </row>
    <row r="14385" spans="1:1" x14ac:dyDescent="0.15">
      <c r="A14385" s="1"/>
    </row>
    <row r="14386" spans="1:1" x14ac:dyDescent="0.15">
      <c r="A14386" s="1"/>
    </row>
    <row r="14387" spans="1:1" x14ac:dyDescent="0.15">
      <c r="A14387" s="1"/>
    </row>
    <row r="14388" spans="1:1" x14ac:dyDescent="0.15">
      <c r="A14388" s="1"/>
    </row>
    <row r="14389" spans="1:1" x14ac:dyDescent="0.15">
      <c r="A14389" s="1"/>
    </row>
    <row r="14390" spans="1:1" x14ac:dyDescent="0.15">
      <c r="A14390" s="1"/>
    </row>
    <row r="14391" spans="1:1" x14ac:dyDescent="0.15">
      <c r="A14391" s="1"/>
    </row>
    <row r="14392" spans="1:1" x14ac:dyDescent="0.15">
      <c r="A14392" s="1"/>
    </row>
    <row r="14393" spans="1:1" x14ac:dyDescent="0.15">
      <c r="A14393" s="1"/>
    </row>
    <row r="14394" spans="1:1" x14ac:dyDescent="0.15">
      <c r="A14394" s="1"/>
    </row>
    <row r="14395" spans="1:1" x14ac:dyDescent="0.15">
      <c r="A14395" s="1"/>
    </row>
    <row r="14396" spans="1:1" x14ac:dyDescent="0.15">
      <c r="A14396" s="1"/>
    </row>
    <row r="14397" spans="1:1" x14ac:dyDescent="0.15">
      <c r="A14397" s="1"/>
    </row>
    <row r="14398" spans="1:1" x14ac:dyDescent="0.15">
      <c r="A14398" s="1"/>
    </row>
    <row r="14399" spans="1:1" x14ac:dyDescent="0.15">
      <c r="A14399" s="1"/>
    </row>
    <row r="14400" spans="1:1" x14ac:dyDescent="0.15">
      <c r="A14400" s="1"/>
    </row>
    <row r="14401" spans="1:1" x14ac:dyDescent="0.15">
      <c r="A14401" s="1"/>
    </row>
    <row r="14402" spans="1:1" x14ac:dyDescent="0.15">
      <c r="A14402" s="1"/>
    </row>
    <row r="14403" spans="1:1" x14ac:dyDescent="0.15">
      <c r="A14403" s="1"/>
    </row>
    <row r="14404" spans="1:1" x14ac:dyDescent="0.15">
      <c r="A14404" s="1"/>
    </row>
    <row r="14405" spans="1:1" x14ac:dyDescent="0.15">
      <c r="A14405" s="1"/>
    </row>
    <row r="14406" spans="1:1" x14ac:dyDescent="0.15">
      <c r="A14406" s="1"/>
    </row>
    <row r="14407" spans="1:1" x14ac:dyDescent="0.15">
      <c r="A14407" s="1"/>
    </row>
    <row r="14408" spans="1:1" x14ac:dyDescent="0.15">
      <c r="A14408" s="1"/>
    </row>
    <row r="14409" spans="1:1" x14ac:dyDescent="0.15">
      <c r="A14409" s="1"/>
    </row>
    <row r="14410" spans="1:1" x14ac:dyDescent="0.15">
      <c r="A14410" s="1"/>
    </row>
    <row r="14411" spans="1:1" x14ac:dyDescent="0.15">
      <c r="A14411" s="1"/>
    </row>
    <row r="14412" spans="1:1" x14ac:dyDescent="0.15">
      <c r="A14412" s="1"/>
    </row>
    <row r="14413" spans="1:1" x14ac:dyDescent="0.15">
      <c r="A14413" s="1"/>
    </row>
    <row r="14414" spans="1:1" x14ac:dyDescent="0.15">
      <c r="A14414" s="1"/>
    </row>
    <row r="14415" spans="1:1" x14ac:dyDescent="0.15">
      <c r="A14415" s="1"/>
    </row>
    <row r="14416" spans="1:1" x14ac:dyDescent="0.15">
      <c r="A14416" s="1"/>
    </row>
    <row r="14417" spans="1:1" x14ac:dyDescent="0.15">
      <c r="A14417" s="1"/>
    </row>
    <row r="14418" spans="1:1" x14ac:dyDescent="0.15">
      <c r="A14418" s="1"/>
    </row>
    <row r="14419" spans="1:1" x14ac:dyDescent="0.15">
      <c r="A14419" s="1"/>
    </row>
    <row r="14420" spans="1:1" x14ac:dyDescent="0.15">
      <c r="A14420" s="1"/>
    </row>
    <row r="14421" spans="1:1" x14ac:dyDescent="0.15">
      <c r="A14421" s="1"/>
    </row>
    <row r="14422" spans="1:1" x14ac:dyDescent="0.15">
      <c r="A14422" s="1"/>
    </row>
    <row r="14423" spans="1:1" x14ac:dyDescent="0.15">
      <c r="A14423" s="1"/>
    </row>
    <row r="14424" spans="1:1" x14ac:dyDescent="0.15">
      <c r="A14424" s="1"/>
    </row>
    <row r="14425" spans="1:1" x14ac:dyDescent="0.15">
      <c r="A14425" s="1"/>
    </row>
    <row r="14426" spans="1:1" x14ac:dyDescent="0.15">
      <c r="A14426" s="1"/>
    </row>
    <row r="14427" spans="1:1" x14ac:dyDescent="0.15">
      <c r="A14427" s="1"/>
    </row>
    <row r="14428" spans="1:1" x14ac:dyDescent="0.15">
      <c r="A14428" s="1"/>
    </row>
    <row r="14429" spans="1:1" x14ac:dyDescent="0.15">
      <c r="A14429" s="1"/>
    </row>
    <row r="14430" spans="1:1" x14ac:dyDescent="0.15">
      <c r="A14430" s="1"/>
    </row>
    <row r="14431" spans="1:1" x14ac:dyDescent="0.15">
      <c r="A14431" s="1"/>
    </row>
    <row r="14432" spans="1:1" x14ac:dyDescent="0.15">
      <c r="A14432" s="1"/>
    </row>
    <row r="14433" spans="1:1" x14ac:dyDescent="0.15">
      <c r="A14433" s="1"/>
    </row>
    <row r="14434" spans="1:1" x14ac:dyDescent="0.15">
      <c r="A14434" s="1"/>
    </row>
    <row r="14435" spans="1:1" x14ac:dyDescent="0.15">
      <c r="A14435" s="1"/>
    </row>
    <row r="14436" spans="1:1" x14ac:dyDescent="0.15">
      <c r="A14436" s="1"/>
    </row>
    <row r="14437" spans="1:1" x14ac:dyDescent="0.15">
      <c r="A14437" s="1"/>
    </row>
    <row r="14438" spans="1:1" x14ac:dyDescent="0.15">
      <c r="A14438" s="1"/>
    </row>
    <row r="14439" spans="1:1" x14ac:dyDescent="0.15">
      <c r="A14439" s="1"/>
    </row>
    <row r="14440" spans="1:1" x14ac:dyDescent="0.15">
      <c r="A14440" s="1"/>
    </row>
    <row r="14441" spans="1:1" x14ac:dyDescent="0.15">
      <c r="A14441" s="1"/>
    </row>
    <row r="14442" spans="1:1" x14ac:dyDescent="0.15">
      <c r="A14442" s="1"/>
    </row>
    <row r="14443" spans="1:1" x14ac:dyDescent="0.15">
      <c r="A14443" s="1"/>
    </row>
    <row r="14444" spans="1:1" x14ac:dyDescent="0.15">
      <c r="A14444" s="1"/>
    </row>
    <row r="14445" spans="1:1" x14ac:dyDescent="0.15">
      <c r="A14445" s="1"/>
    </row>
    <row r="14446" spans="1:1" x14ac:dyDescent="0.15">
      <c r="A14446" s="1"/>
    </row>
    <row r="14447" spans="1:1" x14ac:dyDescent="0.15">
      <c r="A14447" s="1"/>
    </row>
    <row r="14448" spans="1:1" x14ac:dyDescent="0.15">
      <c r="A14448" s="1"/>
    </row>
    <row r="14449" spans="1:1" x14ac:dyDescent="0.15">
      <c r="A14449" s="1"/>
    </row>
    <row r="14450" spans="1:1" x14ac:dyDescent="0.15">
      <c r="A14450" s="1"/>
    </row>
    <row r="14451" spans="1:1" x14ac:dyDescent="0.15">
      <c r="A14451" s="1"/>
    </row>
    <row r="14452" spans="1:1" x14ac:dyDescent="0.15">
      <c r="A14452" s="1"/>
    </row>
    <row r="14453" spans="1:1" x14ac:dyDescent="0.15">
      <c r="A14453" s="1"/>
    </row>
    <row r="14454" spans="1:1" x14ac:dyDescent="0.15">
      <c r="A14454" s="1"/>
    </row>
    <row r="14455" spans="1:1" x14ac:dyDescent="0.15">
      <c r="A14455" s="1"/>
    </row>
    <row r="14456" spans="1:1" x14ac:dyDescent="0.15">
      <c r="A14456" s="1"/>
    </row>
    <row r="14457" spans="1:1" x14ac:dyDescent="0.15">
      <c r="A14457" s="1"/>
    </row>
    <row r="14458" spans="1:1" x14ac:dyDescent="0.15">
      <c r="A14458" s="1"/>
    </row>
    <row r="14459" spans="1:1" x14ac:dyDescent="0.15">
      <c r="A14459" s="1"/>
    </row>
    <row r="14460" spans="1:1" x14ac:dyDescent="0.15">
      <c r="A14460" s="1"/>
    </row>
    <row r="14461" spans="1:1" x14ac:dyDescent="0.15">
      <c r="A14461" s="1"/>
    </row>
    <row r="14462" spans="1:1" x14ac:dyDescent="0.15">
      <c r="A14462" s="1"/>
    </row>
    <row r="14463" spans="1:1" x14ac:dyDescent="0.15">
      <c r="A14463" s="1"/>
    </row>
    <row r="14464" spans="1:1" x14ac:dyDescent="0.15">
      <c r="A14464" s="1"/>
    </row>
    <row r="14465" spans="1:1" x14ac:dyDescent="0.15">
      <c r="A14465" s="1"/>
    </row>
    <row r="14466" spans="1:1" x14ac:dyDescent="0.15">
      <c r="A14466" s="1"/>
    </row>
    <row r="14467" spans="1:1" x14ac:dyDescent="0.15">
      <c r="A14467" s="1"/>
    </row>
    <row r="14468" spans="1:1" x14ac:dyDescent="0.15">
      <c r="A14468" s="1"/>
    </row>
    <row r="14469" spans="1:1" x14ac:dyDescent="0.15">
      <c r="A14469" s="1"/>
    </row>
    <row r="14470" spans="1:1" x14ac:dyDescent="0.15">
      <c r="A14470" s="1"/>
    </row>
    <row r="14471" spans="1:1" x14ac:dyDescent="0.15">
      <c r="A14471" s="1"/>
    </row>
    <row r="14472" spans="1:1" x14ac:dyDescent="0.15">
      <c r="A14472" s="1"/>
    </row>
    <row r="14473" spans="1:1" x14ac:dyDescent="0.15">
      <c r="A14473" s="1"/>
    </row>
    <row r="14474" spans="1:1" x14ac:dyDescent="0.15">
      <c r="A14474" s="1"/>
    </row>
    <row r="14475" spans="1:1" x14ac:dyDescent="0.15">
      <c r="A14475" s="1"/>
    </row>
    <row r="14476" spans="1:1" x14ac:dyDescent="0.15">
      <c r="A14476" s="1"/>
    </row>
    <row r="14477" spans="1:1" x14ac:dyDescent="0.15">
      <c r="A14477" s="1"/>
    </row>
    <row r="14478" spans="1:1" x14ac:dyDescent="0.15">
      <c r="A14478" s="1"/>
    </row>
    <row r="14479" spans="1:1" x14ac:dyDescent="0.15">
      <c r="A14479" s="1"/>
    </row>
    <row r="14480" spans="1:1" x14ac:dyDescent="0.15">
      <c r="A14480" s="1"/>
    </row>
    <row r="14481" spans="1:1" x14ac:dyDescent="0.15">
      <c r="A14481" s="1"/>
    </row>
    <row r="14482" spans="1:1" x14ac:dyDescent="0.15">
      <c r="A14482" s="1"/>
    </row>
    <row r="14483" spans="1:1" x14ac:dyDescent="0.15">
      <c r="A14483" s="1"/>
    </row>
    <row r="14484" spans="1:1" x14ac:dyDescent="0.15">
      <c r="A14484" s="1"/>
    </row>
    <row r="14485" spans="1:1" x14ac:dyDescent="0.15">
      <c r="A14485" s="1"/>
    </row>
    <row r="14486" spans="1:1" x14ac:dyDescent="0.15">
      <c r="A14486" s="1"/>
    </row>
    <row r="14487" spans="1:1" x14ac:dyDescent="0.15">
      <c r="A14487" s="1"/>
    </row>
    <row r="14488" spans="1:1" x14ac:dyDescent="0.15">
      <c r="A14488" s="1"/>
    </row>
    <row r="14489" spans="1:1" x14ac:dyDescent="0.15">
      <c r="A14489" s="1"/>
    </row>
    <row r="14490" spans="1:1" x14ac:dyDescent="0.15">
      <c r="A14490" s="1"/>
    </row>
    <row r="14491" spans="1:1" x14ac:dyDescent="0.15">
      <c r="A14491" s="1"/>
    </row>
    <row r="14492" spans="1:1" x14ac:dyDescent="0.15">
      <c r="A14492" s="1"/>
    </row>
    <row r="14493" spans="1:1" x14ac:dyDescent="0.15">
      <c r="A14493" s="1"/>
    </row>
    <row r="14494" spans="1:1" x14ac:dyDescent="0.15">
      <c r="A14494" s="1"/>
    </row>
    <row r="14495" spans="1:1" x14ac:dyDescent="0.15">
      <c r="A14495" s="1"/>
    </row>
    <row r="14496" spans="1:1" x14ac:dyDescent="0.15">
      <c r="A14496" s="1"/>
    </row>
    <row r="14497" spans="1:1" x14ac:dyDescent="0.15">
      <c r="A14497" s="1"/>
    </row>
    <row r="14498" spans="1:1" x14ac:dyDescent="0.15">
      <c r="A14498" s="1"/>
    </row>
    <row r="14499" spans="1:1" x14ac:dyDescent="0.15">
      <c r="A14499" s="1"/>
    </row>
    <row r="14500" spans="1:1" x14ac:dyDescent="0.15">
      <c r="A14500" s="1"/>
    </row>
    <row r="14501" spans="1:1" x14ac:dyDescent="0.15">
      <c r="A14501" s="1"/>
    </row>
    <row r="14502" spans="1:1" x14ac:dyDescent="0.15">
      <c r="A14502" s="1"/>
    </row>
    <row r="14503" spans="1:1" x14ac:dyDescent="0.15">
      <c r="A14503" s="1"/>
    </row>
    <row r="14504" spans="1:1" x14ac:dyDescent="0.15">
      <c r="A14504" s="1"/>
    </row>
    <row r="14505" spans="1:1" x14ac:dyDescent="0.15">
      <c r="A14505" s="1"/>
    </row>
    <row r="14506" spans="1:1" x14ac:dyDescent="0.15">
      <c r="A14506" s="1"/>
    </row>
    <row r="14507" spans="1:1" x14ac:dyDescent="0.15">
      <c r="A14507" s="1"/>
    </row>
    <row r="14508" spans="1:1" x14ac:dyDescent="0.15">
      <c r="A14508" s="1"/>
    </row>
    <row r="14509" spans="1:1" x14ac:dyDescent="0.15">
      <c r="A14509" s="1"/>
    </row>
    <row r="14510" spans="1:1" x14ac:dyDescent="0.15">
      <c r="A14510" s="1"/>
    </row>
    <row r="14511" spans="1:1" x14ac:dyDescent="0.15">
      <c r="A14511" s="1"/>
    </row>
    <row r="14512" spans="1:1" x14ac:dyDescent="0.15">
      <c r="A14512" s="1"/>
    </row>
    <row r="14513" spans="1:1" x14ac:dyDescent="0.15">
      <c r="A14513" s="1"/>
    </row>
    <row r="14514" spans="1:1" x14ac:dyDescent="0.15">
      <c r="A14514" s="1"/>
    </row>
    <row r="14515" spans="1:1" x14ac:dyDescent="0.15">
      <c r="A14515" s="1"/>
    </row>
    <row r="14516" spans="1:1" x14ac:dyDescent="0.15">
      <c r="A14516" s="1"/>
    </row>
    <row r="14517" spans="1:1" x14ac:dyDescent="0.15">
      <c r="A14517" s="1"/>
    </row>
    <row r="14518" spans="1:1" x14ac:dyDescent="0.15">
      <c r="A14518" s="1"/>
    </row>
    <row r="14519" spans="1:1" x14ac:dyDescent="0.15">
      <c r="A14519" s="1"/>
    </row>
    <row r="14520" spans="1:1" x14ac:dyDescent="0.15">
      <c r="A14520" s="1"/>
    </row>
    <row r="14521" spans="1:1" x14ac:dyDescent="0.15">
      <c r="A14521" s="1"/>
    </row>
    <row r="14522" spans="1:1" x14ac:dyDescent="0.15">
      <c r="A14522" s="1"/>
    </row>
    <row r="14523" spans="1:1" x14ac:dyDescent="0.15">
      <c r="A14523" s="1"/>
    </row>
    <row r="14524" spans="1:1" x14ac:dyDescent="0.15">
      <c r="A14524" s="1"/>
    </row>
    <row r="14525" spans="1:1" x14ac:dyDescent="0.15">
      <c r="A14525" s="1"/>
    </row>
    <row r="14526" spans="1:1" x14ac:dyDescent="0.15">
      <c r="A14526" s="1"/>
    </row>
    <row r="14527" spans="1:1" x14ac:dyDescent="0.15">
      <c r="A14527" s="1"/>
    </row>
    <row r="14528" spans="1:1" x14ac:dyDescent="0.15">
      <c r="A14528" s="1"/>
    </row>
    <row r="14529" spans="1:1" x14ac:dyDescent="0.15">
      <c r="A14529" s="1"/>
    </row>
    <row r="14530" spans="1:1" x14ac:dyDescent="0.15">
      <c r="A14530" s="1"/>
    </row>
    <row r="14531" spans="1:1" x14ac:dyDescent="0.15">
      <c r="A14531" s="1"/>
    </row>
    <row r="14532" spans="1:1" x14ac:dyDescent="0.15">
      <c r="A14532" s="1"/>
    </row>
    <row r="14533" spans="1:1" x14ac:dyDescent="0.15">
      <c r="A14533" s="1"/>
    </row>
    <row r="14534" spans="1:1" x14ac:dyDescent="0.15">
      <c r="A14534" s="1"/>
    </row>
    <row r="14535" spans="1:1" x14ac:dyDescent="0.15">
      <c r="A14535" s="1"/>
    </row>
    <row r="14536" spans="1:1" x14ac:dyDescent="0.15">
      <c r="A14536" s="1"/>
    </row>
    <row r="14537" spans="1:1" x14ac:dyDescent="0.15">
      <c r="A14537" s="1"/>
    </row>
    <row r="14538" spans="1:1" x14ac:dyDescent="0.15">
      <c r="A14538" s="1"/>
    </row>
    <row r="14539" spans="1:1" x14ac:dyDescent="0.15">
      <c r="A14539" s="1"/>
    </row>
    <row r="14540" spans="1:1" x14ac:dyDescent="0.15">
      <c r="A14540" s="1"/>
    </row>
    <row r="14541" spans="1:1" x14ac:dyDescent="0.15">
      <c r="A14541" s="1"/>
    </row>
    <row r="14542" spans="1:1" x14ac:dyDescent="0.15">
      <c r="A14542" s="1"/>
    </row>
    <row r="14543" spans="1:1" x14ac:dyDescent="0.15">
      <c r="A14543" s="1"/>
    </row>
    <row r="14544" spans="1:1" x14ac:dyDescent="0.15">
      <c r="A14544" s="1"/>
    </row>
    <row r="14545" spans="1:1" x14ac:dyDescent="0.15">
      <c r="A14545" s="1"/>
    </row>
    <row r="14546" spans="1:1" x14ac:dyDescent="0.15">
      <c r="A14546" s="1"/>
    </row>
    <row r="14547" spans="1:1" x14ac:dyDescent="0.15">
      <c r="A14547" s="1"/>
    </row>
    <row r="14548" spans="1:1" x14ac:dyDescent="0.15">
      <c r="A14548" s="1"/>
    </row>
    <row r="14549" spans="1:1" x14ac:dyDescent="0.15">
      <c r="A14549" s="1"/>
    </row>
    <row r="14550" spans="1:1" x14ac:dyDescent="0.15">
      <c r="A14550" s="1"/>
    </row>
    <row r="14551" spans="1:1" x14ac:dyDescent="0.15">
      <c r="A14551" s="1"/>
    </row>
    <row r="14552" spans="1:1" x14ac:dyDescent="0.15">
      <c r="A14552" s="1"/>
    </row>
    <row r="14553" spans="1:1" x14ac:dyDescent="0.15">
      <c r="A14553" s="1"/>
    </row>
    <row r="14554" spans="1:1" x14ac:dyDescent="0.15">
      <c r="A14554" s="1"/>
    </row>
    <row r="14555" spans="1:1" x14ac:dyDescent="0.15">
      <c r="A14555" s="1"/>
    </row>
    <row r="14556" spans="1:1" x14ac:dyDescent="0.15">
      <c r="A14556" s="1"/>
    </row>
    <row r="14557" spans="1:1" x14ac:dyDescent="0.15">
      <c r="A14557" s="1"/>
    </row>
    <row r="14558" spans="1:1" x14ac:dyDescent="0.15">
      <c r="A14558" s="1"/>
    </row>
    <row r="14559" spans="1:1" x14ac:dyDescent="0.15">
      <c r="A14559" s="1"/>
    </row>
    <row r="14560" spans="1:1" x14ac:dyDescent="0.15">
      <c r="A14560" s="1"/>
    </row>
    <row r="14561" spans="1:1" x14ac:dyDescent="0.15">
      <c r="A14561" s="1"/>
    </row>
    <row r="14562" spans="1:1" x14ac:dyDescent="0.15">
      <c r="A14562" s="1"/>
    </row>
    <row r="14563" spans="1:1" x14ac:dyDescent="0.15">
      <c r="A14563" s="1"/>
    </row>
    <row r="14564" spans="1:1" x14ac:dyDescent="0.15">
      <c r="A14564" s="1"/>
    </row>
    <row r="14565" spans="1:1" x14ac:dyDescent="0.15">
      <c r="A14565" s="1"/>
    </row>
    <row r="14566" spans="1:1" x14ac:dyDescent="0.15">
      <c r="A14566" s="1"/>
    </row>
    <row r="14567" spans="1:1" x14ac:dyDescent="0.15">
      <c r="A14567" s="1"/>
    </row>
    <row r="14568" spans="1:1" x14ac:dyDescent="0.15">
      <c r="A14568" s="1"/>
    </row>
    <row r="14569" spans="1:1" x14ac:dyDescent="0.15">
      <c r="A14569" s="1"/>
    </row>
    <row r="14570" spans="1:1" x14ac:dyDescent="0.15">
      <c r="A14570" s="1"/>
    </row>
    <row r="14571" spans="1:1" x14ac:dyDescent="0.15">
      <c r="A14571" s="1"/>
    </row>
    <row r="14572" spans="1:1" x14ac:dyDescent="0.15">
      <c r="A14572" s="1"/>
    </row>
    <row r="14573" spans="1:1" x14ac:dyDescent="0.15">
      <c r="A14573" s="1"/>
    </row>
    <row r="14574" spans="1:1" x14ac:dyDescent="0.15">
      <c r="A14574" s="1"/>
    </row>
    <row r="14575" spans="1:1" x14ac:dyDescent="0.15">
      <c r="A14575" s="1"/>
    </row>
    <row r="14576" spans="1:1" x14ac:dyDescent="0.15">
      <c r="A14576" s="1"/>
    </row>
    <row r="14577" spans="1:1" x14ac:dyDescent="0.15">
      <c r="A14577" s="1"/>
    </row>
    <row r="14578" spans="1:1" x14ac:dyDescent="0.15">
      <c r="A14578" s="1"/>
    </row>
    <row r="14579" spans="1:1" x14ac:dyDescent="0.15">
      <c r="A14579" s="1"/>
    </row>
    <row r="14580" spans="1:1" x14ac:dyDescent="0.15">
      <c r="A14580" s="1"/>
    </row>
    <row r="14581" spans="1:1" x14ac:dyDescent="0.15">
      <c r="A14581" s="1"/>
    </row>
    <row r="14582" spans="1:1" x14ac:dyDescent="0.15">
      <c r="A14582" s="1"/>
    </row>
    <row r="14583" spans="1:1" x14ac:dyDescent="0.15">
      <c r="A14583" s="1"/>
    </row>
    <row r="14584" spans="1:1" x14ac:dyDescent="0.15">
      <c r="A14584" s="1"/>
    </row>
    <row r="14585" spans="1:1" x14ac:dyDescent="0.15">
      <c r="A14585" s="1"/>
    </row>
    <row r="14586" spans="1:1" x14ac:dyDescent="0.15">
      <c r="A14586" s="1"/>
    </row>
    <row r="14587" spans="1:1" x14ac:dyDescent="0.15">
      <c r="A14587" s="1"/>
    </row>
    <row r="14588" spans="1:1" x14ac:dyDescent="0.15">
      <c r="A14588" s="1"/>
    </row>
    <row r="14589" spans="1:1" x14ac:dyDescent="0.15">
      <c r="A14589" s="1"/>
    </row>
    <row r="14590" spans="1:1" x14ac:dyDescent="0.15">
      <c r="A14590" s="1"/>
    </row>
    <row r="14591" spans="1:1" x14ac:dyDescent="0.15">
      <c r="A14591" s="1"/>
    </row>
    <row r="14592" spans="1:1" x14ac:dyDescent="0.15">
      <c r="A14592" s="1"/>
    </row>
    <row r="14593" spans="1:1" x14ac:dyDescent="0.15">
      <c r="A14593" s="1"/>
    </row>
    <row r="14594" spans="1:1" x14ac:dyDescent="0.15">
      <c r="A14594" s="1"/>
    </row>
    <row r="14595" spans="1:1" x14ac:dyDescent="0.15">
      <c r="A14595" s="1"/>
    </row>
    <row r="14596" spans="1:1" x14ac:dyDescent="0.15">
      <c r="A14596" s="1"/>
    </row>
    <row r="14597" spans="1:1" x14ac:dyDescent="0.15">
      <c r="A14597" s="1"/>
    </row>
    <row r="14598" spans="1:1" x14ac:dyDescent="0.15">
      <c r="A14598" s="1"/>
    </row>
    <row r="14599" spans="1:1" x14ac:dyDescent="0.15">
      <c r="A14599" s="1"/>
    </row>
    <row r="14600" spans="1:1" x14ac:dyDescent="0.15">
      <c r="A14600" s="1"/>
    </row>
    <row r="14601" spans="1:1" x14ac:dyDescent="0.15">
      <c r="A14601" s="1"/>
    </row>
    <row r="14602" spans="1:1" x14ac:dyDescent="0.15">
      <c r="A14602" s="1"/>
    </row>
    <row r="14603" spans="1:1" x14ac:dyDescent="0.15">
      <c r="A14603" s="1"/>
    </row>
    <row r="14604" spans="1:1" x14ac:dyDescent="0.15">
      <c r="A14604" s="1"/>
    </row>
    <row r="14605" spans="1:1" x14ac:dyDescent="0.15">
      <c r="A14605" s="1"/>
    </row>
    <row r="14606" spans="1:1" x14ac:dyDescent="0.15">
      <c r="A14606" s="1"/>
    </row>
    <row r="14607" spans="1:1" x14ac:dyDescent="0.15">
      <c r="A14607" s="1"/>
    </row>
    <row r="14608" spans="1:1" x14ac:dyDescent="0.15">
      <c r="A14608" s="1"/>
    </row>
    <row r="14609" spans="1:1" x14ac:dyDescent="0.15">
      <c r="A14609" s="1"/>
    </row>
    <row r="14610" spans="1:1" x14ac:dyDescent="0.15">
      <c r="A14610" s="1"/>
    </row>
    <row r="14611" spans="1:1" x14ac:dyDescent="0.15">
      <c r="A14611" s="1"/>
    </row>
    <row r="14612" spans="1:1" x14ac:dyDescent="0.15">
      <c r="A14612" s="1"/>
    </row>
    <row r="14613" spans="1:1" x14ac:dyDescent="0.15">
      <c r="A14613" s="1"/>
    </row>
    <row r="14614" spans="1:1" x14ac:dyDescent="0.15">
      <c r="A14614" s="1"/>
    </row>
    <row r="14615" spans="1:1" x14ac:dyDescent="0.15">
      <c r="A14615" s="1"/>
    </row>
    <row r="14616" spans="1:1" x14ac:dyDescent="0.15">
      <c r="A14616" s="1"/>
    </row>
    <row r="14617" spans="1:1" x14ac:dyDescent="0.15">
      <c r="A14617" s="1"/>
    </row>
    <row r="14618" spans="1:1" x14ac:dyDescent="0.15">
      <c r="A14618" s="1"/>
    </row>
    <row r="14619" spans="1:1" x14ac:dyDescent="0.15">
      <c r="A14619" s="1"/>
    </row>
    <row r="14620" spans="1:1" x14ac:dyDescent="0.15">
      <c r="A14620" s="1"/>
    </row>
    <row r="14621" spans="1:1" x14ac:dyDescent="0.15">
      <c r="A14621" s="1"/>
    </row>
    <row r="14622" spans="1:1" x14ac:dyDescent="0.15">
      <c r="A14622" s="1"/>
    </row>
    <row r="14623" spans="1:1" x14ac:dyDescent="0.15">
      <c r="A14623" s="1"/>
    </row>
    <row r="14624" spans="1:1" x14ac:dyDescent="0.15">
      <c r="A14624" s="1"/>
    </row>
    <row r="14625" spans="1:1" x14ac:dyDescent="0.15">
      <c r="A14625" s="1"/>
    </row>
    <row r="14626" spans="1:1" x14ac:dyDescent="0.15">
      <c r="A14626" s="1"/>
    </row>
    <row r="14627" spans="1:1" x14ac:dyDescent="0.15">
      <c r="A14627" s="1"/>
    </row>
    <row r="14628" spans="1:1" x14ac:dyDescent="0.15">
      <c r="A14628" s="1"/>
    </row>
    <row r="14629" spans="1:1" x14ac:dyDescent="0.15">
      <c r="A14629" s="1"/>
    </row>
    <row r="14630" spans="1:1" x14ac:dyDescent="0.15">
      <c r="A14630" s="1"/>
    </row>
    <row r="14631" spans="1:1" x14ac:dyDescent="0.15">
      <c r="A14631" s="1"/>
    </row>
    <row r="14632" spans="1:1" x14ac:dyDescent="0.15">
      <c r="A14632" s="1"/>
    </row>
    <row r="14633" spans="1:1" x14ac:dyDescent="0.15">
      <c r="A14633" s="1"/>
    </row>
    <row r="14634" spans="1:1" x14ac:dyDescent="0.15">
      <c r="A14634" s="1"/>
    </row>
    <row r="14635" spans="1:1" x14ac:dyDescent="0.15">
      <c r="A14635" s="1"/>
    </row>
    <row r="14636" spans="1:1" x14ac:dyDescent="0.15">
      <c r="A14636" s="1"/>
    </row>
    <row r="14637" spans="1:1" x14ac:dyDescent="0.15">
      <c r="A14637" s="1"/>
    </row>
    <row r="14638" spans="1:1" x14ac:dyDescent="0.15">
      <c r="A14638" s="1"/>
    </row>
    <row r="14639" spans="1:1" x14ac:dyDescent="0.15">
      <c r="A14639" s="1"/>
    </row>
    <row r="14640" spans="1:1" x14ac:dyDescent="0.15">
      <c r="A14640" s="1"/>
    </row>
    <row r="14641" spans="1:1" x14ac:dyDescent="0.15">
      <c r="A14641" s="1"/>
    </row>
    <row r="14642" spans="1:1" x14ac:dyDescent="0.15">
      <c r="A14642" s="1"/>
    </row>
    <row r="14643" spans="1:1" x14ac:dyDescent="0.15">
      <c r="A14643" s="1"/>
    </row>
    <row r="14644" spans="1:1" x14ac:dyDescent="0.15">
      <c r="A14644" s="1"/>
    </row>
    <row r="14645" spans="1:1" x14ac:dyDescent="0.15">
      <c r="A14645" s="1"/>
    </row>
    <row r="14646" spans="1:1" x14ac:dyDescent="0.15">
      <c r="A14646" s="1"/>
    </row>
    <row r="14647" spans="1:1" x14ac:dyDescent="0.15">
      <c r="A14647" s="1"/>
    </row>
    <row r="14648" spans="1:1" x14ac:dyDescent="0.15">
      <c r="A14648" s="1"/>
    </row>
    <row r="14649" spans="1:1" x14ac:dyDescent="0.15">
      <c r="A14649" s="1"/>
    </row>
    <row r="14650" spans="1:1" x14ac:dyDescent="0.15">
      <c r="A14650" s="1"/>
    </row>
    <row r="14651" spans="1:1" x14ac:dyDescent="0.15">
      <c r="A14651" s="1"/>
    </row>
    <row r="14652" spans="1:1" x14ac:dyDescent="0.15">
      <c r="A14652" s="1"/>
    </row>
    <row r="14653" spans="1:1" x14ac:dyDescent="0.15">
      <c r="A14653" s="1"/>
    </row>
    <row r="14654" spans="1:1" x14ac:dyDescent="0.15">
      <c r="A14654" s="1"/>
    </row>
    <row r="14655" spans="1:1" x14ac:dyDescent="0.15">
      <c r="A14655" s="1"/>
    </row>
    <row r="14656" spans="1:1" x14ac:dyDescent="0.15">
      <c r="A14656" s="1"/>
    </row>
    <row r="14657" spans="1:1" x14ac:dyDescent="0.15">
      <c r="A14657" s="1"/>
    </row>
    <row r="14658" spans="1:1" x14ac:dyDescent="0.15">
      <c r="A14658" s="1"/>
    </row>
    <row r="14659" spans="1:1" x14ac:dyDescent="0.15">
      <c r="A14659" s="1"/>
    </row>
    <row r="14660" spans="1:1" x14ac:dyDescent="0.15">
      <c r="A14660" s="1"/>
    </row>
    <row r="14661" spans="1:1" x14ac:dyDescent="0.15">
      <c r="A14661" s="1"/>
    </row>
    <row r="14662" spans="1:1" x14ac:dyDescent="0.15">
      <c r="A14662" s="1"/>
    </row>
    <row r="14663" spans="1:1" x14ac:dyDescent="0.15">
      <c r="A14663" s="1"/>
    </row>
    <row r="14664" spans="1:1" x14ac:dyDescent="0.15">
      <c r="A14664" s="1"/>
    </row>
    <row r="14665" spans="1:1" x14ac:dyDescent="0.15">
      <c r="A14665" s="1"/>
    </row>
    <row r="14666" spans="1:1" x14ac:dyDescent="0.15">
      <c r="A14666" s="1"/>
    </row>
    <row r="14667" spans="1:1" x14ac:dyDescent="0.15">
      <c r="A14667" s="1"/>
    </row>
    <row r="14668" spans="1:1" x14ac:dyDescent="0.15">
      <c r="A14668" s="1"/>
    </row>
    <row r="14669" spans="1:1" x14ac:dyDescent="0.15">
      <c r="A14669" s="1"/>
    </row>
    <row r="14670" spans="1:1" x14ac:dyDescent="0.15">
      <c r="A14670" s="1"/>
    </row>
    <row r="14671" spans="1:1" x14ac:dyDescent="0.15">
      <c r="A14671" s="1"/>
    </row>
    <row r="14672" spans="1:1" x14ac:dyDescent="0.15">
      <c r="A14672" s="1"/>
    </row>
    <row r="14673" spans="1:1" x14ac:dyDescent="0.15">
      <c r="A14673" s="1"/>
    </row>
    <row r="14674" spans="1:1" x14ac:dyDescent="0.15">
      <c r="A14674" s="1"/>
    </row>
    <row r="14675" spans="1:1" x14ac:dyDescent="0.15">
      <c r="A14675" s="1"/>
    </row>
    <row r="14676" spans="1:1" x14ac:dyDescent="0.15">
      <c r="A14676" s="1"/>
    </row>
    <row r="14677" spans="1:1" x14ac:dyDescent="0.15">
      <c r="A14677" s="1"/>
    </row>
    <row r="14678" spans="1:1" x14ac:dyDescent="0.15">
      <c r="A14678" s="1"/>
    </row>
    <row r="14679" spans="1:1" x14ac:dyDescent="0.15">
      <c r="A14679" s="1"/>
    </row>
    <row r="14680" spans="1:1" x14ac:dyDescent="0.15">
      <c r="A14680" s="1"/>
    </row>
    <row r="14681" spans="1:1" x14ac:dyDescent="0.15">
      <c r="A14681" s="1"/>
    </row>
    <row r="14682" spans="1:1" x14ac:dyDescent="0.15">
      <c r="A14682" s="1"/>
    </row>
    <row r="14683" spans="1:1" x14ac:dyDescent="0.15">
      <c r="A14683" s="1"/>
    </row>
    <row r="14684" spans="1:1" x14ac:dyDescent="0.15">
      <c r="A14684" s="1"/>
    </row>
    <row r="14685" spans="1:1" x14ac:dyDescent="0.15">
      <c r="A14685" s="1"/>
    </row>
    <row r="14686" spans="1:1" x14ac:dyDescent="0.15">
      <c r="A14686" s="1"/>
    </row>
    <row r="14687" spans="1:1" x14ac:dyDescent="0.15">
      <c r="A14687" s="1"/>
    </row>
    <row r="14688" spans="1:1" x14ac:dyDescent="0.15">
      <c r="A14688" s="1"/>
    </row>
    <row r="14689" spans="1:1" x14ac:dyDescent="0.15">
      <c r="A14689" s="1"/>
    </row>
    <row r="14690" spans="1:1" x14ac:dyDescent="0.15">
      <c r="A14690" s="1"/>
    </row>
    <row r="14691" spans="1:1" x14ac:dyDescent="0.15">
      <c r="A14691" s="1"/>
    </row>
    <row r="14692" spans="1:1" x14ac:dyDescent="0.15">
      <c r="A14692" s="1"/>
    </row>
    <row r="14693" spans="1:1" x14ac:dyDescent="0.15">
      <c r="A14693" s="1"/>
    </row>
    <row r="14694" spans="1:1" x14ac:dyDescent="0.15">
      <c r="A14694" s="1"/>
    </row>
    <row r="14695" spans="1:1" x14ac:dyDescent="0.15">
      <c r="A14695" s="1"/>
    </row>
    <row r="14696" spans="1:1" x14ac:dyDescent="0.15">
      <c r="A14696" s="1"/>
    </row>
    <row r="14697" spans="1:1" x14ac:dyDescent="0.15">
      <c r="A14697" s="1"/>
    </row>
    <row r="14698" spans="1:1" x14ac:dyDescent="0.15">
      <c r="A14698" s="1"/>
    </row>
    <row r="14699" spans="1:1" x14ac:dyDescent="0.15">
      <c r="A14699" s="1"/>
    </row>
    <row r="14700" spans="1:1" x14ac:dyDescent="0.15">
      <c r="A14700" s="1"/>
    </row>
    <row r="14701" spans="1:1" x14ac:dyDescent="0.15">
      <c r="A14701" s="1"/>
    </row>
    <row r="14702" spans="1:1" x14ac:dyDescent="0.15">
      <c r="A14702" s="1"/>
    </row>
    <row r="14703" spans="1:1" x14ac:dyDescent="0.15">
      <c r="A14703" s="1"/>
    </row>
    <row r="14704" spans="1:1" x14ac:dyDescent="0.15">
      <c r="A14704" s="1"/>
    </row>
    <row r="14705" spans="1:1" x14ac:dyDescent="0.15">
      <c r="A14705" s="1"/>
    </row>
    <row r="14706" spans="1:1" x14ac:dyDescent="0.15">
      <c r="A14706" s="1"/>
    </row>
    <row r="14707" spans="1:1" x14ac:dyDescent="0.15">
      <c r="A14707" s="1"/>
    </row>
    <row r="14708" spans="1:1" x14ac:dyDescent="0.15">
      <c r="A14708" s="1"/>
    </row>
    <row r="14709" spans="1:1" x14ac:dyDescent="0.15">
      <c r="A14709" s="1"/>
    </row>
    <row r="14710" spans="1:1" x14ac:dyDescent="0.15">
      <c r="A14710" s="1"/>
    </row>
    <row r="14711" spans="1:1" x14ac:dyDescent="0.15">
      <c r="A14711" s="1"/>
    </row>
    <row r="14712" spans="1:1" x14ac:dyDescent="0.15">
      <c r="A14712" s="1"/>
    </row>
    <row r="14713" spans="1:1" x14ac:dyDescent="0.15">
      <c r="A14713" s="1"/>
    </row>
    <row r="14714" spans="1:1" x14ac:dyDescent="0.15">
      <c r="A14714" s="1"/>
    </row>
    <row r="14715" spans="1:1" x14ac:dyDescent="0.15">
      <c r="A14715" s="1"/>
    </row>
    <row r="14716" spans="1:1" x14ac:dyDescent="0.15">
      <c r="A14716" s="1"/>
    </row>
    <row r="14717" spans="1:1" x14ac:dyDescent="0.15">
      <c r="A14717" s="1"/>
    </row>
    <row r="14718" spans="1:1" x14ac:dyDescent="0.15">
      <c r="A14718" s="1"/>
    </row>
    <row r="14719" spans="1:1" x14ac:dyDescent="0.15">
      <c r="A14719" s="1"/>
    </row>
    <row r="14720" spans="1:1" x14ac:dyDescent="0.15">
      <c r="A14720" s="1"/>
    </row>
    <row r="14721" spans="1:1" x14ac:dyDescent="0.15">
      <c r="A14721" s="1"/>
    </row>
    <row r="14722" spans="1:1" x14ac:dyDescent="0.15">
      <c r="A14722" s="1"/>
    </row>
    <row r="14723" spans="1:1" x14ac:dyDescent="0.15">
      <c r="A14723" s="1"/>
    </row>
    <row r="14724" spans="1:1" x14ac:dyDescent="0.15">
      <c r="A14724" s="1"/>
    </row>
    <row r="14725" spans="1:1" x14ac:dyDescent="0.15">
      <c r="A14725" s="1"/>
    </row>
    <row r="14726" spans="1:1" x14ac:dyDescent="0.15">
      <c r="A14726" s="1"/>
    </row>
    <row r="14727" spans="1:1" x14ac:dyDescent="0.15">
      <c r="A14727" s="1"/>
    </row>
    <row r="14728" spans="1:1" x14ac:dyDescent="0.15">
      <c r="A14728" s="1"/>
    </row>
    <row r="14729" spans="1:1" x14ac:dyDescent="0.15">
      <c r="A14729" s="1"/>
    </row>
    <row r="14730" spans="1:1" x14ac:dyDescent="0.15">
      <c r="A14730" s="1"/>
    </row>
    <row r="14731" spans="1:1" x14ac:dyDescent="0.15">
      <c r="A14731" s="1"/>
    </row>
    <row r="14732" spans="1:1" x14ac:dyDescent="0.15">
      <c r="A14732" s="1"/>
    </row>
    <row r="14733" spans="1:1" x14ac:dyDescent="0.15">
      <c r="A14733" s="1"/>
    </row>
    <row r="14734" spans="1:1" x14ac:dyDescent="0.15">
      <c r="A14734" s="1"/>
    </row>
    <row r="14735" spans="1:1" x14ac:dyDescent="0.15">
      <c r="A14735" s="1"/>
    </row>
    <row r="14736" spans="1:1" x14ac:dyDescent="0.15">
      <c r="A14736" s="1"/>
    </row>
    <row r="14737" spans="1:1" x14ac:dyDescent="0.15">
      <c r="A14737" s="1"/>
    </row>
    <row r="14738" spans="1:1" x14ac:dyDescent="0.15">
      <c r="A14738" s="1"/>
    </row>
    <row r="14739" spans="1:1" x14ac:dyDescent="0.15">
      <c r="A14739" s="1"/>
    </row>
    <row r="14740" spans="1:1" x14ac:dyDescent="0.15">
      <c r="A14740" s="1"/>
    </row>
    <row r="14741" spans="1:1" x14ac:dyDescent="0.15">
      <c r="A14741" s="1"/>
    </row>
    <row r="14742" spans="1:1" x14ac:dyDescent="0.15">
      <c r="A14742" s="1"/>
    </row>
    <row r="14743" spans="1:1" x14ac:dyDescent="0.15">
      <c r="A14743" s="1"/>
    </row>
    <row r="14744" spans="1:1" x14ac:dyDescent="0.15">
      <c r="A14744" s="1"/>
    </row>
    <row r="14745" spans="1:1" x14ac:dyDescent="0.15">
      <c r="A14745" s="1"/>
    </row>
    <row r="14746" spans="1:1" x14ac:dyDescent="0.15">
      <c r="A14746" s="1"/>
    </row>
    <row r="14747" spans="1:1" x14ac:dyDescent="0.15">
      <c r="A14747" s="1"/>
    </row>
    <row r="14748" spans="1:1" x14ac:dyDescent="0.15">
      <c r="A14748" s="1"/>
    </row>
    <row r="14749" spans="1:1" x14ac:dyDescent="0.15">
      <c r="A14749" s="1"/>
    </row>
    <row r="14750" spans="1:1" x14ac:dyDescent="0.15">
      <c r="A14750" s="1"/>
    </row>
    <row r="14751" spans="1:1" x14ac:dyDescent="0.15">
      <c r="A14751" s="1"/>
    </row>
    <row r="14752" spans="1:1" x14ac:dyDescent="0.15">
      <c r="A14752" s="1"/>
    </row>
    <row r="14753" spans="1:1" x14ac:dyDescent="0.15">
      <c r="A14753" s="1"/>
    </row>
    <row r="14754" spans="1:1" x14ac:dyDescent="0.15">
      <c r="A14754" s="1"/>
    </row>
    <row r="14755" spans="1:1" x14ac:dyDescent="0.15">
      <c r="A14755" s="1"/>
    </row>
    <row r="14756" spans="1:1" x14ac:dyDescent="0.15">
      <c r="A14756" s="1"/>
    </row>
    <row r="14757" spans="1:1" x14ac:dyDescent="0.15">
      <c r="A14757" s="1"/>
    </row>
    <row r="14758" spans="1:1" x14ac:dyDescent="0.15">
      <c r="A14758" s="1"/>
    </row>
    <row r="14759" spans="1:1" x14ac:dyDescent="0.15">
      <c r="A14759" s="1"/>
    </row>
    <row r="14760" spans="1:1" x14ac:dyDescent="0.15">
      <c r="A14760" s="1"/>
    </row>
    <row r="14761" spans="1:1" x14ac:dyDescent="0.15">
      <c r="A14761" s="1"/>
    </row>
    <row r="14762" spans="1:1" x14ac:dyDescent="0.15">
      <c r="A14762" s="1"/>
    </row>
    <row r="14763" spans="1:1" x14ac:dyDescent="0.15">
      <c r="A14763" s="1"/>
    </row>
    <row r="14764" spans="1:1" x14ac:dyDescent="0.15">
      <c r="A14764" s="1"/>
    </row>
    <row r="14765" spans="1:1" x14ac:dyDescent="0.15">
      <c r="A14765" s="1"/>
    </row>
    <row r="14766" spans="1:1" x14ac:dyDescent="0.15">
      <c r="A14766" s="1"/>
    </row>
    <row r="14767" spans="1:1" x14ac:dyDescent="0.15">
      <c r="A14767" s="1"/>
    </row>
    <row r="14768" spans="1:1" x14ac:dyDescent="0.15">
      <c r="A14768" s="1"/>
    </row>
    <row r="14769" spans="1:1" x14ac:dyDescent="0.15">
      <c r="A14769" s="1"/>
    </row>
    <row r="14770" spans="1:1" x14ac:dyDescent="0.15">
      <c r="A14770" s="1"/>
    </row>
    <row r="14771" spans="1:1" x14ac:dyDescent="0.15">
      <c r="A14771" s="1"/>
    </row>
    <row r="14772" spans="1:1" x14ac:dyDescent="0.15">
      <c r="A14772" s="1"/>
    </row>
    <row r="14773" spans="1:1" x14ac:dyDescent="0.15">
      <c r="A14773" s="1"/>
    </row>
    <row r="14774" spans="1:1" x14ac:dyDescent="0.15">
      <c r="A14774" s="1"/>
    </row>
    <row r="14775" spans="1:1" x14ac:dyDescent="0.15">
      <c r="A14775" s="1"/>
    </row>
    <row r="14776" spans="1:1" x14ac:dyDescent="0.15">
      <c r="A14776" s="1"/>
    </row>
    <row r="14777" spans="1:1" x14ac:dyDescent="0.15">
      <c r="A14777" s="1"/>
    </row>
    <row r="14778" spans="1:1" x14ac:dyDescent="0.15">
      <c r="A14778" s="1"/>
    </row>
    <row r="14779" spans="1:1" x14ac:dyDescent="0.15">
      <c r="A14779" s="1"/>
    </row>
    <row r="14780" spans="1:1" x14ac:dyDescent="0.15">
      <c r="A14780" s="1"/>
    </row>
    <row r="14781" spans="1:1" x14ac:dyDescent="0.15">
      <c r="A14781" s="1"/>
    </row>
    <row r="14782" spans="1:1" x14ac:dyDescent="0.15">
      <c r="A14782" s="1"/>
    </row>
    <row r="14783" spans="1:1" x14ac:dyDescent="0.15">
      <c r="A14783" s="1"/>
    </row>
    <row r="14784" spans="1:1" x14ac:dyDescent="0.15">
      <c r="A14784" s="1"/>
    </row>
    <row r="14785" spans="1:1" x14ac:dyDescent="0.15">
      <c r="A14785" s="1"/>
    </row>
    <row r="14786" spans="1:1" x14ac:dyDescent="0.15">
      <c r="A14786" s="1"/>
    </row>
    <row r="14787" spans="1:1" x14ac:dyDescent="0.15">
      <c r="A14787" s="1"/>
    </row>
    <row r="14788" spans="1:1" x14ac:dyDescent="0.15">
      <c r="A14788" s="1"/>
    </row>
    <row r="14789" spans="1:1" x14ac:dyDescent="0.15">
      <c r="A14789" s="1"/>
    </row>
    <row r="14790" spans="1:1" x14ac:dyDescent="0.15">
      <c r="A14790" s="1"/>
    </row>
    <row r="14791" spans="1:1" x14ac:dyDescent="0.15">
      <c r="A14791" s="1"/>
    </row>
    <row r="14792" spans="1:1" x14ac:dyDescent="0.15">
      <c r="A14792" s="1"/>
    </row>
    <row r="14793" spans="1:1" x14ac:dyDescent="0.15">
      <c r="A14793" s="1"/>
    </row>
    <row r="14794" spans="1:1" x14ac:dyDescent="0.15">
      <c r="A14794" s="1"/>
    </row>
    <row r="14795" spans="1:1" x14ac:dyDescent="0.15">
      <c r="A14795" s="1"/>
    </row>
    <row r="14796" spans="1:1" x14ac:dyDescent="0.15">
      <c r="A14796" s="1"/>
    </row>
    <row r="14797" spans="1:1" x14ac:dyDescent="0.15">
      <c r="A14797" s="1"/>
    </row>
    <row r="14798" spans="1:1" x14ac:dyDescent="0.15">
      <c r="A14798" s="1"/>
    </row>
    <row r="14799" spans="1:1" x14ac:dyDescent="0.15">
      <c r="A14799" s="1"/>
    </row>
    <row r="14800" spans="1:1" x14ac:dyDescent="0.15">
      <c r="A14800" s="1"/>
    </row>
    <row r="14801" spans="1:1" x14ac:dyDescent="0.15">
      <c r="A14801" s="1"/>
    </row>
    <row r="14802" spans="1:1" x14ac:dyDescent="0.15">
      <c r="A14802" s="1"/>
    </row>
    <row r="14803" spans="1:1" x14ac:dyDescent="0.15">
      <c r="A14803" s="1"/>
    </row>
    <row r="14804" spans="1:1" x14ac:dyDescent="0.15">
      <c r="A14804" s="1"/>
    </row>
    <row r="14805" spans="1:1" x14ac:dyDescent="0.15">
      <c r="A14805" s="1"/>
    </row>
    <row r="14806" spans="1:1" x14ac:dyDescent="0.15">
      <c r="A14806" s="1"/>
    </row>
    <row r="14807" spans="1:1" x14ac:dyDescent="0.15">
      <c r="A14807" s="1"/>
    </row>
    <row r="14808" spans="1:1" x14ac:dyDescent="0.15">
      <c r="A14808" s="1"/>
    </row>
    <row r="14809" spans="1:1" x14ac:dyDescent="0.15">
      <c r="A14809" s="1"/>
    </row>
    <row r="14810" spans="1:1" x14ac:dyDescent="0.15">
      <c r="A14810" s="1"/>
    </row>
    <row r="14811" spans="1:1" x14ac:dyDescent="0.15">
      <c r="A14811" s="1"/>
    </row>
    <row r="14812" spans="1:1" x14ac:dyDescent="0.15">
      <c r="A14812" s="1"/>
    </row>
    <row r="14813" spans="1:1" x14ac:dyDescent="0.15">
      <c r="A14813" s="1"/>
    </row>
    <row r="14814" spans="1:1" x14ac:dyDescent="0.15">
      <c r="A14814" s="1"/>
    </row>
    <row r="14815" spans="1:1" x14ac:dyDescent="0.15">
      <c r="A14815" s="1"/>
    </row>
    <row r="14816" spans="1:1" x14ac:dyDescent="0.15">
      <c r="A14816" s="1"/>
    </row>
    <row r="14817" spans="1:1" x14ac:dyDescent="0.15">
      <c r="A14817" s="1"/>
    </row>
    <row r="14818" spans="1:1" x14ac:dyDescent="0.15">
      <c r="A14818" s="1"/>
    </row>
    <row r="14819" spans="1:1" x14ac:dyDescent="0.15">
      <c r="A14819" s="1"/>
    </row>
    <row r="14820" spans="1:1" x14ac:dyDescent="0.15">
      <c r="A14820" s="1"/>
    </row>
    <row r="14821" spans="1:1" x14ac:dyDescent="0.15">
      <c r="A14821" s="1"/>
    </row>
    <row r="14822" spans="1:1" x14ac:dyDescent="0.15">
      <c r="A14822" s="1"/>
    </row>
    <row r="14823" spans="1:1" x14ac:dyDescent="0.15">
      <c r="A14823" s="1"/>
    </row>
    <row r="14824" spans="1:1" x14ac:dyDescent="0.15">
      <c r="A14824" s="1"/>
    </row>
    <row r="14825" spans="1:1" x14ac:dyDescent="0.15">
      <c r="A14825" s="1"/>
    </row>
    <row r="14826" spans="1:1" x14ac:dyDescent="0.15">
      <c r="A14826" s="1"/>
    </row>
    <row r="14827" spans="1:1" x14ac:dyDescent="0.15">
      <c r="A14827" s="1"/>
    </row>
    <row r="14828" spans="1:1" x14ac:dyDescent="0.15">
      <c r="A14828" s="1"/>
    </row>
    <row r="14829" spans="1:1" x14ac:dyDescent="0.15">
      <c r="A14829" s="1"/>
    </row>
    <row r="14830" spans="1:1" x14ac:dyDescent="0.15">
      <c r="A14830" s="1"/>
    </row>
    <row r="14831" spans="1:1" x14ac:dyDescent="0.15">
      <c r="A14831" s="1"/>
    </row>
    <row r="14832" spans="1:1" x14ac:dyDescent="0.15">
      <c r="A14832" s="1"/>
    </row>
    <row r="14833" spans="1:1" x14ac:dyDescent="0.15">
      <c r="A14833" s="1"/>
    </row>
    <row r="14834" spans="1:1" x14ac:dyDescent="0.15">
      <c r="A14834" s="1"/>
    </row>
    <row r="14835" spans="1:1" x14ac:dyDescent="0.15">
      <c r="A14835" s="1"/>
    </row>
    <row r="14836" spans="1:1" x14ac:dyDescent="0.15">
      <c r="A14836" s="1"/>
    </row>
    <row r="14837" spans="1:1" x14ac:dyDescent="0.15">
      <c r="A14837" s="1"/>
    </row>
    <row r="14838" spans="1:1" x14ac:dyDescent="0.15">
      <c r="A14838" s="1"/>
    </row>
    <row r="14839" spans="1:1" x14ac:dyDescent="0.15">
      <c r="A14839" s="1"/>
    </row>
    <row r="14840" spans="1:1" x14ac:dyDescent="0.15">
      <c r="A14840" s="1"/>
    </row>
    <row r="14841" spans="1:1" x14ac:dyDescent="0.15">
      <c r="A14841" s="1"/>
    </row>
    <row r="14842" spans="1:1" x14ac:dyDescent="0.15">
      <c r="A14842" s="1"/>
    </row>
    <row r="14843" spans="1:1" x14ac:dyDescent="0.15">
      <c r="A14843" s="1"/>
    </row>
    <row r="14844" spans="1:1" x14ac:dyDescent="0.15">
      <c r="A14844" s="1"/>
    </row>
    <row r="14845" spans="1:1" x14ac:dyDescent="0.15">
      <c r="A14845" s="1"/>
    </row>
    <row r="14846" spans="1:1" x14ac:dyDescent="0.15">
      <c r="A14846" s="1"/>
    </row>
    <row r="14847" spans="1:1" x14ac:dyDescent="0.15">
      <c r="A14847" s="1"/>
    </row>
    <row r="14848" spans="1:1" x14ac:dyDescent="0.15">
      <c r="A14848" s="1"/>
    </row>
    <row r="14849" spans="1:1" x14ac:dyDescent="0.15">
      <c r="A14849" s="1"/>
    </row>
    <row r="14850" spans="1:1" x14ac:dyDescent="0.15">
      <c r="A14850" s="1"/>
    </row>
    <row r="14851" spans="1:1" x14ac:dyDescent="0.15">
      <c r="A14851" s="1"/>
    </row>
    <row r="14852" spans="1:1" x14ac:dyDescent="0.15">
      <c r="A14852" s="1"/>
    </row>
    <row r="14853" spans="1:1" x14ac:dyDescent="0.15">
      <c r="A14853" s="1"/>
    </row>
    <row r="14854" spans="1:1" x14ac:dyDescent="0.15">
      <c r="A14854" s="1"/>
    </row>
    <row r="14855" spans="1:1" x14ac:dyDescent="0.15">
      <c r="A14855" s="1"/>
    </row>
    <row r="14856" spans="1:1" x14ac:dyDescent="0.15">
      <c r="A14856" s="1"/>
    </row>
    <row r="14857" spans="1:1" x14ac:dyDescent="0.15">
      <c r="A14857" s="1"/>
    </row>
    <row r="14858" spans="1:1" x14ac:dyDescent="0.15">
      <c r="A14858" s="1"/>
    </row>
    <row r="14859" spans="1:1" x14ac:dyDescent="0.15">
      <c r="A14859" s="1"/>
    </row>
    <row r="14860" spans="1:1" x14ac:dyDescent="0.15">
      <c r="A14860" s="1"/>
    </row>
    <row r="14861" spans="1:1" x14ac:dyDescent="0.15">
      <c r="A14861" s="1"/>
    </row>
    <row r="14862" spans="1:1" x14ac:dyDescent="0.15">
      <c r="A14862" s="1"/>
    </row>
    <row r="14863" spans="1:1" x14ac:dyDescent="0.15">
      <c r="A14863" s="1"/>
    </row>
    <row r="14864" spans="1:1" x14ac:dyDescent="0.15">
      <c r="A14864" s="1"/>
    </row>
    <row r="14865" spans="1:1" x14ac:dyDescent="0.15">
      <c r="A14865" s="1"/>
    </row>
    <row r="14866" spans="1:1" x14ac:dyDescent="0.15">
      <c r="A14866" s="1"/>
    </row>
    <row r="14867" spans="1:1" x14ac:dyDescent="0.15">
      <c r="A14867" s="1"/>
    </row>
    <row r="14868" spans="1:1" x14ac:dyDescent="0.15">
      <c r="A14868" s="1"/>
    </row>
    <row r="14869" spans="1:1" x14ac:dyDescent="0.15">
      <c r="A14869" s="1"/>
    </row>
    <row r="14870" spans="1:1" x14ac:dyDescent="0.15">
      <c r="A14870" s="1"/>
    </row>
    <row r="14871" spans="1:1" x14ac:dyDescent="0.15">
      <c r="A14871" s="1"/>
    </row>
    <row r="14872" spans="1:1" x14ac:dyDescent="0.15">
      <c r="A14872" s="1"/>
    </row>
    <row r="14873" spans="1:1" x14ac:dyDescent="0.15">
      <c r="A14873" s="1"/>
    </row>
    <row r="14874" spans="1:1" x14ac:dyDescent="0.15">
      <c r="A14874" s="1"/>
    </row>
    <row r="14875" spans="1:1" x14ac:dyDescent="0.15">
      <c r="A14875" s="1"/>
    </row>
    <row r="14876" spans="1:1" x14ac:dyDescent="0.15">
      <c r="A14876" s="1"/>
    </row>
    <row r="14877" spans="1:1" x14ac:dyDescent="0.15">
      <c r="A14877" s="1"/>
    </row>
    <row r="14878" spans="1:1" x14ac:dyDescent="0.15">
      <c r="A14878" s="1"/>
    </row>
    <row r="14879" spans="1:1" x14ac:dyDescent="0.15">
      <c r="A14879" s="1"/>
    </row>
    <row r="14880" spans="1:1" x14ac:dyDescent="0.15">
      <c r="A14880" s="1"/>
    </row>
    <row r="14881" spans="1:1" x14ac:dyDescent="0.15">
      <c r="A14881" s="1"/>
    </row>
    <row r="14882" spans="1:1" x14ac:dyDescent="0.15">
      <c r="A14882" s="1"/>
    </row>
    <row r="14883" spans="1:1" x14ac:dyDescent="0.15">
      <c r="A14883" s="1"/>
    </row>
    <row r="14884" spans="1:1" x14ac:dyDescent="0.15">
      <c r="A14884" s="1"/>
    </row>
    <row r="14885" spans="1:1" x14ac:dyDescent="0.15">
      <c r="A14885" s="1"/>
    </row>
    <row r="14886" spans="1:1" x14ac:dyDescent="0.15">
      <c r="A14886" s="1"/>
    </row>
    <row r="14887" spans="1:1" x14ac:dyDescent="0.15">
      <c r="A14887" s="1"/>
    </row>
    <row r="14888" spans="1:1" x14ac:dyDescent="0.15">
      <c r="A14888" s="1"/>
    </row>
    <row r="14889" spans="1:1" x14ac:dyDescent="0.15">
      <c r="A14889" s="1"/>
    </row>
    <row r="14890" spans="1:1" x14ac:dyDescent="0.15">
      <c r="A14890" s="1"/>
    </row>
    <row r="14891" spans="1:1" x14ac:dyDescent="0.15">
      <c r="A14891" s="1"/>
    </row>
    <row r="14892" spans="1:1" x14ac:dyDescent="0.15">
      <c r="A14892" s="1"/>
    </row>
    <row r="14893" spans="1:1" x14ac:dyDescent="0.15">
      <c r="A14893" s="1"/>
    </row>
    <row r="14894" spans="1:1" x14ac:dyDescent="0.15">
      <c r="A14894" s="1"/>
    </row>
    <row r="14895" spans="1:1" x14ac:dyDescent="0.15">
      <c r="A14895" s="1"/>
    </row>
    <row r="14896" spans="1:1" x14ac:dyDescent="0.15">
      <c r="A14896" s="1"/>
    </row>
    <row r="14897" spans="1:1" x14ac:dyDescent="0.15">
      <c r="A14897" s="1"/>
    </row>
    <row r="14898" spans="1:1" x14ac:dyDescent="0.15">
      <c r="A14898" s="1"/>
    </row>
    <row r="14899" spans="1:1" x14ac:dyDescent="0.15">
      <c r="A14899" s="1"/>
    </row>
    <row r="14900" spans="1:1" x14ac:dyDescent="0.15">
      <c r="A14900" s="1"/>
    </row>
    <row r="14901" spans="1:1" x14ac:dyDescent="0.15">
      <c r="A14901" s="1"/>
    </row>
    <row r="14902" spans="1:1" x14ac:dyDescent="0.15">
      <c r="A14902" s="1"/>
    </row>
    <row r="14903" spans="1:1" x14ac:dyDescent="0.15">
      <c r="A14903" s="1"/>
    </row>
    <row r="14904" spans="1:1" x14ac:dyDescent="0.15">
      <c r="A14904" s="1"/>
    </row>
    <row r="14905" spans="1:1" x14ac:dyDescent="0.15">
      <c r="A14905" s="1"/>
    </row>
    <row r="14906" spans="1:1" x14ac:dyDescent="0.15">
      <c r="A14906" s="1"/>
    </row>
    <row r="14907" spans="1:1" x14ac:dyDescent="0.15">
      <c r="A14907" s="1"/>
    </row>
    <row r="14908" spans="1:1" x14ac:dyDescent="0.15">
      <c r="A14908" s="1"/>
    </row>
    <row r="14909" spans="1:1" x14ac:dyDescent="0.15">
      <c r="A14909" s="1"/>
    </row>
    <row r="14910" spans="1:1" x14ac:dyDescent="0.15">
      <c r="A14910" s="1"/>
    </row>
    <row r="14911" spans="1:1" x14ac:dyDescent="0.15">
      <c r="A14911" s="1"/>
    </row>
    <row r="14912" spans="1:1" x14ac:dyDescent="0.15">
      <c r="A14912" s="1"/>
    </row>
    <row r="14913" spans="1:1" x14ac:dyDescent="0.15">
      <c r="A14913" s="1"/>
    </row>
    <row r="14914" spans="1:1" x14ac:dyDescent="0.15">
      <c r="A14914" s="1"/>
    </row>
    <row r="14915" spans="1:1" x14ac:dyDescent="0.15">
      <c r="A14915" s="1"/>
    </row>
    <row r="14916" spans="1:1" x14ac:dyDescent="0.15">
      <c r="A14916" s="1"/>
    </row>
    <row r="14917" spans="1:1" x14ac:dyDescent="0.15">
      <c r="A14917" s="1"/>
    </row>
    <row r="14918" spans="1:1" x14ac:dyDescent="0.15">
      <c r="A14918" s="1"/>
    </row>
    <row r="14919" spans="1:1" x14ac:dyDescent="0.15">
      <c r="A14919" s="1"/>
    </row>
    <row r="14920" spans="1:1" x14ac:dyDescent="0.15">
      <c r="A14920" s="1"/>
    </row>
    <row r="14921" spans="1:1" x14ac:dyDescent="0.15">
      <c r="A14921" s="1"/>
    </row>
    <row r="14922" spans="1:1" x14ac:dyDescent="0.15">
      <c r="A14922" s="1"/>
    </row>
    <row r="14923" spans="1:1" x14ac:dyDescent="0.15">
      <c r="A14923" s="1"/>
    </row>
    <row r="14924" spans="1:1" x14ac:dyDescent="0.15">
      <c r="A14924" s="1"/>
    </row>
    <row r="14925" spans="1:1" x14ac:dyDescent="0.15">
      <c r="A14925" s="1"/>
    </row>
    <row r="14926" spans="1:1" x14ac:dyDescent="0.15">
      <c r="A14926" s="1"/>
    </row>
    <row r="14927" spans="1:1" x14ac:dyDescent="0.15">
      <c r="A14927" s="1"/>
    </row>
    <row r="14928" spans="1:1" x14ac:dyDescent="0.15">
      <c r="A14928" s="1"/>
    </row>
    <row r="14929" spans="1:1" x14ac:dyDescent="0.15">
      <c r="A14929" s="1"/>
    </row>
    <row r="14930" spans="1:1" x14ac:dyDescent="0.15">
      <c r="A14930" s="1"/>
    </row>
    <row r="14931" spans="1:1" x14ac:dyDescent="0.15">
      <c r="A14931" s="1"/>
    </row>
    <row r="14932" spans="1:1" x14ac:dyDescent="0.15">
      <c r="A14932" s="1"/>
    </row>
    <row r="14933" spans="1:1" x14ac:dyDescent="0.15">
      <c r="A14933" s="1"/>
    </row>
    <row r="14934" spans="1:1" x14ac:dyDescent="0.15">
      <c r="A14934" s="1"/>
    </row>
    <row r="14935" spans="1:1" x14ac:dyDescent="0.15">
      <c r="A14935" s="1"/>
    </row>
    <row r="14936" spans="1:1" x14ac:dyDescent="0.15">
      <c r="A14936" s="1"/>
    </row>
    <row r="14937" spans="1:1" x14ac:dyDescent="0.15">
      <c r="A14937" s="1"/>
    </row>
    <row r="14938" spans="1:1" x14ac:dyDescent="0.15">
      <c r="A14938" s="1"/>
    </row>
    <row r="14939" spans="1:1" x14ac:dyDescent="0.15">
      <c r="A14939" s="1"/>
    </row>
    <row r="14940" spans="1:1" x14ac:dyDescent="0.15">
      <c r="A14940" s="1"/>
    </row>
    <row r="14941" spans="1:1" x14ac:dyDescent="0.15">
      <c r="A14941" s="1"/>
    </row>
    <row r="14942" spans="1:1" x14ac:dyDescent="0.15">
      <c r="A14942" s="1"/>
    </row>
    <row r="14943" spans="1:1" x14ac:dyDescent="0.15">
      <c r="A14943" s="1"/>
    </row>
    <row r="14944" spans="1:1" x14ac:dyDescent="0.15">
      <c r="A14944" s="1"/>
    </row>
    <row r="14945" spans="1:1" x14ac:dyDescent="0.15">
      <c r="A14945" s="1"/>
    </row>
    <row r="14946" spans="1:1" x14ac:dyDescent="0.15">
      <c r="A14946" s="1"/>
    </row>
    <row r="14947" spans="1:1" x14ac:dyDescent="0.15">
      <c r="A14947" s="1"/>
    </row>
    <row r="14948" spans="1:1" x14ac:dyDescent="0.15">
      <c r="A14948" s="1"/>
    </row>
    <row r="14949" spans="1:1" x14ac:dyDescent="0.15">
      <c r="A14949" s="1"/>
    </row>
    <row r="14950" spans="1:1" x14ac:dyDescent="0.15">
      <c r="A14950" s="1"/>
    </row>
    <row r="14951" spans="1:1" x14ac:dyDescent="0.15">
      <c r="A14951" s="1"/>
    </row>
    <row r="14952" spans="1:1" x14ac:dyDescent="0.15">
      <c r="A14952" s="1"/>
    </row>
    <row r="14953" spans="1:1" x14ac:dyDescent="0.15">
      <c r="A14953" s="1"/>
    </row>
    <row r="14954" spans="1:1" x14ac:dyDescent="0.15">
      <c r="A14954" s="1"/>
    </row>
    <row r="14955" spans="1:1" x14ac:dyDescent="0.15">
      <c r="A14955" s="1"/>
    </row>
    <row r="14956" spans="1:1" x14ac:dyDescent="0.15">
      <c r="A14956" s="1"/>
    </row>
    <row r="14957" spans="1:1" x14ac:dyDescent="0.15">
      <c r="A14957" s="1"/>
    </row>
    <row r="14958" spans="1:1" x14ac:dyDescent="0.15">
      <c r="A14958" s="1"/>
    </row>
    <row r="14959" spans="1:1" x14ac:dyDescent="0.15">
      <c r="A14959" s="1"/>
    </row>
    <row r="14960" spans="1:1" x14ac:dyDescent="0.15">
      <c r="A14960" s="1"/>
    </row>
    <row r="14961" spans="1:1" x14ac:dyDescent="0.15">
      <c r="A14961" s="1"/>
    </row>
    <row r="14962" spans="1:1" x14ac:dyDescent="0.15">
      <c r="A14962" s="1"/>
    </row>
    <row r="14963" spans="1:1" x14ac:dyDescent="0.15">
      <c r="A14963" s="1"/>
    </row>
    <row r="14964" spans="1:1" x14ac:dyDescent="0.15">
      <c r="A14964" s="1"/>
    </row>
    <row r="14965" spans="1:1" x14ac:dyDescent="0.15">
      <c r="A14965" s="1"/>
    </row>
    <row r="14966" spans="1:1" x14ac:dyDescent="0.15">
      <c r="A14966" s="1"/>
    </row>
    <row r="14967" spans="1:1" x14ac:dyDescent="0.15">
      <c r="A14967" s="1"/>
    </row>
    <row r="14968" spans="1:1" x14ac:dyDescent="0.15">
      <c r="A14968" s="1"/>
    </row>
    <row r="14969" spans="1:1" x14ac:dyDescent="0.15">
      <c r="A14969" s="1"/>
    </row>
    <row r="14970" spans="1:1" x14ac:dyDescent="0.15">
      <c r="A14970" s="1"/>
    </row>
    <row r="14971" spans="1:1" x14ac:dyDescent="0.15">
      <c r="A14971" s="1"/>
    </row>
    <row r="14972" spans="1:1" x14ac:dyDescent="0.15">
      <c r="A14972" s="1"/>
    </row>
    <row r="14973" spans="1:1" x14ac:dyDescent="0.15">
      <c r="A14973" s="1"/>
    </row>
    <row r="14974" spans="1:1" x14ac:dyDescent="0.15">
      <c r="A14974" s="1"/>
    </row>
    <row r="14975" spans="1:1" x14ac:dyDescent="0.15">
      <c r="A14975" s="1"/>
    </row>
    <row r="14976" spans="1:1" x14ac:dyDescent="0.15">
      <c r="A14976" s="1"/>
    </row>
    <row r="14977" spans="1:1" x14ac:dyDescent="0.15">
      <c r="A14977" s="1"/>
    </row>
    <row r="14978" spans="1:1" x14ac:dyDescent="0.15">
      <c r="A14978" s="1"/>
    </row>
    <row r="14979" spans="1:1" x14ac:dyDescent="0.15">
      <c r="A14979" s="1"/>
    </row>
    <row r="14980" spans="1:1" x14ac:dyDescent="0.15">
      <c r="A14980" s="1"/>
    </row>
    <row r="14981" spans="1:1" x14ac:dyDescent="0.15">
      <c r="A14981" s="1"/>
    </row>
    <row r="14982" spans="1:1" x14ac:dyDescent="0.15">
      <c r="A14982" s="1"/>
    </row>
    <row r="14983" spans="1:1" x14ac:dyDescent="0.15">
      <c r="A14983" s="1"/>
    </row>
    <row r="14984" spans="1:1" x14ac:dyDescent="0.15">
      <c r="A14984" s="1"/>
    </row>
    <row r="14985" spans="1:1" x14ac:dyDescent="0.15">
      <c r="A14985" s="1"/>
    </row>
    <row r="14986" spans="1:1" x14ac:dyDescent="0.15">
      <c r="A14986" s="1"/>
    </row>
    <row r="14987" spans="1:1" x14ac:dyDescent="0.15">
      <c r="A14987" s="1"/>
    </row>
    <row r="14988" spans="1:1" x14ac:dyDescent="0.15">
      <c r="A14988" s="1"/>
    </row>
    <row r="14989" spans="1:1" x14ac:dyDescent="0.15">
      <c r="A14989" s="1"/>
    </row>
    <row r="14990" spans="1:1" x14ac:dyDescent="0.15">
      <c r="A14990" s="1"/>
    </row>
    <row r="14991" spans="1:1" x14ac:dyDescent="0.15">
      <c r="A14991" s="1"/>
    </row>
    <row r="14992" spans="1:1" x14ac:dyDescent="0.15">
      <c r="A14992" s="1"/>
    </row>
    <row r="14993" spans="1:1" x14ac:dyDescent="0.15">
      <c r="A14993" s="1"/>
    </row>
    <row r="14994" spans="1:1" x14ac:dyDescent="0.15">
      <c r="A14994" s="1"/>
    </row>
    <row r="14995" spans="1:1" x14ac:dyDescent="0.15">
      <c r="A14995" s="1"/>
    </row>
    <row r="14996" spans="1:1" x14ac:dyDescent="0.15">
      <c r="A14996" s="1"/>
    </row>
    <row r="14997" spans="1:1" x14ac:dyDescent="0.15">
      <c r="A14997" s="1"/>
    </row>
    <row r="14998" spans="1:1" x14ac:dyDescent="0.15">
      <c r="A14998" s="1"/>
    </row>
    <row r="14999" spans="1:1" x14ac:dyDescent="0.15">
      <c r="A14999" s="1"/>
    </row>
    <row r="15000" spans="1:1" x14ac:dyDescent="0.15">
      <c r="A15000" s="1"/>
    </row>
    <row r="15001" spans="1:1" x14ac:dyDescent="0.15">
      <c r="A15001" s="1"/>
    </row>
    <row r="15002" spans="1:1" x14ac:dyDescent="0.15">
      <c r="A15002" s="1"/>
    </row>
    <row r="15003" spans="1:1" x14ac:dyDescent="0.15">
      <c r="A15003" s="1"/>
    </row>
    <row r="15004" spans="1:1" x14ac:dyDescent="0.15">
      <c r="A15004" s="1"/>
    </row>
    <row r="15005" spans="1:1" x14ac:dyDescent="0.15">
      <c r="A15005" s="1"/>
    </row>
    <row r="15006" spans="1:1" x14ac:dyDescent="0.15">
      <c r="A15006" s="1"/>
    </row>
    <row r="15007" spans="1:1" x14ac:dyDescent="0.15">
      <c r="A15007" s="1"/>
    </row>
    <row r="15008" spans="1:1" x14ac:dyDescent="0.15">
      <c r="A15008" s="1"/>
    </row>
    <row r="15009" spans="1:1" x14ac:dyDescent="0.15">
      <c r="A15009" s="1"/>
    </row>
    <row r="15010" spans="1:1" x14ac:dyDescent="0.15">
      <c r="A15010" s="1"/>
    </row>
    <row r="15011" spans="1:1" x14ac:dyDescent="0.15">
      <c r="A15011" s="1"/>
    </row>
    <row r="15012" spans="1:1" x14ac:dyDescent="0.15">
      <c r="A15012" s="1"/>
    </row>
    <row r="15013" spans="1:1" x14ac:dyDescent="0.15">
      <c r="A15013" s="1"/>
    </row>
    <row r="15014" spans="1:1" x14ac:dyDescent="0.15">
      <c r="A15014" s="1"/>
    </row>
    <row r="15015" spans="1:1" x14ac:dyDescent="0.15">
      <c r="A15015" s="1"/>
    </row>
    <row r="15016" spans="1:1" x14ac:dyDescent="0.15">
      <c r="A15016" s="1"/>
    </row>
    <row r="15017" spans="1:1" x14ac:dyDescent="0.15">
      <c r="A15017" s="1"/>
    </row>
    <row r="15018" spans="1:1" x14ac:dyDescent="0.15">
      <c r="A15018" s="1"/>
    </row>
    <row r="15019" spans="1:1" x14ac:dyDescent="0.15">
      <c r="A15019" s="1"/>
    </row>
    <row r="15020" spans="1:1" x14ac:dyDescent="0.15">
      <c r="A15020" s="1"/>
    </row>
    <row r="15021" spans="1:1" x14ac:dyDescent="0.15">
      <c r="A15021" s="1"/>
    </row>
    <row r="15022" spans="1:1" x14ac:dyDescent="0.15">
      <c r="A15022" s="1"/>
    </row>
    <row r="15023" spans="1:1" x14ac:dyDescent="0.15">
      <c r="A15023" s="1"/>
    </row>
    <row r="15024" spans="1:1" x14ac:dyDescent="0.15">
      <c r="A15024" s="1"/>
    </row>
    <row r="15025" spans="1:1" x14ac:dyDescent="0.15">
      <c r="A15025" s="1"/>
    </row>
    <row r="15026" spans="1:1" x14ac:dyDescent="0.15">
      <c r="A15026" s="1"/>
    </row>
    <row r="15027" spans="1:1" x14ac:dyDescent="0.15">
      <c r="A15027" s="1"/>
    </row>
    <row r="15028" spans="1:1" x14ac:dyDescent="0.15">
      <c r="A15028" s="1"/>
    </row>
    <row r="15029" spans="1:1" x14ac:dyDescent="0.15">
      <c r="A15029" s="1"/>
    </row>
    <row r="15030" spans="1:1" x14ac:dyDescent="0.15">
      <c r="A15030" s="1"/>
    </row>
    <row r="15031" spans="1:1" x14ac:dyDescent="0.15">
      <c r="A15031" s="1"/>
    </row>
    <row r="15032" spans="1:1" x14ac:dyDescent="0.15">
      <c r="A15032" s="1"/>
    </row>
    <row r="15033" spans="1:1" x14ac:dyDescent="0.15">
      <c r="A15033" s="1"/>
    </row>
    <row r="15034" spans="1:1" x14ac:dyDescent="0.15">
      <c r="A15034" s="1"/>
    </row>
    <row r="15035" spans="1:1" x14ac:dyDescent="0.15">
      <c r="A15035" s="1"/>
    </row>
    <row r="15036" spans="1:1" x14ac:dyDescent="0.15">
      <c r="A15036" s="1"/>
    </row>
    <row r="15037" spans="1:1" x14ac:dyDescent="0.15">
      <c r="A15037" s="1"/>
    </row>
    <row r="15038" spans="1:1" x14ac:dyDescent="0.15">
      <c r="A15038" s="1"/>
    </row>
    <row r="15039" spans="1:1" x14ac:dyDescent="0.15">
      <c r="A15039" s="1"/>
    </row>
    <row r="15040" spans="1:1" x14ac:dyDescent="0.15">
      <c r="A15040" s="1"/>
    </row>
    <row r="15041" spans="1:1" x14ac:dyDescent="0.15">
      <c r="A15041" s="1"/>
    </row>
    <row r="15042" spans="1:1" x14ac:dyDescent="0.15">
      <c r="A15042" s="1"/>
    </row>
    <row r="15043" spans="1:1" x14ac:dyDescent="0.15">
      <c r="A15043" s="1"/>
    </row>
    <row r="15044" spans="1:1" x14ac:dyDescent="0.15">
      <c r="A15044" s="1"/>
    </row>
    <row r="15045" spans="1:1" x14ac:dyDescent="0.15">
      <c r="A15045" s="1"/>
    </row>
    <row r="15046" spans="1:1" x14ac:dyDescent="0.15">
      <c r="A15046" s="1"/>
    </row>
    <row r="15047" spans="1:1" x14ac:dyDescent="0.15">
      <c r="A15047" s="1"/>
    </row>
    <row r="15048" spans="1:1" x14ac:dyDescent="0.15">
      <c r="A15048" s="1"/>
    </row>
    <row r="15049" spans="1:1" x14ac:dyDescent="0.15">
      <c r="A15049" s="1"/>
    </row>
    <row r="15050" spans="1:1" x14ac:dyDescent="0.15">
      <c r="A15050" s="1"/>
    </row>
    <row r="15051" spans="1:1" x14ac:dyDescent="0.15">
      <c r="A15051" s="1"/>
    </row>
    <row r="15052" spans="1:1" x14ac:dyDescent="0.15">
      <c r="A15052" s="1"/>
    </row>
    <row r="15053" spans="1:1" x14ac:dyDescent="0.15">
      <c r="A15053" s="1"/>
    </row>
    <row r="15054" spans="1:1" x14ac:dyDescent="0.15">
      <c r="A15054" s="1"/>
    </row>
    <row r="15055" spans="1:1" x14ac:dyDescent="0.15">
      <c r="A15055" s="1"/>
    </row>
    <row r="15056" spans="1:1" x14ac:dyDescent="0.15">
      <c r="A15056" s="1"/>
    </row>
    <row r="15057" spans="1:1" x14ac:dyDescent="0.15">
      <c r="A15057" s="1"/>
    </row>
    <row r="15058" spans="1:1" x14ac:dyDescent="0.15">
      <c r="A15058" s="1"/>
    </row>
    <row r="15059" spans="1:1" x14ac:dyDescent="0.15">
      <c r="A15059" s="1"/>
    </row>
    <row r="15060" spans="1:1" x14ac:dyDescent="0.15">
      <c r="A15060" s="1"/>
    </row>
    <row r="15061" spans="1:1" x14ac:dyDescent="0.15">
      <c r="A15061" s="1"/>
    </row>
    <row r="15062" spans="1:1" x14ac:dyDescent="0.15">
      <c r="A15062" s="1"/>
    </row>
    <row r="15063" spans="1:1" x14ac:dyDescent="0.15">
      <c r="A15063" s="1"/>
    </row>
    <row r="15064" spans="1:1" x14ac:dyDescent="0.15">
      <c r="A15064" s="1"/>
    </row>
    <row r="15065" spans="1:1" x14ac:dyDescent="0.15">
      <c r="A15065" s="1"/>
    </row>
    <row r="15066" spans="1:1" x14ac:dyDescent="0.15">
      <c r="A15066" s="1"/>
    </row>
    <row r="15067" spans="1:1" x14ac:dyDescent="0.15">
      <c r="A15067" s="1"/>
    </row>
    <row r="15068" spans="1:1" x14ac:dyDescent="0.15">
      <c r="A15068" s="1"/>
    </row>
    <row r="15069" spans="1:1" x14ac:dyDescent="0.15">
      <c r="A15069" s="1"/>
    </row>
    <row r="15070" spans="1:1" x14ac:dyDescent="0.15">
      <c r="A15070" s="1"/>
    </row>
    <row r="15071" spans="1:1" x14ac:dyDescent="0.15">
      <c r="A15071" s="1"/>
    </row>
    <row r="15072" spans="1:1" x14ac:dyDescent="0.15">
      <c r="A15072" s="1"/>
    </row>
    <row r="15073" spans="1:1" x14ac:dyDescent="0.15">
      <c r="A15073" s="1"/>
    </row>
    <row r="15074" spans="1:1" x14ac:dyDescent="0.15">
      <c r="A15074" s="1"/>
    </row>
    <row r="15075" spans="1:1" x14ac:dyDescent="0.15">
      <c r="A15075" s="1"/>
    </row>
    <row r="15076" spans="1:1" x14ac:dyDescent="0.15">
      <c r="A15076" s="1"/>
    </row>
    <row r="15077" spans="1:1" x14ac:dyDescent="0.15">
      <c r="A15077" s="1"/>
    </row>
    <row r="15078" spans="1:1" x14ac:dyDescent="0.15">
      <c r="A15078" s="1"/>
    </row>
    <row r="15079" spans="1:1" x14ac:dyDescent="0.15">
      <c r="A15079" s="1"/>
    </row>
    <row r="15080" spans="1:1" x14ac:dyDescent="0.15">
      <c r="A15080" s="1"/>
    </row>
    <row r="15081" spans="1:1" x14ac:dyDescent="0.15">
      <c r="A15081" s="1"/>
    </row>
    <row r="15082" spans="1:1" x14ac:dyDescent="0.15">
      <c r="A15082" s="1"/>
    </row>
    <row r="15083" spans="1:1" x14ac:dyDescent="0.15">
      <c r="A15083" s="1"/>
    </row>
    <row r="15084" spans="1:1" x14ac:dyDescent="0.15">
      <c r="A15084" s="1"/>
    </row>
    <row r="15085" spans="1:1" x14ac:dyDescent="0.15">
      <c r="A15085" s="1"/>
    </row>
    <row r="15086" spans="1:1" x14ac:dyDescent="0.15">
      <c r="A15086" s="1"/>
    </row>
    <row r="15087" spans="1:1" x14ac:dyDescent="0.15">
      <c r="A15087" s="1"/>
    </row>
    <row r="15088" spans="1:1" x14ac:dyDescent="0.15">
      <c r="A15088" s="1"/>
    </row>
    <row r="15089" spans="1:1" x14ac:dyDescent="0.15">
      <c r="A15089" s="1"/>
    </row>
    <row r="15090" spans="1:1" x14ac:dyDescent="0.15">
      <c r="A15090" s="1"/>
    </row>
    <row r="15091" spans="1:1" x14ac:dyDescent="0.15">
      <c r="A15091" s="1"/>
    </row>
    <row r="15092" spans="1:1" x14ac:dyDescent="0.15">
      <c r="A15092" s="1"/>
    </row>
    <row r="15093" spans="1:1" x14ac:dyDescent="0.15">
      <c r="A15093" s="1"/>
    </row>
    <row r="15094" spans="1:1" x14ac:dyDescent="0.15">
      <c r="A15094" s="1"/>
    </row>
    <row r="15095" spans="1:1" x14ac:dyDescent="0.15">
      <c r="A15095" s="1"/>
    </row>
    <row r="15096" spans="1:1" x14ac:dyDescent="0.15">
      <c r="A15096" s="1"/>
    </row>
    <row r="15097" spans="1:1" x14ac:dyDescent="0.15">
      <c r="A15097" s="1"/>
    </row>
    <row r="15098" spans="1:1" x14ac:dyDescent="0.15">
      <c r="A15098" s="1"/>
    </row>
    <row r="15099" spans="1:1" x14ac:dyDescent="0.15">
      <c r="A15099" s="1"/>
    </row>
    <row r="15100" spans="1:1" x14ac:dyDescent="0.15">
      <c r="A15100" s="1"/>
    </row>
    <row r="15101" spans="1:1" x14ac:dyDescent="0.15">
      <c r="A15101" s="1"/>
    </row>
    <row r="15102" spans="1:1" x14ac:dyDescent="0.15">
      <c r="A15102" s="1"/>
    </row>
    <row r="15103" spans="1:1" x14ac:dyDescent="0.15">
      <c r="A15103" s="1"/>
    </row>
    <row r="15104" spans="1:1" x14ac:dyDescent="0.15">
      <c r="A15104" s="1"/>
    </row>
    <row r="15105" spans="1:1" x14ac:dyDescent="0.15">
      <c r="A15105" s="1"/>
    </row>
    <row r="15106" spans="1:1" x14ac:dyDescent="0.15">
      <c r="A15106" s="1"/>
    </row>
    <row r="15107" spans="1:1" x14ac:dyDescent="0.15">
      <c r="A15107" s="1"/>
    </row>
    <row r="15108" spans="1:1" x14ac:dyDescent="0.15">
      <c r="A15108" s="1"/>
    </row>
    <row r="15109" spans="1:1" x14ac:dyDescent="0.15">
      <c r="A15109" s="1"/>
    </row>
    <row r="15110" spans="1:1" x14ac:dyDescent="0.15">
      <c r="A15110" s="1"/>
    </row>
    <row r="15111" spans="1:1" x14ac:dyDescent="0.15">
      <c r="A15111" s="1"/>
    </row>
    <row r="15112" spans="1:1" x14ac:dyDescent="0.15">
      <c r="A15112" s="1"/>
    </row>
    <row r="15113" spans="1:1" x14ac:dyDescent="0.15">
      <c r="A15113" s="1"/>
    </row>
    <row r="15114" spans="1:1" x14ac:dyDescent="0.15">
      <c r="A15114" s="1"/>
    </row>
    <row r="15115" spans="1:1" x14ac:dyDescent="0.15">
      <c r="A15115" s="1"/>
    </row>
    <row r="15116" spans="1:1" x14ac:dyDescent="0.15">
      <c r="A15116" s="1"/>
    </row>
    <row r="15117" spans="1:1" x14ac:dyDescent="0.15">
      <c r="A15117" s="1"/>
    </row>
    <row r="15118" spans="1:1" x14ac:dyDescent="0.15">
      <c r="A15118" s="1"/>
    </row>
    <row r="15119" spans="1:1" x14ac:dyDescent="0.15">
      <c r="A15119" s="1"/>
    </row>
    <row r="15120" spans="1:1" x14ac:dyDescent="0.15">
      <c r="A15120" s="1"/>
    </row>
    <row r="15121" spans="1:1" x14ac:dyDescent="0.15">
      <c r="A15121" s="1"/>
    </row>
    <row r="15122" spans="1:1" x14ac:dyDescent="0.15">
      <c r="A15122" s="1"/>
    </row>
    <row r="15123" spans="1:1" x14ac:dyDescent="0.15">
      <c r="A15123" s="1"/>
    </row>
    <row r="15124" spans="1:1" x14ac:dyDescent="0.15">
      <c r="A15124" s="1"/>
    </row>
    <row r="15125" spans="1:1" x14ac:dyDescent="0.15">
      <c r="A15125" s="1"/>
    </row>
    <row r="15126" spans="1:1" x14ac:dyDescent="0.15">
      <c r="A15126" s="1"/>
    </row>
    <row r="15127" spans="1:1" x14ac:dyDescent="0.15">
      <c r="A15127" s="1"/>
    </row>
    <row r="15128" spans="1:1" x14ac:dyDescent="0.15">
      <c r="A15128" s="1"/>
    </row>
    <row r="15129" spans="1:1" x14ac:dyDescent="0.15">
      <c r="A15129" s="1"/>
    </row>
    <row r="15130" spans="1:1" x14ac:dyDescent="0.15">
      <c r="A15130" s="1"/>
    </row>
    <row r="15131" spans="1:1" x14ac:dyDescent="0.15">
      <c r="A15131" s="1"/>
    </row>
    <row r="15132" spans="1:1" x14ac:dyDescent="0.15">
      <c r="A15132" s="1"/>
    </row>
    <row r="15133" spans="1:1" x14ac:dyDescent="0.15">
      <c r="A15133" s="1"/>
    </row>
    <row r="15134" spans="1:1" x14ac:dyDescent="0.15">
      <c r="A15134" s="1"/>
    </row>
    <row r="15135" spans="1:1" x14ac:dyDescent="0.15">
      <c r="A15135" s="1"/>
    </row>
    <row r="15136" spans="1:1" x14ac:dyDescent="0.15">
      <c r="A15136" s="1"/>
    </row>
    <row r="15137" spans="1:1" x14ac:dyDescent="0.15">
      <c r="A15137" s="1"/>
    </row>
    <row r="15138" spans="1:1" x14ac:dyDescent="0.15">
      <c r="A15138" s="1"/>
    </row>
    <row r="15139" spans="1:1" x14ac:dyDescent="0.15">
      <c r="A15139" s="1"/>
    </row>
    <row r="15140" spans="1:1" x14ac:dyDescent="0.15">
      <c r="A15140" s="1"/>
    </row>
    <row r="15141" spans="1:1" x14ac:dyDescent="0.15">
      <c r="A15141" s="1"/>
    </row>
    <row r="15142" spans="1:1" x14ac:dyDescent="0.15">
      <c r="A15142" s="1"/>
    </row>
    <row r="15143" spans="1:1" x14ac:dyDescent="0.15">
      <c r="A15143" s="1"/>
    </row>
    <row r="15144" spans="1:1" x14ac:dyDescent="0.15">
      <c r="A15144" s="1"/>
    </row>
    <row r="15145" spans="1:1" x14ac:dyDescent="0.15">
      <c r="A15145" s="1"/>
    </row>
    <row r="15146" spans="1:1" x14ac:dyDescent="0.15">
      <c r="A15146" s="1"/>
    </row>
    <row r="15147" spans="1:1" x14ac:dyDescent="0.15">
      <c r="A15147" s="1"/>
    </row>
    <row r="15148" spans="1:1" x14ac:dyDescent="0.15">
      <c r="A15148" s="1"/>
    </row>
    <row r="15149" spans="1:1" x14ac:dyDescent="0.15">
      <c r="A15149" s="1"/>
    </row>
    <row r="15150" spans="1:1" x14ac:dyDescent="0.15">
      <c r="A15150" s="1"/>
    </row>
    <row r="15151" spans="1:1" x14ac:dyDescent="0.15">
      <c r="A15151" s="1"/>
    </row>
    <row r="15152" spans="1:1" x14ac:dyDescent="0.15">
      <c r="A15152" s="1"/>
    </row>
    <row r="15153" spans="1:1" x14ac:dyDescent="0.15">
      <c r="A15153" s="1"/>
    </row>
    <row r="15154" spans="1:1" x14ac:dyDescent="0.15">
      <c r="A15154" s="1"/>
    </row>
    <row r="15155" spans="1:1" x14ac:dyDescent="0.15">
      <c r="A15155" s="1"/>
    </row>
    <row r="15156" spans="1:1" x14ac:dyDescent="0.15">
      <c r="A15156" s="1"/>
    </row>
    <row r="15157" spans="1:1" x14ac:dyDescent="0.15">
      <c r="A15157" s="1"/>
    </row>
    <row r="15158" spans="1:1" x14ac:dyDescent="0.15">
      <c r="A15158" s="1"/>
    </row>
    <row r="15159" spans="1:1" x14ac:dyDescent="0.15">
      <c r="A15159" s="1"/>
    </row>
    <row r="15160" spans="1:1" x14ac:dyDescent="0.15">
      <c r="A15160" s="1"/>
    </row>
    <row r="15161" spans="1:1" x14ac:dyDescent="0.15">
      <c r="A15161" s="1"/>
    </row>
    <row r="15162" spans="1:1" x14ac:dyDescent="0.15">
      <c r="A15162" s="1"/>
    </row>
    <row r="15163" spans="1:1" x14ac:dyDescent="0.15">
      <c r="A15163" s="1"/>
    </row>
    <row r="15164" spans="1:1" x14ac:dyDescent="0.15">
      <c r="A15164" s="1"/>
    </row>
    <row r="15165" spans="1:1" x14ac:dyDescent="0.15">
      <c r="A15165" s="1"/>
    </row>
    <row r="15166" spans="1:1" x14ac:dyDescent="0.15">
      <c r="A15166" s="1"/>
    </row>
    <row r="15167" spans="1:1" x14ac:dyDescent="0.15">
      <c r="A15167" s="1"/>
    </row>
    <row r="15168" spans="1:1" x14ac:dyDescent="0.15">
      <c r="A15168" s="1"/>
    </row>
    <row r="15169" spans="1:1" x14ac:dyDescent="0.15">
      <c r="A15169" s="1"/>
    </row>
    <row r="15170" spans="1:1" x14ac:dyDescent="0.15">
      <c r="A15170" s="1"/>
    </row>
    <row r="15171" spans="1:1" x14ac:dyDescent="0.15">
      <c r="A15171" s="1"/>
    </row>
    <row r="15172" spans="1:1" x14ac:dyDescent="0.15">
      <c r="A15172" s="1"/>
    </row>
    <row r="15173" spans="1:1" x14ac:dyDescent="0.15">
      <c r="A15173" s="1"/>
    </row>
    <row r="15174" spans="1:1" x14ac:dyDescent="0.15">
      <c r="A15174" s="1"/>
    </row>
    <row r="15175" spans="1:1" x14ac:dyDescent="0.15">
      <c r="A15175" s="1"/>
    </row>
    <row r="15176" spans="1:1" x14ac:dyDescent="0.15">
      <c r="A15176" s="1"/>
    </row>
    <row r="15177" spans="1:1" x14ac:dyDescent="0.15">
      <c r="A15177" s="1"/>
    </row>
    <row r="15178" spans="1:1" x14ac:dyDescent="0.15">
      <c r="A15178" s="1"/>
    </row>
    <row r="15179" spans="1:1" x14ac:dyDescent="0.15">
      <c r="A15179" s="1"/>
    </row>
    <row r="15180" spans="1:1" x14ac:dyDescent="0.15">
      <c r="A15180" s="1"/>
    </row>
    <row r="15181" spans="1:1" x14ac:dyDescent="0.15">
      <c r="A15181" s="1"/>
    </row>
    <row r="15182" spans="1:1" x14ac:dyDescent="0.15">
      <c r="A15182" s="1"/>
    </row>
    <row r="15183" spans="1:1" x14ac:dyDescent="0.15">
      <c r="A15183" s="1"/>
    </row>
    <row r="15184" spans="1:1" x14ac:dyDescent="0.15">
      <c r="A15184" s="1"/>
    </row>
    <row r="15185" spans="1:1" x14ac:dyDescent="0.15">
      <c r="A15185" s="1"/>
    </row>
    <row r="15186" spans="1:1" x14ac:dyDescent="0.15">
      <c r="A15186" s="1"/>
    </row>
    <row r="15187" spans="1:1" x14ac:dyDescent="0.15">
      <c r="A15187" s="1"/>
    </row>
    <row r="15188" spans="1:1" x14ac:dyDescent="0.15">
      <c r="A15188" s="1"/>
    </row>
    <row r="15189" spans="1:1" x14ac:dyDescent="0.15">
      <c r="A15189" s="1"/>
    </row>
    <row r="15190" spans="1:1" x14ac:dyDescent="0.15">
      <c r="A15190" s="1"/>
    </row>
    <row r="15191" spans="1:1" x14ac:dyDescent="0.15">
      <c r="A15191" s="1"/>
    </row>
    <row r="15192" spans="1:1" x14ac:dyDescent="0.15">
      <c r="A15192" s="1"/>
    </row>
    <row r="15193" spans="1:1" x14ac:dyDescent="0.15">
      <c r="A15193" s="1"/>
    </row>
    <row r="15194" spans="1:1" x14ac:dyDescent="0.15">
      <c r="A15194" s="1"/>
    </row>
    <row r="15195" spans="1:1" x14ac:dyDescent="0.15">
      <c r="A15195" s="1"/>
    </row>
    <row r="15196" spans="1:1" x14ac:dyDescent="0.15">
      <c r="A15196" s="1"/>
    </row>
    <row r="15197" spans="1:1" x14ac:dyDescent="0.15">
      <c r="A15197" s="1"/>
    </row>
    <row r="15198" spans="1:1" x14ac:dyDescent="0.15">
      <c r="A15198" s="1"/>
    </row>
    <row r="15199" spans="1:1" x14ac:dyDescent="0.15">
      <c r="A15199" s="1"/>
    </row>
    <row r="15200" spans="1:1" x14ac:dyDescent="0.15">
      <c r="A15200" s="1"/>
    </row>
    <row r="15201" spans="1:1" x14ac:dyDescent="0.15">
      <c r="A15201" s="1"/>
    </row>
    <row r="15202" spans="1:1" x14ac:dyDescent="0.15">
      <c r="A15202" s="1"/>
    </row>
    <row r="15203" spans="1:1" x14ac:dyDescent="0.15">
      <c r="A15203" s="1"/>
    </row>
    <row r="15204" spans="1:1" x14ac:dyDescent="0.15">
      <c r="A15204" s="1"/>
    </row>
    <row r="15205" spans="1:1" x14ac:dyDescent="0.15">
      <c r="A15205" s="1"/>
    </row>
    <row r="15206" spans="1:1" x14ac:dyDescent="0.15">
      <c r="A15206" s="1"/>
    </row>
    <row r="15207" spans="1:1" x14ac:dyDescent="0.15">
      <c r="A15207" s="1"/>
    </row>
    <row r="15208" spans="1:1" x14ac:dyDescent="0.15">
      <c r="A15208" s="1"/>
    </row>
    <row r="15209" spans="1:1" x14ac:dyDescent="0.15">
      <c r="A15209" s="1"/>
    </row>
    <row r="15210" spans="1:1" x14ac:dyDescent="0.15">
      <c r="A15210" s="1"/>
    </row>
    <row r="15211" spans="1:1" x14ac:dyDescent="0.15">
      <c r="A15211" s="1"/>
    </row>
    <row r="15212" spans="1:1" x14ac:dyDescent="0.15">
      <c r="A15212" s="1"/>
    </row>
    <row r="15213" spans="1:1" x14ac:dyDescent="0.15">
      <c r="A15213" s="1"/>
    </row>
    <row r="15214" spans="1:1" x14ac:dyDescent="0.15">
      <c r="A15214" s="1"/>
    </row>
    <row r="15215" spans="1:1" x14ac:dyDescent="0.15">
      <c r="A15215" s="1"/>
    </row>
    <row r="15216" spans="1:1" x14ac:dyDescent="0.15">
      <c r="A15216" s="1"/>
    </row>
    <row r="15217" spans="1:1" x14ac:dyDescent="0.15">
      <c r="A15217" s="1"/>
    </row>
    <row r="15218" spans="1:1" x14ac:dyDescent="0.15">
      <c r="A15218" s="1"/>
    </row>
    <row r="15219" spans="1:1" x14ac:dyDescent="0.15">
      <c r="A15219" s="1"/>
    </row>
    <row r="15220" spans="1:1" x14ac:dyDescent="0.15">
      <c r="A15220" s="1"/>
    </row>
    <row r="15221" spans="1:1" x14ac:dyDescent="0.15">
      <c r="A15221" s="1"/>
    </row>
    <row r="15222" spans="1:1" x14ac:dyDescent="0.15">
      <c r="A15222" s="1"/>
    </row>
    <row r="15223" spans="1:1" x14ac:dyDescent="0.15">
      <c r="A15223" s="1"/>
    </row>
    <row r="15224" spans="1:1" x14ac:dyDescent="0.15">
      <c r="A15224" s="1"/>
    </row>
    <row r="15225" spans="1:1" x14ac:dyDescent="0.15">
      <c r="A15225" s="1"/>
    </row>
    <row r="15226" spans="1:1" x14ac:dyDescent="0.15">
      <c r="A15226" s="1"/>
    </row>
    <row r="15227" spans="1:1" x14ac:dyDescent="0.15">
      <c r="A15227" s="1"/>
    </row>
    <row r="15228" spans="1:1" x14ac:dyDescent="0.15">
      <c r="A15228" s="1"/>
    </row>
    <row r="15229" spans="1:1" x14ac:dyDescent="0.15">
      <c r="A15229" s="1"/>
    </row>
    <row r="15230" spans="1:1" x14ac:dyDescent="0.15">
      <c r="A15230" s="1"/>
    </row>
    <row r="15231" spans="1:1" x14ac:dyDescent="0.15">
      <c r="A15231" s="1"/>
    </row>
    <row r="15232" spans="1:1" x14ac:dyDescent="0.15">
      <c r="A15232" s="1"/>
    </row>
    <row r="15233" spans="1:1" x14ac:dyDescent="0.15">
      <c r="A15233" s="1"/>
    </row>
    <row r="15234" spans="1:1" x14ac:dyDescent="0.15">
      <c r="A15234" s="1"/>
    </row>
    <row r="15235" spans="1:1" x14ac:dyDescent="0.15">
      <c r="A15235" s="1"/>
    </row>
    <row r="15236" spans="1:1" x14ac:dyDescent="0.15">
      <c r="A15236" s="1"/>
    </row>
    <row r="15237" spans="1:1" x14ac:dyDescent="0.15">
      <c r="A15237" s="1"/>
    </row>
    <row r="15238" spans="1:1" x14ac:dyDescent="0.15">
      <c r="A15238" s="1"/>
    </row>
    <row r="15239" spans="1:1" x14ac:dyDescent="0.15">
      <c r="A15239" s="1"/>
    </row>
    <row r="15240" spans="1:1" x14ac:dyDescent="0.15">
      <c r="A15240" s="1"/>
    </row>
    <row r="15241" spans="1:1" x14ac:dyDescent="0.15">
      <c r="A15241" s="1"/>
    </row>
    <row r="15242" spans="1:1" x14ac:dyDescent="0.15">
      <c r="A15242" s="1"/>
    </row>
    <row r="15243" spans="1:1" x14ac:dyDescent="0.15">
      <c r="A15243" s="1"/>
    </row>
    <row r="15244" spans="1:1" x14ac:dyDescent="0.15">
      <c r="A15244" s="1"/>
    </row>
    <row r="15245" spans="1:1" x14ac:dyDescent="0.15">
      <c r="A15245" s="1"/>
    </row>
    <row r="15246" spans="1:1" x14ac:dyDescent="0.15">
      <c r="A15246" s="1"/>
    </row>
    <row r="15247" spans="1:1" x14ac:dyDescent="0.15">
      <c r="A15247" s="1"/>
    </row>
    <row r="15248" spans="1:1" x14ac:dyDescent="0.15">
      <c r="A15248" s="1"/>
    </row>
    <row r="15249" spans="1:1" x14ac:dyDescent="0.15">
      <c r="A15249" s="1"/>
    </row>
    <row r="15250" spans="1:1" x14ac:dyDescent="0.15">
      <c r="A15250" s="1"/>
    </row>
    <row r="15251" spans="1:1" x14ac:dyDescent="0.15">
      <c r="A15251" s="1"/>
    </row>
    <row r="15252" spans="1:1" x14ac:dyDescent="0.15">
      <c r="A15252" s="1"/>
    </row>
    <row r="15253" spans="1:1" x14ac:dyDescent="0.15">
      <c r="A15253" s="1"/>
    </row>
    <row r="15254" spans="1:1" x14ac:dyDescent="0.15">
      <c r="A15254" s="1"/>
    </row>
    <row r="15255" spans="1:1" x14ac:dyDescent="0.15">
      <c r="A15255" s="1"/>
    </row>
    <row r="15256" spans="1:1" x14ac:dyDescent="0.15">
      <c r="A15256" s="1"/>
    </row>
    <row r="15257" spans="1:1" x14ac:dyDescent="0.15">
      <c r="A15257" s="1"/>
    </row>
    <row r="15258" spans="1:1" x14ac:dyDescent="0.15">
      <c r="A15258" s="1"/>
    </row>
    <row r="15259" spans="1:1" x14ac:dyDescent="0.15">
      <c r="A15259" s="1"/>
    </row>
    <row r="15260" spans="1:1" x14ac:dyDescent="0.15">
      <c r="A15260" s="1"/>
    </row>
    <row r="15261" spans="1:1" x14ac:dyDescent="0.15">
      <c r="A15261" s="1"/>
    </row>
    <row r="15262" spans="1:1" x14ac:dyDescent="0.15">
      <c r="A15262" s="1"/>
    </row>
    <row r="15263" spans="1:1" x14ac:dyDescent="0.15">
      <c r="A15263" s="1"/>
    </row>
    <row r="15264" spans="1:1" x14ac:dyDescent="0.15">
      <c r="A15264" s="1"/>
    </row>
    <row r="15265" spans="1:1" x14ac:dyDescent="0.15">
      <c r="A15265" s="1"/>
    </row>
    <row r="15266" spans="1:1" x14ac:dyDescent="0.15">
      <c r="A15266" s="1"/>
    </row>
    <row r="15267" spans="1:1" x14ac:dyDescent="0.15">
      <c r="A15267" s="1"/>
    </row>
    <row r="15268" spans="1:1" x14ac:dyDescent="0.15">
      <c r="A15268" s="1"/>
    </row>
    <row r="15269" spans="1:1" x14ac:dyDescent="0.15">
      <c r="A15269" s="1"/>
    </row>
    <row r="15270" spans="1:1" x14ac:dyDescent="0.15">
      <c r="A15270" s="1"/>
    </row>
    <row r="15271" spans="1:1" x14ac:dyDescent="0.15">
      <c r="A15271" s="1"/>
    </row>
    <row r="15272" spans="1:1" x14ac:dyDescent="0.15">
      <c r="A15272" s="1"/>
    </row>
    <row r="15273" spans="1:1" x14ac:dyDescent="0.15">
      <c r="A15273" s="1"/>
    </row>
    <row r="15274" spans="1:1" x14ac:dyDescent="0.15">
      <c r="A15274" s="1"/>
    </row>
    <row r="15275" spans="1:1" x14ac:dyDescent="0.15">
      <c r="A15275" s="1"/>
    </row>
    <row r="15276" spans="1:1" x14ac:dyDescent="0.15">
      <c r="A15276" s="1"/>
    </row>
    <row r="15277" spans="1:1" x14ac:dyDescent="0.15">
      <c r="A15277" s="1"/>
    </row>
    <row r="15278" spans="1:1" x14ac:dyDescent="0.15">
      <c r="A15278" s="1"/>
    </row>
    <row r="15279" spans="1:1" x14ac:dyDescent="0.15">
      <c r="A15279" s="1"/>
    </row>
    <row r="15280" spans="1:1" x14ac:dyDescent="0.15">
      <c r="A15280" s="1"/>
    </row>
    <row r="15281" spans="1:1" x14ac:dyDescent="0.15">
      <c r="A15281" s="1"/>
    </row>
    <row r="15282" spans="1:1" x14ac:dyDescent="0.15">
      <c r="A15282" s="1"/>
    </row>
    <row r="15283" spans="1:1" x14ac:dyDescent="0.15">
      <c r="A15283" s="1"/>
    </row>
    <row r="15284" spans="1:1" x14ac:dyDescent="0.15">
      <c r="A15284" s="1"/>
    </row>
    <row r="15285" spans="1:1" x14ac:dyDescent="0.15">
      <c r="A15285" s="1"/>
    </row>
    <row r="15286" spans="1:1" x14ac:dyDescent="0.15">
      <c r="A15286" s="1"/>
    </row>
    <row r="15287" spans="1:1" x14ac:dyDescent="0.15">
      <c r="A15287" s="1"/>
    </row>
    <row r="15288" spans="1:1" x14ac:dyDescent="0.15">
      <c r="A15288" s="1"/>
    </row>
    <row r="15289" spans="1:1" x14ac:dyDescent="0.15">
      <c r="A15289" s="1"/>
    </row>
    <row r="15290" spans="1:1" x14ac:dyDescent="0.15">
      <c r="A15290" s="1"/>
    </row>
    <row r="15291" spans="1:1" x14ac:dyDescent="0.15">
      <c r="A15291" s="1"/>
    </row>
    <row r="15292" spans="1:1" x14ac:dyDescent="0.15">
      <c r="A15292" s="1"/>
    </row>
    <row r="15293" spans="1:1" x14ac:dyDescent="0.15">
      <c r="A15293" s="1"/>
    </row>
    <row r="15294" spans="1:1" x14ac:dyDescent="0.15">
      <c r="A15294" s="1"/>
    </row>
    <row r="15295" spans="1:1" x14ac:dyDescent="0.15">
      <c r="A15295" s="1"/>
    </row>
    <row r="15296" spans="1:1" x14ac:dyDescent="0.15">
      <c r="A15296" s="1"/>
    </row>
    <row r="15297" spans="1:1" x14ac:dyDescent="0.15">
      <c r="A15297" s="1"/>
    </row>
    <row r="15298" spans="1:1" x14ac:dyDescent="0.15">
      <c r="A15298" s="1"/>
    </row>
    <row r="15299" spans="1:1" x14ac:dyDescent="0.15">
      <c r="A15299" s="1"/>
    </row>
    <row r="15300" spans="1:1" x14ac:dyDescent="0.15">
      <c r="A15300" s="1"/>
    </row>
    <row r="15301" spans="1:1" x14ac:dyDescent="0.15">
      <c r="A15301" s="1"/>
    </row>
    <row r="15302" spans="1:1" x14ac:dyDescent="0.15">
      <c r="A15302" s="1"/>
    </row>
    <row r="15303" spans="1:1" x14ac:dyDescent="0.15">
      <c r="A15303" s="1"/>
    </row>
    <row r="15304" spans="1:1" x14ac:dyDescent="0.15">
      <c r="A15304" s="1"/>
    </row>
    <row r="15305" spans="1:1" x14ac:dyDescent="0.15">
      <c r="A15305" s="1"/>
    </row>
    <row r="15306" spans="1:1" x14ac:dyDescent="0.15">
      <c r="A15306" s="1"/>
    </row>
    <row r="15307" spans="1:1" x14ac:dyDescent="0.15">
      <c r="A15307" s="1"/>
    </row>
    <row r="15308" spans="1:1" x14ac:dyDescent="0.15">
      <c r="A15308" s="1"/>
    </row>
    <row r="15309" spans="1:1" x14ac:dyDescent="0.15">
      <c r="A15309" s="1"/>
    </row>
    <row r="15310" spans="1:1" x14ac:dyDescent="0.15">
      <c r="A15310" s="1"/>
    </row>
    <row r="15311" spans="1:1" x14ac:dyDescent="0.15">
      <c r="A15311" s="1"/>
    </row>
    <row r="15312" spans="1:1" x14ac:dyDescent="0.15">
      <c r="A15312" s="1"/>
    </row>
    <row r="15313" spans="1:1" x14ac:dyDescent="0.15">
      <c r="A15313" s="1"/>
    </row>
    <row r="15314" spans="1:1" x14ac:dyDescent="0.15">
      <c r="A15314" s="1"/>
    </row>
    <row r="15315" spans="1:1" x14ac:dyDescent="0.15">
      <c r="A15315" s="1"/>
    </row>
    <row r="15316" spans="1:1" x14ac:dyDescent="0.15">
      <c r="A15316" s="1"/>
    </row>
    <row r="15317" spans="1:1" x14ac:dyDescent="0.15">
      <c r="A15317" s="1"/>
    </row>
    <row r="15318" spans="1:1" x14ac:dyDescent="0.15">
      <c r="A15318" s="1"/>
    </row>
    <row r="15319" spans="1:1" x14ac:dyDescent="0.15">
      <c r="A15319" s="1"/>
    </row>
    <row r="15320" spans="1:1" x14ac:dyDescent="0.15">
      <c r="A15320" s="1"/>
    </row>
    <row r="15321" spans="1:1" x14ac:dyDescent="0.15">
      <c r="A15321" s="1"/>
    </row>
    <row r="15322" spans="1:1" x14ac:dyDescent="0.15">
      <c r="A15322" s="1"/>
    </row>
    <row r="15323" spans="1:1" x14ac:dyDescent="0.15">
      <c r="A15323" s="1"/>
    </row>
    <row r="15324" spans="1:1" x14ac:dyDescent="0.15">
      <c r="A15324" s="1"/>
    </row>
    <row r="15325" spans="1:1" x14ac:dyDescent="0.15">
      <c r="A15325" s="1"/>
    </row>
    <row r="15326" spans="1:1" x14ac:dyDescent="0.15">
      <c r="A15326" s="1"/>
    </row>
    <row r="15327" spans="1:1" x14ac:dyDescent="0.15">
      <c r="A15327" s="1"/>
    </row>
    <row r="15328" spans="1:1" x14ac:dyDescent="0.15">
      <c r="A15328" s="1"/>
    </row>
    <row r="15329" spans="1:1" x14ac:dyDescent="0.15">
      <c r="A15329" s="1"/>
    </row>
    <row r="15330" spans="1:1" x14ac:dyDescent="0.15">
      <c r="A15330" s="1"/>
    </row>
    <row r="15331" spans="1:1" x14ac:dyDescent="0.15">
      <c r="A15331" s="1"/>
    </row>
    <row r="15332" spans="1:1" x14ac:dyDescent="0.15">
      <c r="A15332" s="1"/>
    </row>
    <row r="15333" spans="1:1" x14ac:dyDescent="0.15">
      <c r="A15333" s="1"/>
    </row>
    <row r="15334" spans="1:1" x14ac:dyDescent="0.15">
      <c r="A15334" s="1"/>
    </row>
    <row r="15335" spans="1:1" x14ac:dyDescent="0.15">
      <c r="A15335" s="1"/>
    </row>
    <row r="15336" spans="1:1" x14ac:dyDescent="0.15">
      <c r="A15336" s="1"/>
    </row>
    <row r="15337" spans="1:1" x14ac:dyDescent="0.15">
      <c r="A15337" s="1"/>
    </row>
    <row r="15338" spans="1:1" x14ac:dyDescent="0.15">
      <c r="A15338" s="1"/>
    </row>
    <row r="15339" spans="1:1" x14ac:dyDescent="0.15">
      <c r="A15339" s="1"/>
    </row>
    <row r="15340" spans="1:1" x14ac:dyDescent="0.15">
      <c r="A15340" s="1"/>
    </row>
    <row r="15341" spans="1:1" x14ac:dyDescent="0.15">
      <c r="A15341" s="1"/>
    </row>
    <row r="15342" spans="1:1" x14ac:dyDescent="0.15">
      <c r="A15342" s="1"/>
    </row>
    <row r="15343" spans="1:1" x14ac:dyDescent="0.15">
      <c r="A15343" s="1"/>
    </row>
    <row r="15344" spans="1:1" x14ac:dyDescent="0.15">
      <c r="A15344" s="1"/>
    </row>
    <row r="15345" spans="1:1" x14ac:dyDescent="0.15">
      <c r="A15345" s="1"/>
    </row>
    <row r="15346" spans="1:1" x14ac:dyDescent="0.15">
      <c r="A15346" s="1"/>
    </row>
    <row r="15347" spans="1:1" x14ac:dyDescent="0.15">
      <c r="A15347" s="1"/>
    </row>
    <row r="15348" spans="1:1" x14ac:dyDescent="0.15">
      <c r="A15348" s="1"/>
    </row>
    <row r="15349" spans="1:1" x14ac:dyDescent="0.15">
      <c r="A15349" s="1"/>
    </row>
    <row r="15350" spans="1:1" x14ac:dyDescent="0.15">
      <c r="A15350" s="1"/>
    </row>
    <row r="15351" spans="1:1" x14ac:dyDescent="0.15">
      <c r="A15351" s="1"/>
    </row>
    <row r="15352" spans="1:1" x14ac:dyDescent="0.15">
      <c r="A15352" s="1"/>
    </row>
    <row r="15353" spans="1:1" x14ac:dyDescent="0.15">
      <c r="A15353" s="1"/>
    </row>
    <row r="15354" spans="1:1" x14ac:dyDescent="0.15">
      <c r="A15354" s="1"/>
    </row>
    <row r="15355" spans="1:1" x14ac:dyDescent="0.15">
      <c r="A15355" s="1"/>
    </row>
    <row r="15356" spans="1:1" x14ac:dyDescent="0.15">
      <c r="A15356" s="1"/>
    </row>
    <row r="15357" spans="1:1" x14ac:dyDescent="0.15">
      <c r="A15357" s="1"/>
    </row>
    <row r="15358" spans="1:1" x14ac:dyDescent="0.15">
      <c r="A15358" s="1"/>
    </row>
    <row r="15359" spans="1:1" x14ac:dyDescent="0.15">
      <c r="A15359" s="1"/>
    </row>
    <row r="15360" spans="1:1" x14ac:dyDescent="0.15">
      <c r="A15360" s="1"/>
    </row>
    <row r="15361" spans="1:1" x14ac:dyDescent="0.15">
      <c r="A15361" s="1"/>
    </row>
    <row r="15362" spans="1:1" x14ac:dyDescent="0.15">
      <c r="A15362" s="1"/>
    </row>
    <row r="15363" spans="1:1" x14ac:dyDescent="0.15">
      <c r="A15363" s="1"/>
    </row>
    <row r="15364" spans="1:1" x14ac:dyDescent="0.15">
      <c r="A15364" s="1"/>
    </row>
    <row r="15365" spans="1:1" x14ac:dyDescent="0.15">
      <c r="A15365" s="1"/>
    </row>
    <row r="15366" spans="1:1" x14ac:dyDescent="0.15">
      <c r="A15366" s="1"/>
    </row>
    <row r="15367" spans="1:1" x14ac:dyDescent="0.15">
      <c r="A15367" s="1"/>
    </row>
    <row r="15368" spans="1:1" x14ac:dyDescent="0.15">
      <c r="A15368" s="1"/>
    </row>
    <row r="15369" spans="1:1" x14ac:dyDescent="0.15">
      <c r="A15369" s="1"/>
    </row>
    <row r="15370" spans="1:1" x14ac:dyDescent="0.15">
      <c r="A15370" s="1"/>
    </row>
    <row r="15371" spans="1:1" x14ac:dyDescent="0.15">
      <c r="A15371" s="1"/>
    </row>
    <row r="15372" spans="1:1" x14ac:dyDescent="0.15">
      <c r="A15372" s="1"/>
    </row>
    <row r="15373" spans="1:1" x14ac:dyDescent="0.15">
      <c r="A15373" s="1"/>
    </row>
    <row r="15374" spans="1:1" x14ac:dyDescent="0.15">
      <c r="A15374" s="1"/>
    </row>
    <row r="15375" spans="1:1" x14ac:dyDescent="0.15">
      <c r="A15375" s="1"/>
    </row>
    <row r="15376" spans="1:1" x14ac:dyDescent="0.15">
      <c r="A15376" s="1"/>
    </row>
    <row r="15377" spans="1:1" x14ac:dyDescent="0.15">
      <c r="A15377" s="1"/>
    </row>
    <row r="15378" spans="1:1" x14ac:dyDescent="0.15">
      <c r="A15378" s="1"/>
    </row>
    <row r="15379" spans="1:1" x14ac:dyDescent="0.15">
      <c r="A15379" s="1"/>
    </row>
    <row r="15380" spans="1:1" x14ac:dyDescent="0.15">
      <c r="A15380" s="1"/>
    </row>
    <row r="15381" spans="1:1" x14ac:dyDescent="0.15">
      <c r="A15381" s="1"/>
    </row>
    <row r="15382" spans="1:1" x14ac:dyDescent="0.15">
      <c r="A15382" s="1"/>
    </row>
    <row r="15383" spans="1:1" x14ac:dyDescent="0.15">
      <c r="A15383" s="1"/>
    </row>
    <row r="15384" spans="1:1" x14ac:dyDescent="0.15">
      <c r="A15384" s="1"/>
    </row>
    <row r="15385" spans="1:1" x14ac:dyDescent="0.15">
      <c r="A15385" s="1"/>
    </row>
    <row r="15386" spans="1:1" x14ac:dyDescent="0.15">
      <c r="A15386" s="1"/>
    </row>
    <row r="15387" spans="1:1" x14ac:dyDescent="0.15">
      <c r="A15387" s="1"/>
    </row>
    <row r="15388" spans="1:1" x14ac:dyDescent="0.15">
      <c r="A15388" s="1"/>
    </row>
    <row r="15389" spans="1:1" x14ac:dyDescent="0.15">
      <c r="A15389" s="1"/>
    </row>
    <row r="15390" spans="1:1" x14ac:dyDescent="0.15">
      <c r="A15390" s="1"/>
    </row>
    <row r="15391" spans="1:1" x14ac:dyDescent="0.15">
      <c r="A15391" s="1"/>
    </row>
    <row r="15392" spans="1:1" x14ac:dyDescent="0.15">
      <c r="A15392" s="1"/>
    </row>
    <row r="15393" spans="1:1" x14ac:dyDescent="0.15">
      <c r="A15393" s="1"/>
    </row>
    <row r="15394" spans="1:1" x14ac:dyDescent="0.15">
      <c r="A15394" s="1"/>
    </row>
    <row r="15395" spans="1:1" x14ac:dyDescent="0.15">
      <c r="A15395" s="1"/>
    </row>
    <row r="15396" spans="1:1" x14ac:dyDescent="0.15">
      <c r="A15396" s="1"/>
    </row>
    <row r="15397" spans="1:1" x14ac:dyDescent="0.15">
      <c r="A15397" s="1"/>
    </row>
    <row r="15398" spans="1:1" x14ac:dyDescent="0.15">
      <c r="A15398" s="1"/>
    </row>
    <row r="15399" spans="1:1" x14ac:dyDescent="0.15">
      <c r="A15399" s="1"/>
    </row>
    <row r="15400" spans="1:1" x14ac:dyDescent="0.15">
      <c r="A15400" s="1"/>
    </row>
    <row r="15401" spans="1:1" x14ac:dyDescent="0.15">
      <c r="A15401" s="1"/>
    </row>
    <row r="15402" spans="1:1" x14ac:dyDescent="0.15">
      <c r="A15402" s="1"/>
    </row>
    <row r="15403" spans="1:1" x14ac:dyDescent="0.15">
      <c r="A15403" s="1"/>
    </row>
    <row r="15404" spans="1:1" x14ac:dyDescent="0.15">
      <c r="A15404" s="1"/>
    </row>
    <row r="15405" spans="1:1" x14ac:dyDescent="0.15">
      <c r="A15405" s="1"/>
    </row>
    <row r="15406" spans="1:1" x14ac:dyDescent="0.15">
      <c r="A15406" s="1"/>
    </row>
    <row r="15407" spans="1:1" x14ac:dyDescent="0.15">
      <c r="A15407" s="1"/>
    </row>
    <row r="15408" spans="1:1" x14ac:dyDescent="0.15">
      <c r="A15408" s="1"/>
    </row>
    <row r="15409" spans="1:1" x14ac:dyDescent="0.15">
      <c r="A15409" s="1"/>
    </row>
    <row r="15410" spans="1:1" x14ac:dyDescent="0.15">
      <c r="A15410" s="1"/>
    </row>
    <row r="15411" spans="1:1" x14ac:dyDescent="0.15">
      <c r="A15411" s="1"/>
    </row>
    <row r="15412" spans="1:1" x14ac:dyDescent="0.15">
      <c r="A15412" s="1"/>
    </row>
    <row r="15413" spans="1:1" x14ac:dyDescent="0.15">
      <c r="A15413" s="1"/>
    </row>
    <row r="15414" spans="1:1" x14ac:dyDescent="0.15">
      <c r="A15414" s="1"/>
    </row>
    <row r="15415" spans="1:1" x14ac:dyDescent="0.15">
      <c r="A15415" s="1"/>
    </row>
    <row r="15416" spans="1:1" x14ac:dyDescent="0.15">
      <c r="A15416" s="1"/>
    </row>
    <row r="15417" spans="1:1" x14ac:dyDescent="0.15">
      <c r="A15417" s="1"/>
    </row>
    <row r="15418" spans="1:1" x14ac:dyDescent="0.15">
      <c r="A15418" s="1"/>
    </row>
    <row r="15419" spans="1:1" x14ac:dyDescent="0.15">
      <c r="A15419" s="1"/>
    </row>
    <row r="15420" spans="1:1" x14ac:dyDescent="0.15">
      <c r="A15420" s="1"/>
    </row>
    <row r="15421" spans="1:1" x14ac:dyDescent="0.15">
      <c r="A15421" s="1"/>
    </row>
    <row r="15422" spans="1:1" x14ac:dyDescent="0.15">
      <c r="A15422" s="1"/>
    </row>
    <row r="15423" spans="1:1" x14ac:dyDescent="0.15">
      <c r="A15423" s="1"/>
    </row>
    <row r="15424" spans="1:1" x14ac:dyDescent="0.15">
      <c r="A15424" s="1"/>
    </row>
    <row r="15425" spans="1:1" x14ac:dyDescent="0.15">
      <c r="A15425" s="1"/>
    </row>
    <row r="15426" spans="1:1" x14ac:dyDescent="0.15">
      <c r="A15426" s="1"/>
    </row>
    <row r="15427" spans="1:1" x14ac:dyDescent="0.15">
      <c r="A15427" s="1"/>
    </row>
    <row r="15428" spans="1:1" x14ac:dyDescent="0.15">
      <c r="A15428" s="1"/>
    </row>
    <row r="15429" spans="1:1" x14ac:dyDescent="0.15">
      <c r="A15429" s="1"/>
    </row>
    <row r="15430" spans="1:1" x14ac:dyDescent="0.15">
      <c r="A15430" s="1"/>
    </row>
    <row r="15431" spans="1:1" x14ac:dyDescent="0.15">
      <c r="A15431" s="1"/>
    </row>
    <row r="15432" spans="1:1" x14ac:dyDescent="0.15">
      <c r="A15432" s="1"/>
    </row>
    <row r="15433" spans="1:1" x14ac:dyDescent="0.15">
      <c r="A15433" s="1"/>
    </row>
    <row r="15434" spans="1:1" x14ac:dyDescent="0.15">
      <c r="A15434" s="1"/>
    </row>
    <row r="15435" spans="1:1" x14ac:dyDescent="0.15">
      <c r="A15435" s="1"/>
    </row>
    <row r="15436" spans="1:1" x14ac:dyDescent="0.15">
      <c r="A15436" s="1"/>
    </row>
    <row r="15437" spans="1:1" x14ac:dyDescent="0.15">
      <c r="A15437" s="1"/>
    </row>
    <row r="15438" spans="1:1" x14ac:dyDescent="0.15">
      <c r="A15438" s="1"/>
    </row>
    <row r="15439" spans="1:1" x14ac:dyDescent="0.15">
      <c r="A15439" s="1"/>
    </row>
    <row r="15440" spans="1:1" x14ac:dyDescent="0.15">
      <c r="A15440" s="1"/>
    </row>
    <row r="15441" spans="1:1" x14ac:dyDescent="0.15">
      <c r="A15441" s="1"/>
    </row>
    <row r="15442" spans="1:1" x14ac:dyDescent="0.15">
      <c r="A15442" s="1"/>
    </row>
    <row r="15443" spans="1:1" x14ac:dyDescent="0.15">
      <c r="A15443" s="1"/>
    </row>
    <row r="15444" spans="1:1" x14ac:dyDescent="0.15">
      <c r="A15444" s="1"/>
    </row>
    <row r="15445" spans="1:1" x14ac:dyDescent="0.15">
      <c r="A15445" s="1"/>
    </row>
    <row r="15446" spans="1:1" x14ac:dyDescent="0.15">
      <c r="A15446" s="1"/>
    </row>
    <row r="15447" spans="1:1" x14ac:dyDescent="0.15">
      <c r="A15447" s="1"/>
    </row>
    <row r="15448" spans="1:1" x14ac:dyDescent="0.15">
      <c r="A15448" s="1"/>
    </row>
    <row r="15449" spans="1:1" x14ac:dyDescent="0.15">
      <c r="A15449" s="1"/>
    </row>
    <row r="15450" spans="1:1" x14ac:dyDescent="0.15">
      <c r="A15450" s="1"/>
    </row>
    <row r="15451" spans="1:1" x14ac:dyDescent="0.15">
      <c r="A15451" s="1"/>
    </row>
    <row r="15452" spans="1:1" x14ac:dyDescent="0.15">
      <c r="A15452" s="1"/>
    </row>
    <row r="15453" spans="1:1" x14ac:dyDescent="0.15">
      <c r="A15453" s="1"/>
    </row>
    <row r="15454" spans="1:1" x14ac:dyDescent="0.15">
      <c r="A15454" s="1"/>
    </row>
    <row r="15455" spans="1:1" x14ac:dyDescent="0.15">
      <c r="A15455" s="1"/>
    </row>
    <row r="15456" spans="1:1" x14ac:dyDescent="0.15">
      <c r="A15456" s="1"/>
    </row>
    <row r="15457" spans="1:1" x14ac:dyDescent="0.15">
      <c r="A15457" s="1"/>
    </row>
    <row r="15458" spans="1:1" x14ac:dyDescent="0.15">
      <c r="A15458" s="1"/>
    </row>
    <row r="15459" spans="1:1" x14ac:dyDescent="0.15">
      <c r="A15459" s="1"/>
    </row>
    <row r="15460" spans="1:1" x14ac:dyDescent="0.15">
      <c r="A15460" s="1"/>
    </row>
    <row r="15461" spans="1:1" x14ac:dyDescent="0.15">
      <c r="A15461" s="1"/>
    </row>
    <row r="15462" spans="1:1" x14ac:dyDescent="0.15">
      <c r="A15462" s="1"/>
    </row>
    <row r="15463" spans="1:1" x14ac:dyDescent="0.15">
      <c r="A15463" s="1"/>
    </row>
    <row r="15464" spans="1:1" x14ac:dyDescent="0.15">
      <c r="A15464" s="1"/>
    </row>
    <row r="15465" spans="1:1" x14ac:dyDescent="0.15">
      <c r="A15465" s="1"/>
    </row>
    <row r="15466" spans="1:1" x14ac:dyDescent="0.15">
      <c r="A15466" s="1"/>
    </row>
    <row r="15467" spans="1:1" x14ac:dyDescent="0.15">
      <c r="A15467" s="1"/>
    </row>
    <row r="15468" spans="1:1" x14ac:dyDescent="0.15">
      <c r="A15468" s="1"/>
    </row>
    <row r="15469" spans="1:1" x14ac:dyDescent="0.15">
      <c r="A15469" s="1"/>
    </row>
    <row r="15470" spans="1:1" x14ac:dyDescent="0.15">
      <c r="A15470" s="1"/>
    </row>
    <row r="15471" spans="1:1" x14ac:dyDescent="0.15">
      <c r="A15471" s="1"/>
    </row>
    <row r="15472" spans="1:1" x14ac:dyDescent="0.15">
      <c r="A15472" s="1"/>
    </row>
    <row r="15473" spans="1:1" x14ac:dyDescent="0.15">
      <c r="A15473" s="1"/>
    </row>
    <row r="15474" spans="1:1" x14ac:dyDescent="0.15">
      <c r="A15474" s="1"/>
    </row>
    <row r="15475" spans="1:1" x14ac:dyDescent="0.15">
      <c r="A15475" s="1"/>
    </row>
    <row r="15476" spans="1:1" x14ac:dyDescent="0.15">
      <c r="A15476" s="1"/>
    </row>
    <row r="15477" spans="1:1" x14ac:dyDescent="0.15">
      <c r="A15477" s="1"/>
    </row>
    <row r="15478" spans="1:1" x14ac:dyDescent="0.15">
      <c r="A15478" s="1"/>
    </row>
    <row r="15479" spans="1:1" x14ac:dyDescent="0.15">
      <c r="A15479" s="1"/>
    </row>
    <row r="15480" spans="1:1" x14ac:dyDescent="0.15">
      <c r="A15480" s="1"/>
    </row>
    <row r="15481" spans="1:1" x14ac:dyDescent="0.15">
      <c r="A15481" s="1"/>
    </row>
    <row r="15482" spans="1:1" x14ac:dyDescent="0.15">
      <c r="A15482" s="1"/>
    </row>
    <row r="15483" spans="1:1" x14ac:dyDescent="0.15">
      <c r="A15483" s="1"/>
    </row>
    <row r="15484" spans="1:1" x14ac:dyDescent="0.15">
      <c r="A15484" s="1"/>
    </row>
    <row r="15485" spans="1:1" x14ac:dyDescent="0.15">
      <c r="A15485" s="1"/>
    </row>
    <row r="15486" spans="1:1" x14ac:dyDescent="0.15">
      <c r="A15486" s="1"/>
    </row>
    <row r="15487" spans="1:1" x14ac:dyDescent="0.15">
      <c r="A15487" s="1"/>
    </row>
    <row r="15488" spans="1:1" x14ac:dyDescent="0.15">
      <c r="A15488" s="1"/>
    </row>
    <row r="15489" spans="1:1" x14ac:dyDescent="0.15">
      <c r="A15489" s="1"/>
    </row>
    <row r="15490" spans="1:1" x14ac:dyDescent="0.15">
      <c r="A15490" s="1"/>
    </row>
    <row r="15491" spans="1:1" x14ac:dyDescent="0.15">
      <c r="A15491" s="1"/>
    </row>
    <row r="15492" spans="1:1" x14ac:dyDescent="0.15">
      <c r="A15492" s="1"/>
    </row>
    <row r="15493" spans="1:1" x14ac:dyDescent="0.15">
      <c r="A15493" s="1"/>
    </row>
    <row r="15494" spans="1:1" x14ac:dyDescent="0.15">
      <c r="A15494" s="1"/>
    </row>
    <row r="15495" spans="1:1" x14ac:dyDescent="0.15">
      <c r="A15495" s="1"/>
    </row>
    <row r="15496" spans="1:1" x14ac:dyDescent="0.15">
      <c r="A15496" s="1"/>
    </row>
    <row r="15497" spans="1:1" x14ac:dyDescent="0.15">
      <c r="A15497" s="1"/>
    </row>
    <row r="15498" spans="1:1" x14ac:dyDescent="0.15">
      <c r="A15498" s="1"/>
    </row>
    <row r="15499" spans="1:1" x14ac:dyDescent="0.15">
      <c r="A15499" s="1"/>
    </row>
    <row r="15500" spans="1:1" x14ac:dyDescent="0.15">
      <c r="A15500" s="1"/>
    </row>
    <row r="15501" spans="1:1" x14ac:dyDescent="0.15">
      <c r="A15501" s="1"/>
    </row>
    <row r="15502" spans="1:1" x14ac:dyDescent="0.15">
      <c r="A15502" s="1"/>
    </row>
    <row r="15503" spans="1:1" x14ac:dyDescent="0.15">
      <c r="A15503" s="1"/>
    </row>
    <row r="15504" spans="1:1" x14ac:dyDescent="0.15">
      <c r="A15504" s="1"/>
    </row>
    <row r="15505" spans="1:1" x14ac:dyDescent="0.15">
      <c r="A15505" s="1"/>
    </row>
    <row r="15506" spans="1:1" x14ac:dyDescent="0.15">
      <c r="A15506" s="1"/>
    </row>
    <row r="15507" spans="1:1" x14ac:dyDescent="0.15">
      <c r="A15507" s="1"/>
    </row>
    <row r="15508" spans="1:1" x14ac:dyDescent="0.15">
      <c r="A15508" s="1"/>
    </row>
    <row r="15509" spans="1:1" x14ac:dyDescent="0.15">
      <c r="A15509" s="1"/>
    </row>
    <row r="15510" spans="1:1" x14ac:dyDescent="0.15">
      <c r="A15510" s="1"/>
    </row>
    <row r="15511" spans="1:1" x14ac:dyDescent="0.15">
      <c r="A15511" s="1"/>
    </row>
    <row r="15512" spans="1:1" x14ac:dyDescent="0.15">
      <c r="A15512" s="1"/>
    </row>
    <row r="15513" spans="1:1" x14ac:dyDescent="0.15">
      <c r="A15513" s="1"/>
    </row>
    <row r="15514" spans="1:1" x14ac:dyDescent="0.15">
      <c r="A15514" s="1"/>
    </row>
    <row r="15515" spans="1:1" x14ac:dyDescent="0.15">
      <c r="A15515" s="1"/>
    </row>
    <row r="15516" spans="1:1" x14ac:dyDescent="0.15">
      <c r="A15516" s="1"/>
    </row>
    <row r="15517" spans="1:1" x14ac:dyDescent="0.15">
      <c r="A15517" s="1"/>
    </row>
    <row r="15518" spans="1:1" x14ac:dyDescent="0.15">
      <c r="A15518" s="1"/>
    </row>
    <row r="15519" spans="1:1" x14ac:dyDescent="0.15">
      <c r="A15519" s="1"/>
    </row>
    <row r="15520" spans="1:1" x14ac:dyDescent="0.15">
      <c r="A15520" s="1"/>
    </row>
    <row r="15521" spans="1:1" x14ac:dyDescent="0.15">
      <c r="A15521" s="1"/>
    </row>
    <row r="15522" spans="1:1" x14ac:dyDescent="0.15">
      <c r="A15522" s="1"/>
    </row>
    <row r="15523" spans="1:1" x14ac:dyDescent="0.15">
      <c r="A15523" s="1"/>
    </row>
    <row r="15524" spans="1:1" x14ac:dyDescent="0.15">
      <c r="A15524" s="1"/>
    </row>
    <row r="15525" spans="1:1" x14ac:dyDescent="0.15">
      <c r="A15525" s="1"/>
    </row>
    <row r="15526" spans="1:1" x14ac:dyDescent="0.15">
      <c r="A15526" s="1"/>
    </row>
    <row r="15527" spans="1:1" x14ac:dyDescent="0.15">
      <c r="A15527" s="1"/>
    </row>
    <row r="15528" spans="1:1" x14ac:dyDescent="0.15">
      <c r="A15528" s="1"/>
    </row>
    <row r="15529" spans="1:1" x14ac:dyDescent="0.15">
      <c r="A15529" s="1"/>
    </row>
    <row r="15530" spans="1:1" x14ac:dyDescent="0.15">
      <c r="A15530" s="1"/>
    </row>
    <row r="15531" spans="1:1" x14ac:dyDescent="0.15">
      <c r="A15531" s="1"/>
    </row>
    <row r="15532" spans="1:1" x14ac:dyDescent="0.15">
      <c r="A15532" s="1"/>
    </row>
    <row r="15533" spans="1:1" x14ac:dyDescent="0.15">
      <c r="A15533" s="1"/>
    </row>
    <row r="15534" spans="1:1" x14ac:dyDescent="0.15">
      <c r="A15534" s="1"/>
    </row>
    <row r="15535" spans="1:1" x14ac:dyDescent="0.15">
      <c r="A15535" s="1"/>
    </row>
    <row r="15536" spans="1:1" x14ac:dyDescent="0.15">
      <c r="A15536" s="1"/>
    </row>
    <row r="15537" spans="1:1" x14ac:dyDescent="0.15">
      <c r="A15537" s="1"/>
    </row>
    <row r="15538" spans="1:1" x14ac:dyDescent="0.15">
      <c r="A15538" s="1"/>
    </row>
    <row r="15539" spans="1:1" x14ac:dyDescent="0.15">
      <c r="A15539" s="1"/>
    </row>
    <row r="15540" spans="1:1" x14ac:dyDescent="0.15">
      <c r="A15540" s="1"/>
    </row>
    <row r="15541" spans="1:1" x14ac:dyDescent="0.15">
      <c r="A15541" s="1"/>
    </row>
    <row r="15542" spans="1:1" x14ac:dyDescent="0.15">
      <c r="A15542" s="1"/>
    </row>
    <row r="15543" spans="1:1" x14ac:dyDescent="0.15">
      <c r="A15543" s="1"/>
    </row>
    <row r="15544" spans="1:1" x14ac:dyDescent="0.15">
      <c r="A15544" s="1"/>
    </row>
    <row r="15545" spans="1:1" x14ac:dyDescent="0.15">
      <c r="A15545" s="1"/>
    </row>
    <row r="15546" spans="1:1" x14ac:dyDescent="0.15">
      <c r="A15546" s="1"/>
    </row>
    <row r="15547" spans="1:1" x14ac:dyDescent="0.15">
      <c r="A15547" s="1"/>
    </row>
    <row r="15548" spans="1:1" x14ac:dyDescent="0.15">
      <c r="A15548" s="1"/>
    </row>
    <row r="15549" spans="1:1" x14ac:dyDescent="0.15">
      <c r="A15549" s="1"/>
    </row>
    <row r="15550" spans="1:1" x14ac:dyDescent="0.15">
      <c r="A15550" s="1"/>
    </row>
    <row r="15551" spans="1:1" x14ac:dyDescent="0.15">
      <c r="A15551" s="1"/>
    </row>
    <row r="15552" spans="1:1" x14ac:dyDescent="0.15">
      <c r="A15552" s="1"/>
    </row>
    <row r="15553" spans="1:1" x14ac:dyDescent="0.15">
      <c r="A15553" s="1"/>
    </row>
    <row r="15554" spans="1:1" x14ac:dyDescent="0.15">
      <c r="A15554" s="1"/>
    </row>
    <row r="15555" spans="1:1" x14ac:dyDescent="0.15">
      <c r="A15555" s="1"/>
    </row>
    <row r="15556" spans="1:1" x14ac:dyDescent="0.15">
      <c r="A15556" s="1"/>
    </row>
    <row r="15557" spans="1:1" x14ac:dyDescent="0.15">
      <c r="A15557" s="1"/>
    </row>
    <row r="15558" spans="1:1" x14ac:dyDescent="0.15">
      <c r="A15558" s="1"/>
    </row>
    <row r="15559" spans="1:1" x14ac:dyDescent="0.15">
      <c r="A15559" s="1"/>
    </row>
    <row r="15560" spans="1:1" x14ac:dyDescent="0.15">
      <c r="A15560" s="1"/>
    </row>
    <row r="15561" spans="1:1" x14ac:dyDescent="0.15">
      <c r="A15561" s="1"/>
    </row>
    <row r="15562" spans="1:1" x14ac:dyDescent="0.15">
      <c r="A15562" s="1"/>
    </row>
    <row r="15563" spans="1:1" x14ac:dyDescent="0.15">
      <c r="A15563" s="1"/>
    </row>
    <row r="15564" spans="1:1" x14ac:dyDescent="0.15">
      <c r="A15564" s="1"/>
    </row>
    <row r="15565" spans="1:1" x14ac:dyDescent="0.15">
      <c r="A15565" s="1"/>
    </row>
    <row r="15566" spans="1:1" x14ac:dyDescent="0.15">
      <c r="A15566" s="1"/>
    </row>
    <row r="15567" spans="1:1" x14ac:dyDescent="0.15">
      <c r="A15567" s="1"/>
    </row>
    <row r="15568" spans="1:1" x14ac:dyDescent="0.15">
      <c r="A15568" s="1"/>
    </row>
    <row r="15569" spans="1:1" x14ac:dyDescent="0.15">
      <c r="A15569" s="1"/>
    </row>
    <row r="15570" spans="1:1" x14ac:dyDescent="0.15">
      <c r="A15570" s="1"/>
    </row>
    <row r="15571" spans="1:1" x14ac:dyDescent="0.15">
      <c r="A15571" s="1"/>
    </row>
    <row r="15572" spans="1:1" x14ac:dyDescent="0.15">
      <c r="A15572" s="1"/>
    </row>
    <row r="15573" spans="1:1" x14ac:dyDescent="0.15">
      <c r="A15573" s="1"/>
    </row>
    <row r="15574" spans="1:1" x14ac:dyDescent="0.15">
      <c r="A15574" s="1"/>
    </row>
    <row r="15575" spans="1:1" x14ac:dyDescent="0.15">
      <c r="A15575" s="1"/>
    </row>
    <row r="15576" spans="1:1" x14ac:dyDescent="0.15">
      <c r="A15576" s="1"/>
    </row>
    <row r="15577" spans="1:1" x14ac:dyDescent="0.15">
      <c r="A15577" s="1"/>
    </row>
    <row r="15578" spans="1:1" x14ac:dyDescent="0.15">
      <c r="A15578" s="1"/>
    </row>
    <row r="15579" spans="1:1" x14ac:dyDescent="0.15">
      <c r="A15579" s="1"/>
    </row>
    <row r="15580" spans="1:1" x14ac:dyDescent="0.15">
      <c r="A15580" s="1"/>
    </row>
    <row r="15581" spans="1:1" x14ac:dyDescent="0.15">
      <c r="A15581" s="1"/>
    </row>
    <row r="15582" spans="1:1" x14ac:dyDescent="0.15">
      <c r="A15582" s="1"/>
    </row>
    <row r="15583" spans="1:1" x14ac:dyDescent="0.15">
      <c r="A15583" s="1"/>
    </row>
    <row r="15584" spans="1:1" x14ac:dyDescent="0.15">
      <c r="A15584" s="1"/>
    </row>
    <row r="15585" spans="1:1" x14ac:dyDescent="0.15">
      <c r="A15585" s="1"/>
    </row>
    <row r="15586" spans="1:1" x14ac:dyDescent="0.15">
      <c r="A15586" s="1"/>
    </row>
    <row r="15587" spans="1:1" x14ac:dyDescent="0.15">
      <c r="A15587" s="1"/>
    </row>
    <row r="15588" spans="1:1" x14ac:dyDescent="0.15">
      <c r="A15588" s="1"/>
    </row>
    <row r="15589" spans="1:1" x14ac:dyDescent="0.15">
      <c r="A15589" s="1"/>
    </row>
    <row r="15590" spans="1:1" x14ac:dyDescent="0.15">
      <c r="A15590" s="1"/>
    </row>
    <row r="15591" spans="1:1" x14ac:dyDescent="0.15">
      <c r="A15591" s="1"/>
    </row>
    <row r="15592" spans="1:1" x14ac:dyDescent="0.15">
      <c r="A15592" s="1"/>
    </row>
    <row r="15593" spans="1:1" x14ac:dyDescent="0.15">
      <c r="A15593" s="1"/>
    </row>
    <row r="15594" spans="1:1" x14ac:dyDescent="0.15">
      <c r="A15594" s="1"/>
    </row>
    <row r="15595" spans="1:1" x14ac:dyDescent="0.15">
      <c r="A15595" s="1"/>
    </row>
    <row r="15596" spans="1:1" x14ac:dyDescent="0.15">
      <c r="A15596" s="1"/>
    </row>
    <row r="15597" spans="1:1" x14ac:dyDescent="0.15">
      <c r="A15597" s="1"/>
    </row>
    <row r="15598" spans="1:1" x14ac:dyDescent="0.15">
      <c r="A15598" s="1"/>
    </row>
    <row r="15599" spans="1:1" x14ac:dyDescent="0.15">
      <c r="A15599" s="1"/>
    </row>
    <row r="15600" spans="1:1" x14ac:dyDescent="0.15">
      <c r="A15600" s="1"/>
    </row>
    <row r="15601" spans="1:1" x14ac:dyDescent="0.15">
      <c r="A15601" s="1"/>
    </row>
    <row r="15602" spans="1:1" x14ac:dyDescent="0.15">
      <c r="A15602" s="1"/>
    </row>
    <row r="15603" spans="1:1" x14ac:dyDescent="0.15">
      <c r="A15603" s="1"/>
    </row>
    <row r="15604" spans="1:1" x14ac:dyDescent="0.15">
      <c r="A15604" s="1"/>
    </row>
    <row r="15605" spans="1:1" x14ac:dyDescent="0.15">
      <c r="A15605" s="1"/>
    </row>
    <row r="15606" spans="1:1" x14ac:dyDescent="0.15">
      <c r="A15606" s="1"/>
    </row>
    <row r="15607" spans="1:1" x14ac:dyDescent="0.15">
      <c r="A15607" s="1"/>
    </row>
    <row r="15608" spans="1:1" x14ac:dyDescent="0.15">
      <c r="A15608" s="1"/>
    </row>
    <row r="15609" spans="1:1" x14ac:dyDescent="0.15">
      <c r="A15609" s="1"/>
    </row>
    <row r="15610" spans="1:1" x14ac:dyDescent="0.15">
      <c r="A15610" s="1"/>
    </row>
    <row r="15611" spans="1:1" x14ac:dyDescent="0.15">
      <c r="A15611" s="1"/>
    </row>
    <row r="15612" spans="1:1" x14ac:dyDescent="0.15">
      <c r="A15612" s="1"/>
    </row>
    <row r="15613" spans="1:1" x14ac:dyDescent="0.15">
      <c r="A15613" s="1"/>
    </row>
    <row r="15614" spans="1:1" x14ac:dyDescent="0.15">
      <c r="A15614" s="1"/>
    </row>
    <row r="15615" spans="1:1" x14ac:dyDescent="0.15">
      <c r="A15615" s="1"/>
    </row>
    <row r="15616" spans="1:1" x14ac:dyDescent="0.15">
      <c r="A15616" s="1"/>
    </row>
    <row r="15617" spans="1:1" x14ac:dyDescent="0.15">
      <c r="A15617" s="1"/>
    </row>
    <row r="15618" spans="1:1" x14ac:dyDescent="0.15">
      <c r="A15618" s="1"/>
    </row>
    <row r="15619" spans="1:1" x14ac:dyDescent="0.15">
      <c r="A15619" s="1"/>
    </row>
    <row r="15620" spans="1:1" x14ac:dyDescent="0.15">
      <c r="A15620" s="1"/>
    </row>
    <row r="15621" spans="1:1" x14ac:dyDescent="0.15">
      <c r="A15621" s="1"/>
    </row>
    <row r="15622" spans="1:1" x14ac:dyDescent="0.15">
      <c r="A15622" s="1"/>
    </row>
    <row r="15623" spans="1:1" x14ac:dyDescent="0.15">
      <c r="A15623" s="1"/>
    </row>
    <row r="15624" spans="1:1" x14ac:dyDescent="0.15">
      <c r="A15624" s="1"/>
    </row>
    <row r="15625" spans="1:1" x14ac:dyDescent="0.15">
      <c r="A15625" s="1"/>
    </row>
    <row r="15626" spans="1:1" x14ac:dyDescent="0.15">
      <c r="A15626" s="1"/>
    </row>
    <row r="15627" spans="1:1" x14ac:dyDescent="0.15">
      <c r="A15627" s="1"/>
    </row>
    <row r="15628" spans="1:1" x14ac:dyDescent="0.15">
      <c r="A15628" s="1"/>
    </row>
    <row r="15629" spans="1:1" x14ac:dyDescent="0.15">
      <c r="A15629" s="1"/>
    </row>
    <row r="15630" spans="1:1" x14ac:dyDescent="0.15">
      <c r="A15630" s="1"/>
    </row>
    <row r="15631" spans="1:1" x14ac:dyDescent="0.15">
      <c r="A15631" s="1"/>
    </row>
    <row r="15632" spans="1:1" x14ac:dyDescent="0.15">
      <c r="A15632" s="1"/>
    </row>
    <row r="15633" spans="1:1" x14ac:dyDescent="0.15">
      <c r="A15633" s="1"/>
    </row>
    <row r="15634" spans="1:1" x14ac:dyDescent="0.15">
      <c r="A15634" s="1"/>
    </row>
    <row r="15635" spans="1:1" x14ac:dyDescent="0.15">
      <c r="A15635" s="1"/>
    </row>
    <row r="15636" spans="1:1" x14ac:dyDescent="0.15">
      <c r="A15636" s="1"/>
    </row>
    <row r="15637" spans="1:1" x14ac:dyDescent="0.15">
      <c r="A15637" s="1"/>
    </row>
    <row r="15638" spans="1:1" x14ac:dyDescent="0.15">
      <c r="A15638" s="1"/>
    </row>
    <row r="15639" spans="1:1" x14ac:dyDescent="0.15">
      <c r="A15639" s="1"/>
    </row>
    <row r="15640" spans="1:1" x14ac:dyDescent="0.15">
      <c r="A15640" s="1"/>
    </row>
    <row r="15641" spans="1:1" x14ac:dyDescent="0.15">
      <c r="A15641" s="1"/>
    </row>
    <row r="15642" spans="1:1" x14ac:dyDescent="0.15">
      <c r="A15642" s="1"/>
    </row>
    <row r="15643" spans="1:1" x14ac:dyDescent="0.15">
      <c r="A15643" s="1"/>
    </row>
    <row r="15644" spans="1:1" x14ac:dyDescent="0.15">
      <c r="A15644" s="1"/>
    </row>
    <row r="15645" spans="1:1" x14ac:dyDescent="0.15">
      <c r="A15645" s="1"/>
    </row>
    <row r="15646" spans="1:1" x14ac:dyDescent="0.15">
      <c r="A15646" s="1"/>
    </row>
    <row r="15647" spans="1:1" x14ac:dyDescent="0.15">
      <c r="A15647" s="1"/>
    </row>
    <row r="15648" spans="1:1" x14ac:dyDescent="0.15">
      <c r="A15648" s="1"/>
    </row>
    <row r="15649" spans="1:1" x14ac:dyDescent="0.15">
      <c r="A15649" s="1"/>
    </row>
    <row r="15650" spans="1:1" x14ac:dyDescent="0.15">
      <c r="A15650" s="1"/>
    </row>
    <row r="15651" spans="1:1" x14ac:dyDescent="0.15">
      <c r="A15651" s="1"/>
    </row>
    <row r="15652" spans="1:1" x14ac:dyDescent="0.15">
      <c r="A15652" s="1"/>
    </row>
    <row r="15653" spans="1:1" x14ac:dyDescent="0.15">
      <c r="A15653" s="1"/>
    </row>
    <row r="15654" spans="1:1" x14ac:dyDescent="0.15">
      <c r="A15654" s="1"/>
    </row>
    <row r="15655" spans="1:1" x14ac:dyDescent="0.15">
      <c r="A15655" s="1"/>
    </row>
    <row r="15656" spans="1:1" x14ac:dyDescent="0.15">
      <c r="A15656" s="1"/>
    </row>
    <row r="15657" spans="1:1" x14ac:dyDescent="0.15">
      <c r="A15657" s="1"/>
    </row>
    <row r="15658" spans="1:1" x14ac:dyDescent="0.15">
      <c r="A15658" s="1"/>
    </row>
    <row r="15659" spans="1:1" x14ac:dyDescent="0.15">
      <c r="A15659" s="1"/>
    </row>
    <row r="15660" spans="1:1" x14ac:dyDescent="0.15">
      <c r="A15660" s="1"/>
    </row>
    <row r="15661" spans="1:1" x14ac:dyDescent="0.15">
      <c r="A15661" s="1"/>
    </row>
    <row r="15662" spans="1:1" x14ac:dyDescent="0.15">
      <c r="A15662" s="1"/>
    </row>
    <row r="15663" spans="1:1" x14ac:dyDescent="0.15">
      <c r="A15663" s="1"/>
    </row>
    <row r="15664" spans="1:1" x14ac:dyDescent="0.15">
      <c r="A15664" s="1"/>
    </row>
    <row r="15665" spans="1:1" x14ac:dyDescent="0.15">
      <c r="A15665" s="1"/>
    </row>
    <row r="15666" spans="1:1" x14ac:dyDescent="0.15">
      <c r="A15666" s="1"/>
    </row>
    <row r="15667" spans="1:1" x14ac:dyDescent="0.15">
      <c r="A15667" s="1"/>
    </row>
    <row r="15668" spans="1:1" x14ac:dyDescent="0.15">
      <c r="A15668" s="1"/>
    </row>
    <row r="15669" spans="1:1" x14ac:dyDescent="0.15">
      <c r="A15669" s="1"/>
    </row>
    <row r="15670" spans="1:1" x14ac:dyDescent="0.15">
      <c r="A15670" s="1"/>
    </row>
    <row r="15671" spans="1:1" x14ac:dyDescent="0.15">
      <c r="A15671" s="1"/>
    </row>
    <row r="15672" spans="1:1" x14ac:dyDescent="0.15">
      <c r="A15672" s="1"/>
    </row>
    <row r="15673" spans="1:1" x14ac:dyDescent="0.15">
      <c r="A15673" s="1"/>
    </row>
    <row r="15674" spans="1:1" x14ac:dyDescent="0.15">
      <c r="A15674" s="1"/>
    </row>
    <row r="15675" spans="1:1" x14ac:dyDescent="0.15">
      <c r="A15675" s="1"/>
    </row>
    <row r="15676" spans="1:1" x14ac:dyDescent="0.15">
      <c r="A15676" s="1"/>
    </row>
    <row r="15677" spans="1:1" x14ac:dyDescent="0.15">
      <c r="A15677" s="1"/>
    </row>
    <row r="15678" spans="1:1" x14ac:dyDescent="0.15">
      <c r="A15678" s="1"/>
    </row>
    <row r="15679" spans="1:1" x14ac:dyDescent="0.15">
      <c r="A15679" s="1"/>
    </row>
    <row r="15680" spans="1:1" x14ac:dyDescent="0.15">
      <c r="A15680" s="1"/>
    </row>
    <row r="15681" spans="1:1" x14ac:dyDescent="0.15">
      <c r="A15681" s="1"/>
    </row>
    <row r="15682" spans="1:1" x14ac:dyDescent="0.15">
      <c r="A15682" s="1"/>
    </row>
    <row r="15683" spans="1:1" x14ac:dyDescent="0.15">
      <c r="A15683" s="1"/>
    </row>
    <row r="15684" spans="1:1" x14ac:dyDescent="0.15">
      <c r="A15684" s="1"/>
    </row>
    <row r="15685" spans="1:1" x14ac:dyDescent="0.15">
      <c r="A15685" s="1"/>
    </row>
    <row r="15686" spans="1:1" x14ac:dyDescent="0.15">
      <c r="A15686" s="1"/>
    </row>
    <row r="15687" spans="1:1" x14ac:dyDescent="0.15">
      <c r="A15687" s="1"/>
    </row>
    <row r="15688" spans="1:1" x14ac:dyDescent="0.15">
      <c r="A15688" s="1"/>
    </row>
    <row r="15689" spans="1:1" x14ac:dyDescent="0.15">
      <c r="A15689" s="1"/>
    </row>
    <row r="15690" spans="1:1" x14ac:dyDescent="0.15">
      <c r="A15690" s="1"/>
    </row>
    <row r="15691" spans="1:1" x14ac:dyDescent="0.15">
      <c r="A15691" s="1"/>
    </row>
    <row r="15692" spans="1:1" x14ac:dyDescent="0.15">
      <c r="A15692" s="1"/>
    </row>
    <row r="15693" spans="1:1" x14ac:dyDescent="0.15">
      <c r="A15693" s="1"/>
    </row>
    <row r="15694" spans="1:1" x14ac:dyDescent="0.15">
      <c r="A15694" s="1"/>
    </row>
    <row r="15695" spans="1:1" x14ac:dyDescent="0.15">
      <c r="A15695" s="1"/>
    </row>
    <row r="15696" spans="1:1" x14ac:dyDescent="0.15">
      <c r="A15696" s="1"/>
    </row>
    <row r="15697" spans="1:1" x14ac:dyDescent="0.15">
      <c r="A15697" s="1"/>
    </row>
    <row r="15698" spans="1:1" x14ac:dyDescent="0.15">
      <c r="A15698" s="1"/>
    </row>
    <row r="15699" spans="1:1" x14ac:dyDescent="0.15">
      <c r="A15699" s="1"/>
    </row>
    <row r="15700" spans="1:1" x14ac:dyDescent="0.15">
      <c r="A15700" s="1"/>
    </row>
    <row r="15701" spans="1:1" x14ac:dyDescent="0.15">
      <c r="A15701" s="1"/>
    </row>
    <row r="15702" spans="1:1" x14ac:dyDescent="0.15">
      <c r="A15702" s="1"/>
    </row>
    <row r="15703" spans="1:1" x14ac:dyDescent="0.15">
      <c r="A15703" s="1"/>
    </row>
    <row r="15704" spans="1:1" x14ac:dyDescent="0.15">
      <c r="A15704" s="1"/>
    </row>
    <row r="15705" spans="1:1" x14ac:dyDescent="0.15">
      <c r="A15705" s="1"/>
    </row>
    <row r="15706" spans="1:1" x14ac:dyDescent="0.15">
      <c r="A15706" s="1"/>
    </row>
    <row r="15707" spans="1:1" x14ac:dyDescent="0.15">
      <c r="A15707" s="1"/>
    </row>
    <row r="15708" spans="1:1" x14ac:dyDescent="0.15">
      <c r="A15708" s="1"/>
    </row>
    <row r="15709" spans="1:1" x14ac:dyDescent="0.15">
      <c r="A15709" s="1"/>
    </row>
    <row r="15710" spans="1:1" x14ac:dyDescent="0.15">
      <c r="A15710" s="1"/>
    </row>
    <row r="15711" spans="1:1" x14ac:dyDescent="0.15">
      <c r="A15711" s="1"/>
    </row>
    <row r="15712" spans="1:1" x14ac:dyDescent="0.15">
      <c r="A15712" s="1"/>
    </row>
    <row r="15713" spans="1:1" x14ac:dyDescent="0.15">
      <c r="A15713" s="1"/>
    </row>
    <row r="15714" spans="1:1" x14ac:dyDescent="0.15">
      <c r="A15714" s="1"/>
    </row>
    <row r="15715" spans="1:1" x14ac:dyDescent="0.15">
      <c r="A15715" s="1"/>
    </row>
    <row r="15716" spans="1:1" x14ac:dyDescent="0.15">
      <c r="A15716" s="1"/>
    </row>
    <row r="15717" spans="1:1" x14ac:dyDescent="0.15">
      <c r="A15717" s="1"/>
    </row>
    <row r="15718" spans="1:1" x14ac:dyDescent="0.15">
      <c r="A15718" s="1"/>
    </row>
    <row r="15719" spans="1:1" x14ac:dyDescent="0.15">
      <c r="A15719" s="1"/>
    </row>
    <row r="15720" spans="1:1" x14ac:dyDescent="0.15">
      <c r="A15720" s="1"/>
    </row>
    <row r="15721" spans="1:1" x14ac:dyDescent="0.15">
      <c r="A15721" s="1"/>
    </row>
    <row r="15722" spans="1:1" x14ac:dyDescent="0.15">
      <c r="A15722" s="1"/>
    </row>
    <row r="15723" spans="1:1" x14ac:dyDescent="0.15">
      <c r="A15723" s="1"/>
    </row>
    <row r="15724" spans="1:1" x14ac:dyDescent="0.15">
      <c r="A15724" s="1"/>
    </row>
    <row r="15725" spans="1:1" x14ac:dyDescent="0.15">
      <c r="A15725" s="1"/>
    </row>
    <row r="15726" spans="1:1" x14ac:dyDescent="0.15">
      <c r="A15726" s="1"/>
    </row>
    <row r="15727" spans="1:1" x14ac:dyDescent="0.15">
      <c r="A15727" s="1"/>
    </row>
    <row r="15728" spans="1:1" x14ac:dyDescent="0.15">
      <c r="A15728" s="1"/>
    </row>
    <row r="15729" spans="1:1" x14ac:dyDescent="0.15">
      <c r="A15729" s="1"/>
    </row>
    <row r="15730" spans="1:1" x14ac:dyDescent="0.15">
      <c r="A15730" s="1"/>
    </row>
    <row r="15731" spans="1:1" x14ac:dyDescent="0.15">
      <c r="A15731" s="1"/>
    </row>
    <row r="15732" spans="1:1" x14ac:dyDescent="0.15">
      <c r="A15732" s="1"/>
    </row>
    <row r="15733" spans="1:1" x14ac:dyDescent="0.15">
      <c r="A15733" s="1"/>
    </row>
    <row r="15734" spans="1:1" x14ac:dyDescent="0.15">
      <c r="A15734" s="1"/>
    </row>
    <row r="15735" spans="1:1" x14ac:dyDescent="0.15">
      <c r="A15735" s="1"/>
    </row>
    <row r="15736" spans="1:1" x14ac:dyDescent="0.15">
      <c r="A15736" s="1"/>
    </row>
    <row r="15737" spans="1:1" x14ac:dyDescent="0.15">
      <c r="A15737" s="1"/>
    </row>
    <row r="15738" spans="1:1" x14ac:dyDescent="0.15">
      <c r="A15738" s="1"/>
    </row>
    <row r="15739" spans="1:1" x14ac:dyDescent="0.15">
      <c r="A15739" s="1"/>
    </row>
    <row r="15740" spans="1:1" x14ac:dyDescent="0.15">
      <c r="A15740" s="1"/>
    </row>
    <row r="15741" spans="1:1" x14ac:dyDescent="0.15">
      <c r="A15741" s="1"/>
    </row>
    <row r="15742" spans="1:1" x14ac:dyDescent="0.15">
      <c r="A15742" s="1"/>
    </row>
    <row r="15743" spans="1:1" x14ac:dyDescent="0.15">
      <c r="A15743" s="1"/>
    </row>
    <row r="15744" spans="1:1" x14ac:dyDescent="0.15">
      <c r="A15744" s="1"/>
    </row>
    <row r="15745" spans="1:1" x14ac:dyDescent="0.15">
      <c r="A15745" s="1"/>
    </row>
    <row r="15746" spans="1:1" x14ac:dyDescent="0.15">
      <c r="A15746" s="1"/>
    </row>
    <row r="15747" spans="1:1" x14ac:dyDescent="0.15">
      <c r="A15747" s="1"/>
    </row>
    <row r="15748" spans="1:1" x14ac:dyDescent="0.15">
      <c r="A15748" s="1"/>
    </row>
    <row r="15749" spans="1:1" x14ac:dyDescent="0.15">
      <c r="A15749" s="1"/>
    </row>
    <row r="15750" spans="1:1" x14ac:dyDescent="0.15">
      <c r="A15750" s="1"/>
    </row>
    <row r="15751" spans="1:1" x14ac:dyDescent="0.15">
      <c r="A15751" s="1"/>
    </row>
    <row r="15752" spans="1:1" x14ac:dyDescent="0.15">
      <c r="A15752" s="1"/>
    </row>
    <row r="15753" spans="1:1" x14ac:dyDescent="0.15">
      <c r="A15753" s="1"/>
    </row>
    <row r="15754" spans="1:1" x14ac:dyDescent="0.15">
      <c r="A15754" s="1"/>
    </row>
    <row r="15755" spans="1:1" x14ac:dyDescent="0.15">
      <c r="A15755" s="1"/>
    </row>
    <row r="15756" spans="1:1" x14ac:dyDescent="0.15">
      <c r="A15756" s="1"/>
    </row>
    <row r="15757" spans="1:1" x14ac:dyDescent="0.15">
      <c r="A15757" s="1"/>
    </row>
    <row r="15758" spans="1:1" x14ac:dyDescent="0.15">
      <c r="A15758" s="1"/>
    </row>
    <row r="15759" spans="1:1" x14ac:dyDescent="0.15">
      <c r="A15759" s="1"/>
    </row>
    <row r="15760" spans="1:1" x14ac:dyDescent="0.15">
      <c r="A15760" s="1"/>
    </row>
    <row r="15761" spans="1:1" x14ac:dyDescent="0.15">
      <c r="A15761" s="1"/>
    </row>
    <row r="15762" spans="1:1" x14ac:dyDescent="0.15">
      <c r="A15762" s="1"/>
    </row>
    <row r="15763" spans="1:1" x14ac:dyDescent="0.15">
      <c r="A15763" s="1"/>
    </row>
    <row r="15764" spans="1:1" x14ac:dyDescent="0.15">
      <c r="A15764" s="1"/>
    </row>
    <row r="15765" spans="1:1" x14ac:dyDescent="0.15">
      <c r="A15765" s="1"/>
    </row>
    <row r="15766" spans="1:1" x14ac:dyDescent="0.15">
      <c r="A15766" s="1"/>
    </row>
    <row r="15767" spans="1:1" x14ac:dyDescent="0.15">
      <c r="A15767" s="1"/>
    </row>
    <row r="15768" spans="1:1" x14ac:dyDescent="0.15">
      <c r="A15768" s="1"/>
    </row>
    <row r="15769" spans="1:1" x14ac:dyDescent="0.15">
      <c r="A15769" s="1"/>
    </row>
    <row r="15770" spans="1:1" x14ac:dyDescent="0.15">
      <c r="A15770" s="1"/>
    </row>
    <row r="15771" spans="1:1" x14ac:dyDescent="0.15">
      <c r="A15771" s="1"/>
    </row>
    <row r="15772" spans="1:1" x14ac:dyDescent="0.15">
      <c r="A15772" s="1"/>
    </row>
    <row r="15773" spans="1:1" x14ac:dyDescent="0.15">
      <c r="A15773" s="1"/>
    </row>
    <row r="15774" spans="1:1" x14ac:dyDescent="0.15">
      <c r="A15774" s="1"/>
    </row>
    <row r="15775" spans="1:1" x14ac:dyDescent="0.15">
      <c r="A15775" s="1"/>
    </row>
    <row r="15776" spans="1:1" x14ac:dyDescent="0.15">
      <c r="A15776" s="1"/>
    </row>
    <row r="15777" spans="1:1" x14ac:dyDescent="0.15">
      <c r="A15777" s="1"/>
    </row>
    <row r="15778" spans="1:1" x14ac:dyDescent="0.15">
      <c r="A15778" s="1"/>
    </row>
    <row r="15779" spans="1:1" x14ac:dyDescent="0.15">
      <c r="A15779" s="1"/>
    </row>
    <row r="15780" spans="1:1" x14ac:dyDescent="0.15">
      <c r="A15780" s="1"/>
    </row>
    <row r="15781" spans="1:1" x14ac:dyDescent="0.15">
      <c r="A15781" s="1"/>
    </row>
    <row r="15782" spans="1:1" x14ac:dyDescent="0.15">
      <c r="A15782" s="1"/>
    </row>
    <row r="15783" spans="1:1" x14ac:dyDescent="0.15">
      <c r="A15783" s="1"/>
    </row>
    <row r="15784" spans="1:1" x14ac:dyDescent="0.15">
      <c r="A15784" s="1"/>
    </row>
    <row r="15785" spans="1:1" x14ac:dyDescent="0.15">
      <c r="A15785" s="1"/>
    </row>
    <row r="15786" spans="1:1" x14ac:dyDescent="0.15">
      <c r="A15786" s="1"/>
    </row>
    <row r="15787" spans="1:1" x14ac:dyDescent="0.15">
      <c r="A15787" s="1"/>
    </row>
    <row r="15788" spans="1:1" x14ac:dyDescent="0.15">
      <c r="A15788" s="1"/>
    </row>
    <row r="15789" spans="1:1" x14ac:dyDescent="0.15">
      <c r="A15789" s="1"/>
    </row>
    <row r="15790" spans="1:1" x14ac:dyDescent="0.15">
      <c r="A15790" s="1"/>
    </row>
    <row r="15791" spans="1:1" x14ac:dyDescent="0.15">
      <c r="A15791" s="1"/>
    </row>
    <row r="15792" spans="1:1" x14ac:dyDescent="0.15">
      <c r="A15792" s="1"/>
    </row>
    <row r="15793" spans="1:1" x14ac:dyDescent="0.15">
      <c r="A15793" s="1"/>
    </row>
    <row r="15794" spans="1:1" x14ac:dyDescent="0.15">
      <c r="A15794" s="1"/>
    </row>
    <row r="15795" spans="1:1" x14ac:dyDescent="0.15">
      <c r="A15795" s="1"/>
    </row>
    <row r="15796" spans="1:1" x14ac:dyDescent="0.15">
      <c r="A15796" s="1"/>
    </row>
    <row r="15797" spans="1:1" x14ac:dyDescent="0.15">
      <c r="A15797" s="1"/>
    </row>
    <row r="15798" spans="1:1" x14ac:dyDescent="0.15">
      <c r="A15798" s="1"/>
    </row>
    <row r="15799" spans="1:1" x14ac:dyDescent="0.15">
      <c r="A15799" s="1"/>
    </row>
    <row r="15800" spans="1:1" x14ac:dyDescent="0.15">
      <c r="A15800" s="1"/>
    </row>
    <row r="15801" spans="1:1" x14ac:dyDescent="0.15">
      <c r="A15801" s="1"/>
    </row>
    <row r="15802" spans="1:1" x14ac:dyDescent="0.15">
      <c r="A15802" s="1"/>
    </row>
    <row r="15803" spans="1:1" x14ac:dyDescent="0.15">
      <c r="A15803" s="1"/>
    </row>
    <row r="15804" spans="1:1" x14ac:dyDescent="0.15">
      <c r="A15804" s="1"/>
    </row>
    <row r="15805" spans="1:1" x14ac:dyDescent="0.15">
      <c r="A15805" s="1"/>
    </row>
    <row r="15806" spans="1:1" x14ac:dyDescent="0.15">
      <c r="A15806" s="1"/>
    </row>
    <row r="15807" spans="1:1" x14ac:dyDescent="0.15">
      <c r="A15807" s="1"/>
    </row>
    <row r="15808" spans="1:1" x14ac:dyDescent="0.15">
      <c r="A15808" s="1"/>
    </row>
    <row r="15809" spans="1:1" x14ac:dyDescent="0.15">
      <c r="A15809" s="1"/>
    </row>
    <row r="15810" spans="1:1" x14ac:dyDescent="0.15">
      <c r="A15810" s="1"/>
    </row>
    <row r="15811" spans="1:1" x14ac:dyDescent="0.15">
      <c r="A15811" s="1"/>
    </row>
    <row r="15812" spans="1:1" x14ac:dyDescent="0.15">
      <c r="A15812" s="1"/>
    </row>
    <row r="15813" spans="1:1" x14ac:dyDescent="0.15">
      <c r="A15813" s="1"/>
    </row>
    <row r="15814" spans="1:1" x14ac:dyDescent="0.15">
      <c r="A15814" s="1"/>
    </row>
    <row r="15815" spans="1:1" x14ac:dyDescent="0.15">
      <c r="A15815" s="1"/>
    </row>
    <row r="15816" spans="1:1" x14ac:dyDescent="0.15">
      <c r="A15816" s="1"/>
    </row>
    <row r="15817" spans="1:1" x14ac:dyDescent="0.15">
      <c r="A15817" s="1"/>
    </row>
    <row r="15818" spans="1:1" x14ac:dyDescent="0.15">
      <c r="A15818" s="1"/>
    </row>
    <row r="15819" spans="1:1" x14ac:dyDescent="0.15">
      <c r="A15819" s="1"/>
    </row>
    <row r="15820" spans="1:1" x14ac:dyDescent="0.15">
      <c r="A15820" s="1"/>
    </row>
    <row r="15821" spans="1:1" x14ac:dyDescent="0.15">
      <c r="A15821" s="1"/>
    </row>
    <row r="15822" spans="1:1" x14ac:dyDescent="0.15">
      <c r="A15822" s="1"/>
    </row>
    <row r="15823" spans="1:1" x14ac:dyDescent="0.15">
      <c r="A15823" s="1"/>
    </row>
    <row r="15824" spans="1:1" x14ac:dyDescent="0.15">
      <c r="A15824" s="1"/>
    </row>
    <row r="15825" spans="1:1" x14ac:dyDescent="0.15">
      <c r="A15825" s="1"/>
    </row>
    <row r="15826" spans="1:1" x14ac:dyDescent="0.15">
      <c r="A15826" s="1"/>
    </row>
    <row r="15827" spans="1:1" x14ac:dyDescent="0.15">
      <c r="A15827" s="1"/>
    </row>
    <row r="15828" spans="1:1" x14ac:dyDescent="0.15">
      <c r="A15828" s="1"/>
    </row>
    <row r="15829" spans="1:1" x14ac:dyDescent="0.15">
      <c r="A15829" s="1"/>
    </row>
    <row r="15830" spans="1:1" x14ac:dyDescent="0.15">
      <c r="A15830" s="1"/>
    </row>
    <row r="15831" spans="1:1" x14ac:dyDescent="0.15">
      <c r="A15831" s="1"/>
    </row>
    <row r="15832" spans="1:1" x14ac:dyDescent="0.15">
      <c r="A15832" s="1"/>
    </row>
    <row r="15833" spans="1:1" x14ac:dyDescent="0.15">
      <c r="A15833" s="1"/>
    </row>
    <row r="15834" spans="1:1" x14ac:dyDescent="0.15">
      <c r="A15834" s="1"/>
    </row>
    <row r="15835" spans="1:1" x14ac:dyDescent="0.15">
      <c r="A15835" s="1"/>
    </row>
    <row r="15836" spans="1:1" x14ac:dyDescent="0.15">
      <c r="A15836" s="1"/>
    </row>
    <row r="15837" spans="1:1" x14ac:dyDescent="0.15">
      <c r="A15837" s="1"/>
    </row>
    <row r="15838" spans="1:1" x14ac:dyDescent="0.15">
      <c r="A15838" s="1"/>
    </row>
    <row r="15839" spans="1:1" x14ac:dyDescent="0.15">
      <c r="A15839" s="1"/>
    </row>
    <row r="15840" spans="1:1" x14ac:dyDescent="0.15">
      <c r="A15840" s="1"/>
    </row>
    <row r="15841" spans="1:1" x14ac:dyDescent="0.15">
      <c r="A15841" s="1"/>
    </row>
    <row r="15842" spans="1:1" x14ac:dyDescent="0.15">
      <c r="A15842" s="1"/>
    </row>
    <row r="15843" spans="1:1" x14ac:dyDescent="0.15">
      <c r="A15843" s="1"/>
    </row>
    <row r="15844" spans="1:1" x14ac:dyDescent="0.15">
      <c r="A15844" s="1"/>
    </row>
    <row r="15845" spans="1:1" x14ac:dyDescent="0.15">
      <c r="A15845" s="1"/>
    </row>
    <row r="15846" spans="1:1" x14ac:dyDescent="0.15">
      <c r="A15846" s="1"/>
    </row>
    <row r="15847" spans="1:1" x14ac:dyDescent="0.15">
      <c r="A15847" s="1"/>
    </row>
    <row r="15848" spans="1:1" x14ac:dyDescent="0.15">
      <c r="A15848" s="1"/>
    </row>
    <row r="15849" spans="1:1" x14ac:dyDescent="0.15">
      <c r="A15849" s="1"/>
    </row>
    <row r="15850" spans="1:1" x14ac:dyDescent="0.15">
      <c r="A15850" s="1"/>
    </row>
    <row r="15851" spans="1:1" x14ac:dyDescent="0.15">
      <c r="A15851" s="1"/>
    </row>
    <row r="15852" spans="1:1" x14ac:dyDescent="0.15">
      <c r="A15852" s="1"/>
    </row>
    <row r="15853" spans="1:1" x14ac:dyDescent="0.15">
      <c r="A15853" s="1"/>
    </row>
    <row r="15854" spans="1:1" x14ac:dyDescent="0.15">
      <c r="A15854" s="1"/>
    </row>
    <row r="15855" spans="1:1" x14ac:dyDescent="0.15">
      <c r="A15855" s="1"/>
    </row>
    <row r="15856" spans="1:1" x14ac:dyDescent="0.15">
      <c r="A15856" s="1"/>
    </row>
    <row r="15857" spans="1:1" x14ac:dyDescent="0.15">
      <c r="A15857" s="1"/>
    </row>
    <row r="15858" spans="1:1" x14ac:dyDescent="0.15">
      <c r="A15858" s="1"/>
    </row>
    <row r="15859" spans="1:1" x14ac:dyDescent="0.15">
      <c r="A15859" s="1"/>
    </row>
    <row r="15860" spans="1:1" x14ac:dyDescent="0.15">
      <c r="A15860" s="1"/>
    </row>
    <row r="15861" spans="1:1" x14ac:dyDescent="0.15">
      <c r="A15861" s="1"/>
    </row>
    <row r="15862" spans="1:1" x14ac:dyDescent="0.15">
      <c r="A15862" s="1"/>
    </row>
    <row r="15863" spans="1:1" x14ac:dyDescent="0.15">
      <c r="A15863" s="1"/>
    </row>
    <row r="15864" spans="1:1" x14ac:dyDescent="0.15">
      <c r="A15864" s="1"/>
    </row>
    <row r="15865" spans="1:1" x14ac:dyDescent="0.15">
      <c r="A15865" s="1"/>
    </row>
    <row r="15866" spans="1:1" x14ac:dyDescent="0.15">
      <c r="A15866" s="1"/>
    </row>
    <row r="15867" spans="1:1" x14ac:dyDescent="0.15">
      <c r="A15867" s="1"/>
    </row>
    <row r="15868" spans="1:1" x14ac:dyDescent="0.15">
      <c r="A15868" s="1"/>
    </row>
    <row r="15869" spans="1:1" x14ac:dyDescent="0.15">
      <c r="A15869" s="1"/>
    </row>
    <row r="15870" spans="1:1" x14ac:dyDescent="0.15">
      <c r="A15870" s="1"/>
    </row>
    <row r="15871" spans="1:1" x14ac:dyDescent="0.15">
      <c r="A15871" s="1"/>
    </row>
    <row r="15872" spans="1:1" x14ac:dyDescent="0.15">
      <c r="A15872" s="1"/>
    </row>
    <row r="15873" spans="1:1" x14ac:dyDescent="0.15">
      <c r="A15873" s="1"/>
    </row>
    <row r="15874" spans="1:1" x14ac:dyDescent="0.15">
      <c r="A15874" s="1"/>
    </row>
    <row r="15875" spans="1:1" x14ac:dyDescent="0.15">
      <c r="A15875" s="1"/>
    </row>
    <row r="15876" spans="1:1" x14ac:dyDescent="0.15">
      <c r="A15876" s="1"/>
    </row>
    <row r="15877" spans="1:1" x14ac:dyDescent="0.15">
      <c r="A15877" s="1"/>
    </row>
    <row r="15878" spans="1:1" x14ac:dyDescent="0.15">
      <c r="A15878" s="1"/>
    </row>
    <row r="15879" spans="1:1" x14ac:dyDescent="0.15">
      <c r="A15879" s="1"/>
    </row>
    <row r="15880" spans="1:1" x14ac:dyDescent="0.15">
      <c r="A15880" s="1"/>
    </row>
    <row r="15881" spans="1:1" x14ac:dyDescent="0.15">
      <c r="A15881" s="1"/>
    </row>
    <row r="15882" spans="1:1" x14ac:dyDescent="0.15">
      <c r="A15882" s="1"/>
    </row>
    <row r="15883" spans="1:1" x14ac:dyDescent="0.15">
      <c r="A15883" s="1"/>
    </row>
    <row r="15884" spans="1:1" x14ac:dyDescent="0.15">
      <c r="A15884" s="1"/>
    </row>
    <row r="15885" spans="1:1" x14ac:dyDescent="0.15">
      <c r="A15885" s="1"/>
    </row>
    <row r="15886" spans="1:1" x14ac:dyDescent="0.15">
      <c r="A15886" s="1"/>
    </row>
    <row r="15887" spans="1:1" x14ac:dyDescent="0.15">
      <c r="A15887" s="1"/>
    </row>
    <row r="15888" spans="1:1" x14ac:dyDescent="0.15">
      <c r="A15888" s="1"/>
    </row>
    <row r="15889" spans="1:1" x14ac:dyDescent="0.15">
      <c r="A15889" s="1"/>
    </row>
    <row r="15890" spans="1:1" x14ac:dyDescent="0.15">
      <c r="A15890" s="1"/>
    </row>
    <row r="15891" spans="1:1" x14ac:dyDescent="0.15">
      <c r="A15891" s="1"/>
    </row>
    <row r="15892" spans="1:1" x14ac:dyDescent="0.15">
      <c r="A15892" s="1"/>
    </row>
    <row r="15893" spans="1:1" x14ac:dyDescent="0.15">
      <c r="A15893" s="1"/>
    </row>
    <row r="15894" spans="1:1" x14ac:dyDescent="0.15">
      <c r="A15894" s="1"/>
    </row>
    <row r="15895" spans="1:1" x14ac:dyDescent="0.15">
      <c r="A15895" s="1"/>
    </row>
    <row r="15896" spans="1:1" x14ac:dyDescent="0.15">
      <c r="A15896" s="1"/>
    </row>
    <row r="15897" spans="1:1" x14ac:dyDescent="0.15">
      <c r="A15897" s="1"/>
    </row>
    <row r="15898" spans="1:1" x14ac:dyDescent="0.15">
      <c r="A15898" s="1"/>
    </row>
    <row r="15899" spans="1:1" x14ac:dyDescent="0.15">
      <c r="A15899" s="1"/>
    </row>
    <row r="15900" spans="1:1" x14ac:dyDescent="0.15">
      <c r="A15900" s="1"/>
    </row>
    <row r="15901" spans="1:1" x14ac:dyDescent="0.15">
      <c r="A15901" s="1"/>
    </row>
    <row r="15902" spans="1:1" x14ac:dyDescent="0.15">
      <c r="A15902" s="1"/>
    </row>
    <row r="15903" spans="1:1" x14ac:dyDescent="0.15">
      <c r="A15903" s="1"/>
    </row>
    <row r="15904" spans="1:1" x14ac:dyDescent="0.15">
      <c r="A15904" s="1"/>
    </row>
    <row r="15905" spans="1:1" x14ac:dyDescent="0.15">
      <c r="A15905" s="1"/>
    </row>
    <row r="15906" spans="1:1" x14ac:dyDescent="0.15">
      <c r="A15906" s="1"/>
    </row>
    <row r="15907" spans="1:1" x14ac:dyDescent="0.15">
      <c r="A15907" s="1"/>
    </row>
    <row r="15908" spans="1:1" x14ac:dyDescent="0.15">
      <c r="A15908" s="1"/>
    </row>
    <row r="15909" spans="1:1" x14ac:dyDescent="0.15">
      <c r="A15909" s="1"/>
    </row>
    <row r="15910" spans="1:1" x14ac:dyDescent="0.15">
      <c r="A15910" s="1"/>
    </row>
    <row r="15911" spans="1:1" x14ac:dyDescent="0.15">
      <c r="A15911" s="1"/>
    </row>
    <row r="15912" spans="1:1" x14ac:dyDescent="0.15">
      <c r="A15912" s="1"/>
    </row>
    <row r="15913" spans="1:1" x14ac:dyDescent="0.15">
      <c r="A15913" s="1"/>
    </row>
    <row r="15914" spans="1:1" x14ac:dyDescent="0.15">
      <c r="A15914" s="1"/>
    </row>
    <row r="15915" spans="1:1" x14ac:dyDescent="0.15">
      <c r="A15915" s="1"/>
    </row>
    <row r="15916" spans="1:1" x14ac:dyDescent="0.15">
      <c r="A15916" s="1"/>
    </row>
    <row r="15917" spans="1:1" x14ac:dyDescent="0.15">
      <c r="A15917" s="1"/>
    </row>
    <row r="15918" spans="1:1" x14ac:dyDescent="0.15">
      <c r="A15918" s="1"/>
    </row>
    <row r="15919" spans="1:1" x14ac:dyDescent="0.15">
      <c r="A15919" s="1"/>
    </row>
    <row r="15920" spans="1:1" x14ac:dyDescent="0.15">
      <c r="A15920" s="1"/>
    </row>
    <row r="15921" spans="1:1" x14ac:dyDescent="0.15">
      <c r="A15921" s="1"/>
    </row>
    <row r="15922" spans="1:1" x14ac:dyDescent="0.15">
      <c r="A15922" s="1"/>
    </row>
    <row r="15923" spans="1:1" x14ac:dyDescent="0.15">
      <c r="A15923" s="1"/>
    </row>
    <row r="15924" spans="1:1" x14ac:dyDescent="0.15">
      <c r="A15924" s="1"/>
    </row>
    <row r="15925" spans="1:1" x14ac:dyDescent="0.15">
      <c r="A15925" s="1"/>
    </row>
    <row r="15926" spans="1:1" x14ac:dyDescent="0.15">
      <c r="A15926" s="1"/>
    </row>
    <row r="15927" spans="1:1" x14ac:dyDescent="0.15">
      <c r="A15927" s="1"/>
    </row>
    <row r="15928" spans="1:1" x14ac:dyDescent="0.15">
      <c r="A15928" s="1"/>
    </row>
    <row r="15929" spans="1:1" x14ac:dyDescent="0.15">
      <c r="A15929" s="1"/>
    </row>
    <row r="15930" spans="1:1" x14ac:dyDescent="0.15">
      <c r="A15930" s="1"/>
    </row>
    <row r="15931" spans="1:1" x14ac:dyDescent="0.15">
      <c r="A15931" s="1"/>
    </row>
    <row r="15932" spans="1:1" x14ac:dyDescent="0.15">
      <c r="A15932" s="1"/>
    </row>
    <row r="15933" spans="1:1" x14ac:dyDescent="0.15">
      <c r="A15933" s="1"/>
    </row>
    <row r="15934" spans="1:1" x14ac:dyDescent="0.15">
      <c r="A15934" s="1"/>
    </row>
    <row r="15935" spans="1:1" x14ac:dyDescent="0.15">
      <c r="A15935" s="1"/>
    </row>
    <row r="15936" spans="1:1" x14ac:dyDescent="0.15">
      <c r="A15936" s="1"/>
    </row>
    <row r="15937" spans="1:1" x14ac:dyDescent="0.15">
      <c r="A15937" s="1"/>
    </row>
    <row r="15938" spans="1:1" x14ac:dyDescent="0.15">
      <c r="A15938" s="1"/>
    </row>
    <row r="15939" spans="1:1" x14ac:dyDescent="0.15">
      <c r="A15939" s="1"/>
    </row>
    <row r="15940" spans="1:1" x14ac:dyDescent="0.15">
      <c r="A15940" s="1"/>
    </row>
    <row r="15941" spans="1:1" x14ac:dyDescent="0.15">
      <c r="A15941" s="1"/>
    </row>
    <row r="15942" spans="1:1" x14ac:dyDescent="0.15">
      <c r="A15942" s="1"/>
    </row>
    <row r="15943" spans="1:1" x14ac:dyDescent="0.15">
      <c r="A15943" s="1"/>
    </row>
    <row r="15944" spans="1:1" x14ac:dyDescent="0.15">
      <c r="A15944" s="1"/>
    </row>
    <row r="15945" spans="1:1" x14ac:dyDescent="0.15">
      <c r="A15945" s="1"/>
    </row>
    <row r="15946" spans="1:1" x14ac:dyDescent="0.15">
      <c r="A15946" s="1"/>
    </row>
    <row r="15947" spans="1:1" x14ac:dyDescent="0.15">
      <c r="A15947" s="1"/>
    </row>
    <row r="15948" spans="1:1" x14ac:dyDescent="0.15">
      <c r="A15948" s="1"/>
    </row>
    <row r="15949" spans="1:1" x14ac:dyDescent="0.15">
      <c r="A15949" s="1"/>
    </row>
    <row r="15950" spans="1:1" x14ac:dyDescent="0.15">
      <c r="A15950" s="1"/>
    </row>
    <row r="15951" spans="1:1" x14ac:dyDescent="0.15">
      <c r="A15951" s="1"/>
    </row>
    <row r="15952" spans="1:1" x14ac:dyDescent="0.15">
      <c r="A15952" s="1"/>
    </row>
    <row r="15953" spans="1:1" x14ac:dyDescent="0.15">
      <c r="A15953" s="1"/>
    </row>
    <row r="15954" spans="1:1" x14ac:dyDescent="0.15">
      <c r="A15954" s="1"/>
    </row>
    <row r="15955" spans="1:1" x14ac:dyDescent="0.15">
      <c r="A15955" s="1"/>
    </row>
    <row r="15956" spans="1:1" x14ac:dyDescent="0.15">
      <c r="A15956" s="1"/>
    </row>
    <row r="15957" spans="1:1" x14ac:dyDescent="0.15">
      <c r="A15957" s="1"/>
    </row>
    <row r="15958" spans="1:1" x14ac:dyDescent="0.15">
      <c r="A15958" s="1"/>
    </row>
    <row r="15959" spans="1:1" x14ac:dyDescent="0.15">
      <c r="A15959" s="1"/>
    </row>
    <row r="15960" spans="1:1" x14ac:dyDescent="0.15">
      <c r="A15960" s="1"/>
    </row>
    <row r="15961" spans="1:1" x14ac:dyDescent="0.15">
      <c r="A15961" s="1"/>
    </row>
    <row r="15962" spans="1:1" x14ac:dyDescent="0.15">
      <c r="A15962" s="1"/>
    </row>
    <row r="15963" spans="1:1" x14ac:dyDescent="0.15">
      <c r="A15963" s="1"/>
    </row>
    <row r="15964" spans="1:1" x14ac:dyDescent="0.15">
      <c r="A15964" s="1"/>
    </row>
    <row r="15965" spans="1:1" x14ac:dyDescent="0.15">
      <c r="A15965" s="1"/>
    </row>
    <row r="15966" spans="1:1" x14ac:dyDescent="0.15">
      <c r="A15966" s="1"/>
    </row>
    <row r="15967" spans="1:1" x14ac:dyDescent="0.15">
      <c r="A15967" s="1"/>
    </row>
    <row r="15968" spans="1:1" x14ac:dyDescent="0.15">
      <c r="A15968" s="1"/>
    </row>
    <row r="15969" spans="1:1" x14ac:dyDescent="0.15">
      <c r="A15969" s="1"/>
    </row>
    <row r="15970" spans="1:1" x14ac:dyDescent="0.15">
      <c r="A15970" s="1"/>
    </row>
    <row r="15971" spans="1:1" x14ac:dyDescent="0.15">
      <c r="A15971" s="1"/>
    </row>
    <row r="15972" spans="1:1" x14ac:dyDescent="0.15">
      <c r="A15972" s="1"/>
    </row>
    <row r="15973" spans="1:1" x14ac:dyDescent="0.15">
      <c r="A15973" s="1"/>
    </row>
    <row r="15974" spans="1:1" x14ac:dyDescent="0.15">
      <c r="A15974" s="1"/>
    </row>
    <row r="15975" spans="1:1" x14ac:dyDescent="0.15">
      <c r="A15975" s="1"/>
    </row>
    <row r="15976" spans="1:1" x14ac:dyDescent="0.15">
      <c r="A15976" s="1"/>
    </row>
    <row r="15977" spans="1:1" x14ac:dyDescent="0.15">
      <c r="A15977" s="1"/>
    </row>
    <row r="15978" spans="1:1" x14ac:dyDescent="0.15">
      <c r="A15978" s="1"/>
    </row>
    <row r="15979" spans="1:1" x14ac:dyDescent="0.15">
      <c r="A15979" s="1"/>
    </row>
    <row r="15980" spans="1:1" x14ac:dyDescent="0.15">
      <c r="A15980" s="1"/>
    </row>
    <row r="15981" spans="1:1" x14ac:dyDescent="0.15">
      <c r="A15981" s="1"/>
    </row>
    <row r="15982" spans="1:1" x14ac:dyDescent="0.15">
      <c r="A15982" s="1"/>
    </row>
    <row r="15983" spans="1:1" x14ac:dyDescent="0.15">
      <c r="A15983" s="1"/>
    </row>
    <row r="15984" spans="1:1" x14ac:dyDescent="0.15">
      <c r="A15984" s="1"/>
    </row>
    <row r="15985" spans="1:1" x14ac:dyDescent="0.15">
      <c r="A15985" s="1"/>
    </row>
    <row r="15986" spans="1:1" x14ac:dyDescent="0.15">
      <c r="A15986" s="1"/>
    </row>
    <row r="15987" spans="1:1" x14ac:dyDescent="0.15">
      <c r="A15987" s="1"/>
    </row>
    <row r="15988" spans="1:1" x14ac:dyDescent="0.15">
      <c r="A15988" s="1"/>
    </row>
    <row r="15989" spans="1:1" x14ac:dyDescent="0.15">
      <c r="A15989" s="1"/>
    </row>
    <row r="15990" spans="1:1" x14ac:dyDescent="0.15">
      <c r="A15990" s="1"/>
    </row>
    <row r="15991" spans="1:1" x14ac:dyDescent="0.15">
      <c r="A15991" s="1"/>
    </row>
    <row r="15992" spans="1:1" x14ac:dyDescent="0.15">
      <c r="A15992" s="1"/>
    </row>
    <row r="15993" spans="1:1" x14ac:dyDescent="0.15">
      <c r="A15993" s="1"/>
    </row>
    <row r="15994" spans="1:1" x14ac:dyDescent="0.15">
      <c r="A15994" s="1"/>
    </row>
    <row r="15995" spans="1:1" x14ac:dyDescent="0.15">
      <c r="A15995" s="1"/>
    </row>
    <row r="15996" spans="1:1" x14ac:dyDescent="0.15">
      <c r="A15996" s="1"/>
    </row>
    <row r="15997" spans="1:1" x14ac:dyDescent="0.15">
      <c r="A15997" s="1"/>
    </row>
    <row r="15998" spans="1:1" x14ac:dyDescent="0.15">
      <c r="A15998" s="1"/>
    </row>
    <row r="15999" spans="1:1" x14ac:dyDescent="0.15">
      <c r="A15999" s="1"/>
    </row>
    <row r="16000" spans="1:1" x14ac:dyDescent="0.15">
      <c r="A16000" s="1"/>
    </row>
    <row r="16001" spans="1:1" x14ac:dyDescent="0.15">
      <c r="A16001" s="1"/>
    </row>
    <row r="16002" spans="1:1" x14ac:dyDescent="0.15">
      <c r="A16002" s="1"/>
    </row>
    <row r="16003" spans="1:1" x14ac:dyDescent="0.15">
      <c r="A16003" s="1"/>
    </row>
    <row r="16004" spans="1:1" x14ac:dyDescent="0.15">
      <c r="A16004" s="1"/>
    </row>
    <row r="16005" spans="1:1" x14ac:dyDescent="0.15">
      <c r="A16005" s="1"/>
    </row>
    <row r="16006" spans="1:1" x14ac:dyDescent="0.15">
      <c r="A16006" s="1"/>
    </row>
    <row r="16007" spans="1:1" x14ac:dyDescent="0.15">
      <c r="A16007" s="1"/>
    </row>
    <row r="16008" spans="1:1" x14ac:dyDescent="0.15">
      <c r="A16008" s="1"/>
    </row>
    <row r="16009" spans="1:1" x14ac:dyDescent="0.15">
      <c r="A16009" s="1"/>
    </row>
    <row r="16010" spans="1:1" x14ac:dyDescent="0.15">
      <c r="A16010" s="1"/>
    </row>
    <row r="16011" spans="1:1" x14ac:dyDescent="0.15">
      <c r="A16011" s="1"/>
    </row>
    <row r="16012" spans="1:1" x14ac:dyDescent="0.15">
      <c r="A16012" s="1"/>
    </row>
    <row r="16013" spans="1:1" x14ac:dyDescent="0.15">
      <c r="A16013" s="1"/>
    </row>
    <row r="16014" spans="1:1" x14ac:dyDescent="0.15">
      <c r="A16014" s="1"/>
    </row>
    <row r="16015" spans="1:1" x14ac:dyDescent="0.15">
      <c r="A16015" s="1"/>
    </row>
    <row r="16016" spans="1:1" x14ac:dyDescent="0.15">
      <c r="A16016" s="1"/>
    </row>
    <row r="16017" spans="1:1" x14ac:dyDescent="0.15">
      <c r="A16017" s="1"/>
    </row>
    <row r="16018" spans="1:1" x14ac:dyDescent="0.15">
      <c r="A16018" s="1"/>
    </row>
    <row r="16019" spans="1:1" x14ac:dyDescent="0.15">
      <c r="A16019" s="1"/>
    </row>
    <row r="16020" spans="1:1" x14ac:dyDescent="0.15">
      <c r="A16020" s="1"/>
    </row>
    <row r="16021" spans="1:1" x14ac:dyDescent="0.15">
      <c r="A16021" s="1"/>
    </row>
    <row r="16022" spans="1:1" x14ac:dyDescent="0.15">
      <c r="A16022" s="1"/>
    </row>
    <row r="16023" spans="1:1" x14ac:dyDescent="0.15">
      <c r="A16023" s="1"/>
    </row>
    <row r="16024" spans="1:1" x14ac:dyDescent="0.15">
      <c r="A16024" s="1"/>
    </row>
    <row r="16025" spans="1:1" x14ac:dyDescent="0.15">
      <c r="A16025" s="1"/>
    </row>
    <row r="16026" spans="1:1" x14ac:dyDescent="0.15">
      <c r="A16026" s="1"/>
    </row>
    <row r="16027" spans="1:1" x14ac:dyDescent="0.15">
      <c r="A16027" s="1"/>
    </row>
    <row r="16028" spans="1:1" x14ac:dyDescent="0.15">
      <c r="A16028" s="1"/>
    </row>
    <row r="16029" spans="1:1" x14ac:dyDescent="0.15">
      <c r="A16029" s="1"/>
    </row>
    <row r="16030" spans="1:1" x14ac:dyDescent="0.15">
      <c r="A16030" s="1"/>
    </row>
    <row r="16031" spans="1:1" x14ac:dyDescent="0.15">
      <c r="A16031" s="1"/>
    </row>
    <row r="16032" spans="1:1" x14ac:dyDescent="0.15">
      <c r="A16032" s="1"/>
    </row>
    <row r="16033" spans="1:1" x14ac:dyDescent="0.15">
      <c r="A16033" s="1"/>
    </row>
    <row r="16034" spans="1:1" x14ac:dyDescent="0.15">
      <c r="A16034" s="1"/>
    </row>
    <row r="16035" spans="1:1" x14ac:dyDescent="0.15">
      <c r="A16035" s="1"/>
    </row>
    <row r="16036" spans="1:1" x14ac:dyDescent="0.15">
      <c r="A16036" s="1"/>
    </row>
    <row r="16037" spans="1:1" x14ac:dyDescent="0.15">
      <c r="A16037" s="1"/>
    </row>
    <row r="16038" spans="1:1" x14ac:dyDescent="0.15">
      <c r="A16038" s="1"/>
    </row>
    <row r="16039" spans="1:1" x14ac:dyDescent="0.15">
      <c r="A16039" s="1"/>
    </row>
    <row r="16040" spans="1:1" x14ac:dyDescent="0.15">
      <c r="A16040" s="1"/>
    </row>
    <row r="16041" spans="1:1" x14ac:dyDescent="0.15">
      <c r="A16041" s="1"/>
    </row>
    <row r="16042" spans="1:1" x14ac:dyDescent="0.15">
      <c r="A16042" s="1"/>
    </row>
    <row r="16043" spans="1:1" x14ac:dyDescent="0.15">
      <c r="A16043" s="1"/>
    </row>
    <row r="16044" spans="1:1" x14ac:dyDescent="0.15">
      <c r="A16044" s="1"/>
    </row>
    <row r="16045" spans="1:1" x14ac:dyDescent="0.15">
      <c r="A16045" s="1"/>
    </row>
    <row r="16046" spans="1:1" x14ac:dyDescent="0.15">
      <c r="A16046" s="1"/>
    </row>
    <row r="16047" spans="1:1" x14ac:dyDescent="0.15">
      <c r="A16047" s="1"/>
    </row>
    <row r="16048" spans="1:1" x14ac:dyDescent="0.15">
      <c r="A16048" s="1"/>
    </row>
    <row r="16049" spans="1:1" x14ac:dyDescent="0.15">
      <c r="A16049" s="1"/>
    </row>
    <row r="16050" spans="1:1" x14ac:dyDescent="0.15">
      <c r="A16050" s="1"/>
    </row>
    <row r="16051" spans="1:1" x14ac:dyDescent="0.15">
      <c r="A16051" s="1"/>
    </row>
    <row r="16052" spans="1:1" x14ac:dyDescent="0.15">
      <c r="A16052" s="1"/>
    </row>
    <row r="16053" spans="1:1" x14ac:dyDescent="0.15">
      <c r="A16053" s="1"/>
    </row>
    <row r="16054" spans="1:1" x14ac:dyDescent="0.15">
      <c r="A16054" s="1"/>
    </row>
    <row r="16055" spans="1:1" x14ac:dyDescent="0.15">
      <c r="A16055" s="1"/>
    </row>
    <row r="16056" spans="1:1" x14ac:dyDescent="0.15">
      <c r="A16056" s="1"/>
    </row>
    <row r="16057" spans="1:1" x14ac:dyDescent="0.15">
      <c r="A16057" s="1"/>
    </row>
    <row r="16058" spans="1:1" x14ac:dyDescent="0.15">
      <c r="A16058" s="1"/>
    </row>
    <row r="16059" spans="1:1" x14ac:dyDescent="0.15">
      <c r="A16059" s="1"/>
    </row>
    <row r="16060" spans="1:1" x14ac:dyDescent="0.15">
      <c r="A16060" s="1"/>
    </row>
    <row r="16061" spans="1:1" x14ac:dyDescent="0.15">
      <c r="A16061" s="1"/>
    </row>
    <row r="16062" spans="1:1" x14ac:dyDescent="0.15">
      <c r="A16062" s="1"/>
    </row>
    <row r="16063" spans="1:1" x14ac:dyDescent="0.15">
      <c r="A16063" s="1"/>
    </row>
    <row r="16064" spans="1:1" x14ac:dyDescent="0.15">
      <c r="A16064" s="1"/>
    </row>
    <row r="16065" spans="1:1" x14ac:dyDescent="0.15">
      <c r="A16065" s="1"/>
    </row>
    <row r="16066" spans="1:1" x14ac:dyDescent="0.15">
      <c r="A16066" s="1"/>
    </row>
    <row r="16067" spans="1:1" x14ac:dyDescent="0.15">
      <c r="A16067" s="1"/>
    </row>
    <row r="16068" spans="1:1" x14ac:dyDescent="0.15">
      <c r="A16068" s="1"/>
    </row>
    <row r="16069" spans="1:1" x14ac:dyDescent="0.15">
      <c r="A16069" s="1"/>
    </row>
    <row r="16070" spans="1:1" x14ac:dyDescent="0.15">
      <c r="A16070" s="1"/>
    </row>
    <row r="16071" spans="1:1" x14ac:dyDescent="0.15">
      <c r="A16071" s="1"/>
    </row>
    <row r="16072" spans="1:1" x14ac:dyDescent="0.15">
      <c r="A16072" s="1"/>
    </row>
    <row r="16073" spans="1:1" x14ac:dyDescent="0.15">
      <c r="A16073" s="1"/>
    </row>
    <row r="16074" spans="1:1" x14ac:dyDescent="0.15">
      <c r="A16074" s="1"/>
    </row>
    <row r="16075" spans="1:1" x14ac:dyDescent="0.15">
      <c r="A16075" s="1"/>
    </row>
    <row r="16076" spans="1:1" x14ac:dyDescent="0.15">
      <c r="A16076" s="1"/>
    </row>
    <row r="16077" spans="1:1" x14ac:dyDescent="0.15">
      <c r="A16077" s="1"/>
    </row>
    <row r="16078" spans="1:1" x14ac:dyDescent="0.15">
      <c r="A16078" s="1"/>
    </row>
    <row r="16079" spans="1:1" x14ac:dyDescent="0.15">
      <c r="A16079" s="1"/>
    </row>
    <row r="16080" spans="1:1" x14ac:dyDescent="0.15">
      <c r="A16080" s="1"/>
    </row>
    <row r="16081" spans="1:1" x14ac:dyDescent="0.15">
      <c r="A16081" s="1"/>
    </row>
    <row r="16082" spans="1:1" x14ac:dyDescent="0.15">
      <c r="A16082" s="1"/>
    </row>
    <row r="16083" spans="1:1" x14ac:dyDescent="0.15">
      <c r="A16083" s="1"/>
    </row>
    <row r="16084" spans="1:1" x14ac:dyDescent="0.15">
      <c r="A16084" s="1"/>
    </row>
    <row r="16085" spans="1:1" x14ac:dyDescent="0.15">
      <c r="A16085" s="1"/>
    </row>
    <row r="16086" spans="1:1" x14ac:dyDescent="0.15">
      <c r="A16086" s="1"/>
    </row>
    <row r="16087" spans="1:1" x14ac:dyDescent="0.15">
      <c r="A16087" s="1"/>
    </row>
    <row r="16088" spans="1:1" x14ac:dyDescent="0.15">
      <c r="A16088" s="1"/>
    </row>
    <row r="16089" spans="1:1" x14ac:dyDescent="0.15">
      <c r="A16089" s="1"/>
    </row>
    <row r="16090" spans="1:1" x14ac:dyDescent="0.15">
      <c r="A16090" s="1"/>
    </row>
    <row r="16091" spans="1:1" x14ac:dyDescent="0.15">
      <c r="A16091" s="1"/>
    </row>
    <row r="16092" spans="1:1" x14ac:dyDescent="0.15">
      <c r="A16092" s="1"/>
    </row>
    <row r="16093" spans="1:1" x14ac:dyDescent="0.15">
      <c r="A16093" s="1"/>
    </row>
    <row r="16094" spans="1:1" x14ac:dyDescent="0.15">
      <c r="A16094" s="1"/>
    </row>
    <row r="16095" spans="1:1" x14ac:dyDescent="0.15">
      <c r="A16095" s="1"/>
    </row>
    <row r="16096" spans="1:1" x14ac:dyDescent="0.15">
      <c r="A16096" s="1"/>
    </row>
    <row r="16097" spans="1:1" x14ac:dyDescent="0.15">
      <c r="A16097" s="1"/>
    </row>
    <row r="16098" spans="1:1" x14ac:dyDescent="0.15">
      <c r="A16098" s="1"/>
    </row>
    <row r="16099" spans="1:1" x14ac:dyDescent="0.15">
      <c r="A16099" s="1"/>
    </row>
    <row r="16100" spans="1:1" x14ac:dyDescent="0.15">
      <c r="A16100" s="1"/>
    </row>
    <row r="16101" spans="1:1" x14ac:dyDescent="0.15">
      <c r="A16101" s="1"/>
    </row>
    <row r="16102" spans="1:1" x14ac:dyDescent="0.15">
      <c r="A16102" s="1"/>
    </row>
    <row r="16103" spans="1:1" x14ac:dyDescent="0.15">
      <c r="A16103" s="1"/>
    </row>
    <row r="16104" spans="1:1" x14ac:dyDescent="0.15">
      <c r="A16104" s="1"/>
    </row>
    <row r="16105" spans="1:1" x14ac:dyDescent="0.15">
      <c r="A16105" s="1"/>
    </row>
    <row r="16106" spans="1:1" x14ac:dyDescent="0.15">
      <c r="A16106" s="1"/>
    </row>
    <row r="16107" spans="1:1" x14ac:dyDescent="0.15">
      <c r="A16107" s="1"/>
    </row>
    <row r="16108" spans="1:1" x14ac:dyDescent="0.15">
      <c r="A16108" s="1"/>
    </row>
    <row r="16109" spans="1:1" x14ac:dyDescent="0.15">
      <c r="A16109" s="1"/>
    </row>
    <row r="16110" spans="1:1" x14ac:dyDescent="0.15">
      <c r="A16110" s="1"/>
    </row>
    <row r="16111" spans="1:1" x14ac:dyDescent="0.15">
      <c r="A16111" s="1"/>
    </row>
    <row r="16112" spans="1:1" x14ac:dyDescent="0.15">
      <c r="A16112" s="1"/>
    </row>
    <row r="16113" spans="1:1" x14ac:dyDescent="0.15">
      <c r="A16113" s="1"/>
    </row>
    <row r="16114" spans="1:1" x14ac:dyDescent="0.15">
      <c r="A16114" s="1"/>
    </row>
    <row r="16115" spans="1:1" x14ac:dyDescent="0.15">
      <c r="A16115" s="1"/>
    </row>
    <row r="16116" spans="1:1" x14ac:dyDescent="0.15">
      <c r="A16116" s="1"/>
    </row>
    <row r="16117" spans="1:1" x14ac:dyDescent="0.15">
      <c r="A16117" s="1"/>
    </row>
    <row r="16118" spans="1:1" x14ac:dyDescent="0.15">
      <c r="A16118" s="1"/>
    </row>
    <row r="16119" spans="1:1" x14ac:dyDescent="0.15">
      <c r="A16119" s="1"/>
    </row>
    <row r="16120" spans="1:1" x14ac:dyDescent="0.15">
      <c r="A16120" s="1"/>
    </row>
    <row r="16121" spans="1:1" x14ac:dyDescent="0.15">
      <c r="A16121" s="1"/>
    </row>
    <row r="16122" spans="1:1" x14ac:dyDescent="0.15">
      <c r="A16122" s="1"/>
    </row>
    <row r="16123" spans="1:1" x14ac:dyDescent="0.15">
      <c r="A16123" s="1"/>
    </row>
    <row r="16124" spans="1:1" x14ac:dyDescent="0.15">
      <c r="A16124" s="1"/>
    </row>
    <row r="16125" spans="1:1" x14ac:dyDescent="0.15">
      <c r="A16125" s="1"/>
    </row>
    <row r="16126" spans="1:1" x14ac:dyDescent="0.15">
      <c r="A16126" s="1"/>
    </row>
    <row r="16127" spans="1:1" x14ac:dyDescent="0.15">
      <c r="A16127" s="1"/>
    </row>
    <row r="16128" spans="1:1" x14ac:dyDescent="0.15">
      <c r="A16128" s="1"/>
    </row>
    <row r="16129" spans="1:1" x14ac:dyDescent="0.15">
      <c r="A16129" s="1"/>
    </row>
    <row r="16130" spans="1:1" x14ac:dyDescent="0.15">
      <c r="A16130" s="1"/>
    </row>
    <row r="16131" spans="1:1" x14ac:dyDescent="0.15">
      <c r="A16131" s="1"/>
    </row>
    <row r="16132" spans="1:1" x14ac:dyDescent="0.15">
      <c r="A16132" s="1"/>
    </row>
    <row r="16133" spans="1:1" x14ac:dyDescent="0.15">
      <c r="A16133" s="1"/>
    </row>
    <row r="16134" spans="1:1" x14ac:dyDescent="0.15">
      <c r="A16134" s="1"/>
    </row>
    <row r="16135" spans="1:1" x14ac:dyDescent="0.15">
      <c r="A16135" s="1"/>
    </row>
    <row r="16136" spans="1:1" x14ac:dyDescent="0.15">
      <c r="A16136" s="1"/>
    </row>
    <row r="16137" spans="1:1" x14ac:dyDescent="0.15">
      <c r="A16137" s="1"/>
    </row>
    <row r="16138" spans="1:1" x14ac:dyDescent="0.15">
      <c r="A16138" s="1"/>
    </row>
    <row r="16139" spans="1:1" x14ac:dyDescent="0.15">
      <c r="A16139" s="1"/>
    </row>
    <row r="16140" spans="1:1" x14ac:dyDescent="0.15">
      <c r="A16140" s="1"/>
    </row>
    <row r="16141" spans="1:1" x14ac:dyDescent="0.15">
      <c r="A16141" s="1"/>
    </row>
    <row r="16142" spans="1:1" x14ac:dyDescent="0.15">
      <c r="A16142" s="1"/>
    </row>
    <row r="16143" spans="1:1" x14ac:dyDescent="0.15">
      <c r="A16143" s="1"/>
    </row>
    <row r="16144" spans="1:1" x14ac:dyDescent="0.15">
      <c r="A16144" s="1"/>
    </row>
    <row r="16145" spans="1:1" x14ac:dyDescent="0.15">
      <c r="A16145" s="1"/>
    </row>
    <row r="16146" spans="1:1" x14ac:dyDescent="0.15">
      <c r="A16146" s="1"/>
    </row>
    <row r="16147" spans="1:1" x14ac:dyDescent="0.15">
      <c r="A16147" s="1"/>
    </row>
    <row r="16148" spans="1:1" x14ac:dyDescent="0.15">
      <c r="A16148" s="1"/>
    </row>
    <row r="16149" spans="1:1" x14ac:dyDescent="0.15">
      <c r="A16149" s="1"/>
    </row>
    <row r="16150" spans="1:1" x14ac:dyDescent="0.15">
      <c r="A16150" s="1"/>
    </row>
    <row r="16151" spans="1:1" x14ac:dyDescent="0.15">
      <c r="A16151" s="1"/>
    </row>
    <row r="16152" spans="1:1" x14ac:dyDescent="0.15">
      <c r="A16152" s="1"/>
    </row>
    <row r="16153" spans="1:1" x14ac:dyDescent="0.15">
      <c r="A16153" s="1"/>
    </row>
    <row r="16154" spans="1:1" x14ac:dyDescent="0.15">
      <c r="A16154" s="1"/>
    </row>
    <row r="16155" spans="1:1" x14ac:dyDescent="0.15">
      <c r="A16155" s="1"/>
    </row>
    <row r="16156" spans="1:1" x14ac:dyDescent="0.15">
      <c r="A16156" s="1"/>
    </row>
    <row r="16157" spans="1:1" x14ac:dyDescent="0.15">
      <c r="A16157" s="1"/>
    </row>
    <row r="16158" spans="1:1" x14ac:dyDescent="0.15">
      <c r="A16158" s="1"/>
    </row>
    <row r="16159" spans="1:1" x14ac:dyDescent="0.15">
      <c r="A16159" s="1"/>
    </row>
    <row r="16160" spans="1:1" x14ac:dyDescent="0.15">
      <c r="A16160" s="1"/>
    </row>
    <row r="16161" spans="1:1" x14ac:dyDescent="0.15">
      <c r="A16161" s="1"/>
    </row>
    <row r="16162" spans="1:1" x14ac:dyDescent="0.15">
      <c r="A16162" s="1"/>
    </row>
    <row r="16163" spans="1:1" x14ac:dyDescent="0.15">
      <c r="A16163" s="1"/>
    </row>
    <row r="16164" spans="1:1" x14ac:dyDescent="0.15">
      <c r="A16164" s="1"/>
    </row>
    <row r="16165" spans="1:1" x14ac:dyDescent="0.15">
      <c r="A16165" s="1"/>
    </row>
    <row r="16166" spans="1:1" x14ac:dyDescent="0.15">
      <c r="A16166" s="1"/>
    </row>
    <row r="16167" spans="1:1" x14ac:dyDescent="0.15">
      <c r="A16167" s="1"/>
    </row>
    <row r="16168" spans="1:1" x14ac:dyDescent="0.15">
      <c r="A16168" s="1"/>
    </row>
    <row r="16169" spans="1:1" x14ac:dyDescent="0.15">
      <c r="A16169" s="1"/>
    </row>
    <row r="16170" spans="1:1" x14ac:dyDescent="0.15">
      <c r="A16170" s="1"/>
    </row>
    <row r="16171" spans="1:1" x14ac:dyDescent="0.15">
      <c r="A16171" s="1"/>
    </row>
    <row r="16172" spans="1:1" x14ac:dyDescent="0.15">
      <c r="A16172" s="1"/>
    </row>
    <row r="16173" spans="1:1" x14ac:dyDescent="0.15">
      <c r="A16173" s="1"/>
    </row>
    <row r="16174" spans="1:1" x14ac:dyDescent="0.15">
      <c r="A16174" s="1"/>
    </row>
    <row r="16175" spans="1:1" x14ac:dyDescent="0.15">
      <c r="A16175" s="1"/>
    </row>
    <row r="16176" spans="1:1" x14ac:dyDescent="0.15">
      <c r="A16176" s="1"/>
    </row>
    <row r="16177" spans="1:1" x14ac:dyDescent="0.15">
      <c r="A16177" s="1"/>
    </row>
    <row r="16178" spans="1:1" x14ac:dyDescent="0.15">
      <c r="A16178" s="1"/>
    </row>
    <row r="16179" spans="1:1" x14ac:dyDescent="0.15">
      <c r="A16179" s="1"/>
    </row>
    <row r="16180" spans="1:1" x14ac:dyDescent="0.15">
      <c r="A16180" s="1"/>
    </row>
    <row r="16181" spans="1:1" x14ac:dyDescent="0.15">
      <c r="A16181" s="1"/>
    </row>
    <row r="16182" spans="1:1" x14ac:dyDescent="0.15">
      <c r="A16182" s="1"/>
    </row>
    <row r="16183" spans="1:1" x14ac:dyDescent="0.15">
      <c r="A16183" s="1"/>
    </row>
    <row r="16184" spans="1:1" x14ac:dyDescent="0.15">
      <c r="A16184" s="1"/>
    </row>
    <row r="16185" spans="1:1" x14ac:dyDescent="0.15">
      <c r="A16185" s="1"/>
    </row>
    <row r="16186" spans="1:1" x14ac:dyDescent="0.15">
      <c r="A16186" s="1"/>
    </row>
    <row r="16187" spans="1:1" x14ac:dyDescent="0.15">
      <c r="A16187" s="1"/>
    </row>
    <row r="16188" spans="1:1" x14ac:dyDescent="0.15">
      <c r="A16188" s="1"/>
    </row>
    <row r="16189" spans="1:1" x14ac:dyDescent="0.15">
      <c r="A16189" s="1"/>
    </row>
    <row r="16190" spans="1:1" x14ac:dyDescent="0.15">
      <c r="A16190" s="1"/>
    </row>
    <row r="16191" spans="1:1" x14ac:dyDescent="0.15">
      <c r="A16191" s="1"/>
    </row>
    <row r="16192" spans="1:1" x14ac:dyDescent="0.15">
      <c r="A16192" s="1"/>
    </row>
    <row r="16193" spans="1:1" x14ac:dyDescent="0.15">
      <c r="A16193" s="1"/>
    </row>
    <row r="16194" spans="1:1" x14ac:dyDescent="0.15">
      <c r="A16194" s="1"/>
    </row>
    <row r="16195" spans="1:1" x14ac:dyDescent="0.15">
      <c r="A16195" s="1"/>
    </row>
    <row r="16196" spans="1:1" x14ac:dyDescent="0.15">
      <c r="A16196" s="1"/>
    </row>
    <row r="16197" spans="1:1" x14ac:dyDescent="0.15">
      <c r="A16197" s="1"/>
    </row>
    <row r="16198" spans="1:1" x14ac:dyDescent="0.15">
      <c r="A16198" s="1"/>
    </row>
    <row r="16199" spans="1:1" x14ac:dyDescent="0.15">
      <c r="A16199" s="1"/>
    </row>
    <row r="16200" spans="1:1" x14ac:dyDescent="0.15">
      <c r="A16200" s="1"/>
    </row>
    <row r="16201" spans="1:1" x14ac:dyDescent="0.15">
      <c r="A16201" s="1"/>
    </row>
    <row r="16202" spans="1:1" x14ac:dyDescent="0.15">
      <c r="A16202" s="1"/>
    </row>
    <row r="16203" spans="1:1" x14ac:dyDescent="0.15">
      <c r="A16203" s="1"/>
    </row>
    <row r="16204" spans="1:1" x14ac:dyDescent="0.15">
      <c r="A16204" s="1"/>
    </row>
    <row r="16205" spans="1:1" x14ac:dyDescent="0.15">
      <c r="A16205" s="1"/>
    </row>
    <row r="16206" spans="1:1" x14ac:dyDescent="0.15">
      <c r="A16206" s="1"/>
    </row>
    <row r="16207" spans="1:1" x14ac:dyDescent="0.15">
      <c r="A16207" s="1"/>
    </row>
    <row r="16208" spans="1:1" x14ac:dyDescent="0.15">
      <c r="A16208" s="1"/>
    </row>
    <row r="16209" spans="1:1" x14ac:dyDescent="0.15">
      <c r="A16209" s="1"/>
    </row>
    <row r="16210" spans="1:1" x14ac:dyDescent="0.15">
      <c r="A16210" s="1"/>
    </row>
    <row r="16211" spans="1:1" x14ac:dyDescent="0.15">
      <c r="A16211" s="1"/>
    </row>
    <row r="16212" spans="1:1" x14ac:dyDescent="0.15">
      <c r="A16212" s="1"/>
    </row>
    <row r="16213" spans="1:1" x14ac:dyDescent="0.15">
      <c r="A16213" s="1"/>
    </row>
    <row r="16214" spans="1:1" x14ac:dyDescent="0.15">
      <c r="A16214" s="1"/>
    </row>
    <row r="16215" spans="1:1" x14ac:dyDescent="0.15">
      <c r="A16215" s="1"/>
    </row>
    <row r="16216" spans="1:1" x14ac:dyDescent="0.15">
      <c r="A16216" s="1"/>
    </row>
    <row r="16217" spans="1:1" x14ac:dyDescent="0.15">
      <c r="A16217" s="1"/>
    </row>
    <row r="16218" spans="1:1" x14ac:dyDescent="0.15">
      <c r="A16218" s="1"/>
    </row>
    <row r="16219" spans="1:1" x14ac:dyDescent="0.15">
      <c r="A16219" s="1"/>
    </row>
    <row r="16220" spans="1:1" x14ac:dyDescent="0.15">
      <c r="A16220" s="1"/>
    </row>
    <row r="16221" spans="1:1" x14ac:dyDescent="0.15">
      <c r="A16221" s="1"/>
    </row>
    <row r="16222" spans="1:1" x14ac:dyDescent="0.15">
      <c r="A16222" s="1"/>
    </row>
    <row r="16223" spans="1:1" x14ac:dyDescent="0.15">
      <c r="A16223" s="1"/>
    </row>
    <row r="16224" spans="1:1" x14ac:dyDescent="0.15">
      <c r="A16224" s="1"/>
    </row>
    <row r="16225" spans="1:1" x14ac:dyDescent="0.15">
      <c r="A16225" s="1"/>
    </row>
    <row r="16226" spans="1:1" x14ac:dyDescent="0.15">
      <c r="A16226" s="1"/>
    </row>
    <row r="16227" spans="1:1" x14ac:dyDescent="0.15">
      <c r="A16227" s="1"/>
    </row>
    <row r="16228" spans="1:1" x14ac:dyDescent="0.15">
      <c r="A16228" s="1"/>
    </row>
    <row r="16229" spans="1:1" x14ac:dyDescent="0.15">
      <c r="A16229" s="1"/>
    </row>
    <row r="16230" spans="1:1" x14ac:dyDescent="0.15">
      <c r="A16230" s="1"/>
    </row>
    <row r="16231" spans="1:1" x14ac:dyDescent="0.15">
      <c r="A16231" s="1"/>
    </row>
    <row r="16232" spans="1:1" x14ac:dyDescent="0.15">
      <c r="A16232" s="1"/>
    </row>
    <row r="16233" spans="1:1" x14ac:dyDescent="0.15">
      <c r="A16233" s="1"/>
    </row>
    <row r="16234" spans="1:1" x14ac:dyDescent="0.15">
      <c r="A16234" s="1"/>
    </row>
    <row r="16235" spans="1:1" x14ac:dyDescent="0.15">
      <c r="A16235" s="1"/>
    </row>
    <row r="16236" spans="1:1" x14ac:dyDescent="0.15">
      <c r="A16236" s="1"/>
    </row>
    <row r="16237" spans="1:1" x14ac:dyDescent="0.15">
      <c r="A16237" s="1"/>
    </row>
    <row r="16238" spans="1:1" x14ac:dyDescent="0.15">
      <c r="A16238" s="1"/>
    </row>
    <row r="16239" spans="1:1" x14ac:dyDescent="0.15">
      <c r="A16239" s="1"/>
    </row>
    <row r="16240" spans="1:1" x14ac:dyDescent="0.15">
      <c r="A16240" s="1"/>
    </row>
    <row r="16241" spans="1:1" x14ac:dyDescent="0.15">
      <c r="A16241" s="1"/>
    </row>
    <row r="16242" spans="1:1" x14ac:dyDescent="0.15">
      <c r="A16242" s="1"/>
    </row>
    <row r="16243" spans="1:1" x14ac:dyDescent="0.15">
      <c r="A16243" s="1"/>
    </row>
    <row r="16244" spans="1:1" x14ac:dyDescent="0.15">
      <c r="A16244" s="1"/>
    </row>
    <row r="16245" spans="1:1" x14ac:dyDescent="0.15">
      <c r="A16245" s="1"/>
    </row>
    <row r="16246" spans="1:1" x14ac:dyDescent="0.15">
      <c r="A16246" s="1"/>
    </row>
    <row r="16247" spans="1:1" x14ac:dyDescent="0.15">
      <c r="A16247" s="1"/>
    </row>
    <row r="16248" spans="1:1" x14ac:dyDescent="0.15">
      <c r="A16248" s="1"/>
    </row>
    <row r="16249" spans="1:1" x14ac:dyDescent="0.15">
      <c r="A16249" s="1"/>
    </row>
    <row r="16250" spans="1:1" x14ac:dyDescent="0.15">
      <c r="A16250" s="1"/>
    </row>
    <row r="16251" spans="1:1" x14ac:dyDescent="0.15">
      <c r="A16251" s="1"/>
    </row>
    <row r="16252" spans="1:1" x14ac:dyDescent="0.15">
      <c r="A16252" s="1"/>
    </row>
    <row r="16253" spans="1:1" x14ac:dyDescent="0.15">
      <c r="A16253" s="1"/>
    </row>
    <row r="16254" spans="1:1" x14ac:dyDescent="0.15">
      <c r="A16254" s="1"/>
    </row>
    <row r="16255" spans="1:1" x14ac:dyDescent="0.15">
      <c r="A16255" s="1"/>
    </row>
    <row r="16256" spans="1:1" x14ac:dyDescent="0.15">
      <c r="A16256" s="1"/>
    </row>
    <row r="16257" spans="1:1" x14ac:dyDescent="0.15">
      <c r="A16257" s="1"/>
    </row>
    <row r="16258" spans="1:1" x14ac:dyDescent="0.15">
      <c r="A16258" s="1"/>
    </row>
    <row r="16259" spans="1:1" x14ac:dyDescent="0.15">
      <c r="A16259" s="1"/>
    </row>
    <row r="16260" spans="1:1" x14ac:dyDescent="0.15">
      <c r="A16260" s="1"/>
    </row>
    <row r="16261" spans="1:1" x14ac:dyDescent="0.15">
      <c r="A16261" s="1"/>
    </row>
    <row r="16262" spans="1:1" x14ac:dyDescent="0.15">
      <c r="A16262" s="1"/>
    </row>
    <row r="16263" spans="1:1" x14ac:dyDescent="0.15">
      <c r="A16263" s="1"/>
    </row>
    <row r="16264" spans="1:1" x14ac:dyDescent="0.15">
      <c r="A16264" s="1"/>
    </row>
    <row r="16265" spans="1:1" x14ac:dyDescent="0.15">
      <c r="A16265" s="1"/>
    </row>
    <row r="16266" spans="1:1" x14ac:dyDescent="0.15">
      <c r="A16266" s="1"/>
    </row>
    <row r="16267" spans="1:1" x14ac:dyDescent="0.15">
      <c r="A16267" s="1"/>
    </row>
    <row r="16268" spans="1:1" x14ac:dyDescent="0.15">
      <c r="A16268" s="1"/>
    </row>
    <row r="16269" spans="1:1" x14ac:dyDescent="0.15">
      <c r="A16269" s="1"/>
    </row>
    <row r="16270" spans="1:1" x14ac:dyDescent="0.15">
      <c r="A16270" s="1"/>
    </row>
    <row r="16271" spans="1:1" x14ac:dyDescent="0.15">
      <c r="A16271" s="1"/>
    </row>
    <row r="16272" spans="1:1" x14ac:dyDescent="0.15">
      <c r="A16272" s="1"/>
    </row>
    <row r="16273" spans="1:1" x14ac:dyDescent="0.15">
      <c r="A16273" s="1"/>
    </row>
    <row r="16274" spans="1:1" x14ac:dyDescent="0.15">
      <c r="A16274" s="1"/>
    </row>
    <row r="16275" spans="1:1" x14ac:dyDescent="0.15">
      <c r="A16275" s="1"/>
    </row>
    <row r="16276" spans="1:1" x14ac:dyDescent="0.15">
      <c r="A16276" s="1"/>
    </row>
    <row r="16277" spans="1:1" x14ac:dyDescent="0.15">
      <c r="A16277" s="1"/>
    </row>
    <row r="16278" spans="1:1" x14ac:dyDescent="0.15">
      <c r="A16278" s="1"/>
    </row>
    <row r="16279" spans="1:1" x14ac:dyDescent="0.15">
      <c r="A16279" s="1"/>
    </row>
    <row r="16280" spans="1:1" x14ac:dyDescent="0.15">
      <c r="A16280" s="1"/>
    </row>
    <row r="16281" spans="1:1" x14ac:dyDescent="0.15">
      <c r="A16281" s="1"/>
    </row>
    <row r="16282" spans="1:1" x14ac:dyDescent="0.15">
      <c r="A16282" s="1"/>
    </row>
    <row r="16283" spans="1:1" x14ac:dyDescent="0.15">
      <c r="A16283" s="1"/>
    </row>
    <row r="16284" spans="1:1" x14ac:dyDescent="0.15">
      <c r="A16284" s="1"/>
    </row>
    <row r="16285" spans="1:1" x14ac:dyDescent="0.15">
      <c r="A16285" s="1"/>
    </row>
    <row r="16286" spans="1:1" x14ac:dyDescent="0.15">
      <c r="A16286" s="1"/>
    </row>
    <row r="16287" spans="1:1" x14ac:dyDescent="0.15">
      <c r="A16287" s="1"/>
    </row>
    <row r="16288" spans="1:1" x14ac:dyDescent="0.15">
      <c r="A16288" s="1"/>
    </row>
    <row r="16289" spans="1:1" x14ac:dyDescent="0.15">
      <c r="A16289" s="1"/>
    </row>
    <row r="16290" spans="1:1" x14ac:dyDescent="0.15">
      <c r="A16290" s="1"/>
    </row>
    <row r="16291" spans="1:1" x14ac:dyDescent="0.15">
      <c r="A16291" s="1"/>
    </row>
    <row r="16292" spans="1:1" x14ac:dyDescent="0.15">
      <c r="A16292" s="1"/>
    </row>
    <row r="16293" spans="1:1" x14ac:dyDescent="0.15">
      <c r="A16293" s="1"/>
    </row>
    <row r="16294" spans="1:1" x14ac:dyDescent="0.15">
      <c r="A16294" s="1"/>
    </row>
    <row r="16295" spans="1:1" x14ac:dyDescent="0.15">
      <c r="A16295" s="1"/>
    </row>
    <row r="16296" spans="1:1" x14ac:dyDescent="0.15">
      <c r="A16296" s="1"/>
    </row>
    <row r="16297" spans="1:1" x14ac:dyDescent="0.15">
      <c r="A16297" s="1"/>
    </row>
    <row r="16298" spans="1:1" x14ac:dyDescent="0.15">
      <c r="A16298" s="1"/>
    </row>
    <row r="16299" spans="1:1" x14ac:dyDescent="0.15">
      <c r="A16299" s="1"/>
    </row>
    <row r="16300" spans="1:1" x14ac:dyDescent="0.15">
      <c r="A16300" s="1"/>
    </row>
    <row r="16301" spans="1:1" x14ac:dyDescent="0.15">
      <c r="A16301" s="1"/>
    </row>
    <row r="16302" spans="1:1" x14ac:dyDescent="0.15">
      <c r="A16302" s="1"/>
    </row>
    <row r="16303" spans="1:1" x14ac:dyDescent="0.15">
      <c r="A16303" s="1"/>
    </row>
    <row r="16304" spans="1:1" x14ac:dyDescent="0.15">
      <c r="A16304" s="1"/>
    </row>
    <row r="16305" spans="1:1" x14ac:dyDescent="0.15">
      <c r="A16305" s="1"/>
    </row>
    <row r="16306" spans="1:1" x14ac:dyDescent="0.15">
      <c r="A16306" s="1"/>
    </row>
    <row r="16307" spans="1:1" x14ac:dyDescent="0.15">
      <c r="A16307" s="1"/>
    </row>
    <row r="16308" spans="1:1" x14ac:dyDescent="0.15">
      <c r="A16308" s="1"/>
    </row>
    <row r="16309" spans="1:1" x14ac:dyDescent="0.15">
      <c r="A16309" s="1"/>
    </row>
    <row r="16310" spans="1:1" x14ac:dyDescent="0.15">
      <c r="A16310" s="1"/>
    </row>
    <row r="16311" spans="1:1" x14ac:dyDescent="0.15">
      <c r="A16311" s="1"/>
    </row>
    <row r="16312" spans="1:1" x14ac:dyDescent="0.15">
      <c r="A16312" s="1"/>
    </row>
    <row r="16313" spans="1:1" x14ac:dyDescent="0.15">
      <c r="A16313" s="1"/>
    </row>
    <row r="16314" spans="1:1" x14ac:dyDescent="0.15">
      <c r="A16314" s="1"/>
    </row>
    <row r="16315" spans="1:1" x14ac:dyDescent="0.15">
      <c r="A16315" s="1"/>
    </row>
    <row r="16316" spans="1:1" x14ac:dyDescent="0.15">
      <c r="A16316" s="1"/>
    </row>
    <row r="16317" spans="1:1" x14ac:dyDescent="0.15">
      <c r="A16317" s="1"/>
    </row>
    <row r="16318" spans="1:1" x14ac:dyDescent="0.15">
      <c r="A16318" s="1"/>
    </row>
    <row r="16319" spans="1:1" x14ac:dyDescent="0.15">
      <c r="A16319" s="1"/>
    </row>
    <row r="16320" spans="1:1" x14ac:dyDescent="0.15">
      <c r="A16320" s="1"/>
    </row>
    <row r="16321" spans="1:1" x14ac:dyDescent="0.15">
      <c r="A16321" s="1"/>
    </row>
    <row r="16322" spans="1:1" x14ac:dyDescent="0.15">
      <c r="A16322" s="1"/>
    </row>
    <row r="16323" spans="1:1" x14ac:dyDescent="0.15">
      <c r="A16323" s="1"/>
    </row>
    <row r="16324" spans="1:1" x14ac:dyDescent="0.15">
      <c r="A16324" s="1"/>
    </row>
    <row r="16325" spans="1:1" x14ac:dyDescent="0.15">
      <c r="A16325" s="1"/>
    </row>
    <row r="16326" spans="1:1" x14ac:dyDescent="0.15">
      <c r="A16326" s="1"/>
    </row>
    <row r="16327" spans="1:1" x14ac:dyDescent="0.15">
      <c r="A16327" s="1"/>
    </row>
    <row r="16328" spans="1:1" x14ac:dyDescent="0.15">
      <c r="A16328" s="1"/>
    </row>
    <row r="16329" spans="1:1" x14ac:dyDescent="0.15">
      <c r="A16329" s="1"/>
    </row>
    <row r="16330" spans="1:1" x14ac:dyDescent="0.15">
      <c r="A16330" s="1"/>
    </row>
    <row r="16331" spans="1:1" x14ac:dyDescent="0.15">
      <c r="A16331" s="1"/>
    </row>
    <row r="16332" spans="1:1" x14ac:dyDescent="0.15">
      <c r="A16332" s="1"/>
    </row>
    <row r="16333" spans="1:1" x14ac:dyDescent="0.15">
      <c r="A16333" s="1"/>
    </row>
    <row r="16334" spans="1:1" x14ac:dyDescent="0.15">
      <c r="A16334" s="1"/>
    </row>
    <row r="16335" spans="1:1" x14ac:dyDescent="0.15">
      <c r="A16335" s="1"/>
    </row>
    <row r="16336" spans="1:1" x14ac:dyDescent="0.15">
      <c r="A16336" s="1"/>
    </row>
    <row r="16337" spans="1:1" x14ac:dyDescent="0.15">
      <c r="A16337" s="1"/>
    </row>
    <row r="16338" spans="1:1" x14ac:dyDescent="0.15">
      <c r="A16338" s="1"/>
    </row>
    <row r="16339" spans="1:1" x14ac:dyDescent="0.15">
      <c r="A16339" s="1"/>
    </row>
    <row r="16340" spans="1:1" x14ac:dyDescent="0.15">
      <c r="A16340" s="1"/>
    </row>
    <row r="16341" spans="1:1" x14ac:dyDescent="0.15">
      <c r="A16341" s="1"/>
    </row>
    <row r="16342" spans="1:1" x14ac:dyDescent="0.15">
      <c r="A16342" s="1"/>
    </row>
    <row r="16343" spans="1:1" x14ac:dyDescent="0.15">
      <c r="A16343" s="1"/>
    </row>
    <row r="16344" spans="1:1" x14ac:dyDescent="0.15">
      <c r="A16344" s="1"/>
    </row>
    <row r="16345" spans="1:1" x14ac:dyDescent="0.15">
      <c r="A16345" s="1"/>
    </row>
    <row r="16346" spans="1:1" x14ac:dyDescent="0.15">
      <c r="A16346" s="1"/>
    </row>
    <row r="16347" spans="1:1" x14ac:dyDescent="0.15">
      <c r="A16347" s="1"/>
    </row>
    <row r="16348" spans="1:1" x14ac:dyDescent="0.15">
      <c r="A16348" s="1"/>
    </row>
    <row r="16349" spans="1:1" x14ac:dyDescent="0.15">
      <c r="A16349" s="1"/>
    </row>
    <row r="16350" spans="1:1" x14ac:dyDescent="0.15">
      <c r="A16350" s="1"/>
    </row>
    <row r="16351" spans="1:1" x14ac:dyDescent="0.15">
      <c r="A16351" s="1"/>
    </row>
    <row r="16352" spans="1:1" x14ac:dyDescent="0.15">
      <c r="A16352" s="1"/>
    </row>
    <row r="16353" spans="1:1" x14ac:dyDescent="0.15">
      <c r="A16353" s="1"/>
    </row>
    <row r="16354" spans="1:1" x14ac:dyDescent="0.15">
      <c r="A16354" s="1"/>
    </row>
    <row r="16355" spans="1:1" x14ac:dyDescent="0.15">
      <c r="A16355" s="1"/>
    </row>
    <row r="16356" spans="1:1" x14ac:dyDescent="0.15">
      <c r="A16356" s="1"/>
    </row>
    <row r="16357" spans="1:1" x14ac:dyDescent="0.15">
      <c r="A16357" s="1"/>
    </row>
    <row r="16358" spans="1:1" x14ac:dyDescent="0.15">
      <c r="A16358" s="1"/>
    </row>
    <row r="16359" spans="1:1" x14ac:dyDescent="0.15">
      <c r="A16359" s="1"/>
    </row>
    <row r="16360" spans="1:1" x14ac:dyDescent="0.15">
      <c r="A16360" s="1"/>
    </row>
    <row r="16361" spans="1:1" x14ac:dyDescent="0.15">
      <c r="A16361" s="1"/>
    </row>
    <row r="16362" spans="1:1" x14ac:dyDescent="0.15">
      <c r="A16362" s="1"/>
    </row>
    <row r="16363" spans="1:1" x14ac:dyDescent="0.15">
      <c r="A16363" s="1"/>
    </row>
    <row r="16364" spans="1:1" x14ac:dyDescent="0.15">
      <c r="A16364" s="1"/>
    </row>
    <row r="16365" spans="1:1" x14ac:dyDescent="0.15">
      <c r="A16365" s="1"/>
    </row>
    <row r="16366" spans="1:1" x14ac:dyDescent="0.15">
      <c r="A16366" s="1"/>
    </row>
    <row r="16367" spans="1:1" x14ac:dyDescent="0.15">
      <c r="A16367" s="1"/>
    </row>
    <row r="16368" spans="1:1" x14ac:dyDescent="0.15">
      <c r="A16368" s="1"/>
    </row>
    <row r="16369" spans="1:1" x14ac:dyDescent="0.15">
      <c r="A16369" s="1"/>
    </row>
    <row r="16370" spans="1:1" x14ac:dyDescent="0.15">
      <c r="A16370" s="1"/>
    </row>
    <row r="16371" spans="1:1" x14ac:dyDescent="0.15">
      <c r="A16371" s="1"/>
    </row>
    <row r="16372" spans="1:1" x14ac:dyDescent="0.15">
      <c r="A16372" s="1"/>
    </row>
    <row r="16373" spans="1:1" x14ac:dyDescent="0.15">
      <c r="A16373" s="1"/>
    </row>
    <row r="16374" spans="1:1" x14ac:dyDescent="0.15">
      <c r="A16374" s="1"/>
    </row>
    <row r="16375" spans="1:1" x14ac:dyDescent="0.15">
      <c r="A16375" s="1"/>
    </row>
    <row r="16376" spans="1:1" x14ac:dyDescent="0.15">
      <c r="A16376" s="1"/>
    </row>
    <row r="16377" spans="1:1" x14ac:dyDescent="0.15">
      <c r="A16377" s="1"/>
    </row>
    <row r="16378" spans="1:1" x14ac:dyDescent="0.15">
      <c r="A16378" s="1"/>
    </row>
    <row r="16379" spans="1:1" x14ac:dyDescent="0.15">
      <c r="A16379" s="1"/>
    </row>
    <row r="16380" spans="1:1" x14ac:dyDescent="0.15">
      <c r="A16380" s="1"/>
    </row>
    <row r="16381" spans="1:1" x14ac:dyDescent="0.15">
      <c r="A16381" s="1"/>
    </row>
    <row r="16382" spans="1:1" x14ac:dyDescent="0.15">
      <c r="A16382" s="1"/>
    </row>
    <row r="16383" spans="1:1" x14ac:dyDescent="0.15">
      <c r="A16383" s="1"/>
    </row>
    <row r="16384" spans="1:1" x14ac:dyDescent="0.15">
      <c r="A16384" s="1"/>
    </row>
    <row r="16385" spans="1:1" x14ac:dyDescent="0.15">
      <c r="A16385" s="1"/>
    </row>
    <row r="16386" spans="1:1" x14ac:dyDescent="0.15">
      <c r="A16386" s="1"/>
    </row>
    <row r="16387" spans="1:1" x14ac:dyDescent="0.15">
      <c r="A16387" s="1"/>
    </row>
    <row r="16388" spans="1:1" x14ac:dyDescent="0.15">
      <c r="A16388" s="1"/>
    </row>
  </sheetData>
  <mergeCells count="1">
    <mergeCell ref="B63:B64"/>
  </mergeCells>
  <phoneticPr fontId="4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35"/>
  <sheetViews>
    <sheetView workbookViewId="0">
      <selection activeCell="F27" sqref="F27"/>
    </sheetView>
  </sheetViews>
  <sheetFormatPr defaultRowHeight="13.5" x14ac:dyDescent="0.15"/>
  <sheetData>
    <row r="1" spans="2:3" x14ac:dyDescent="0.15">
      <c r="C1" t="s">
        <v>163</v>
      </c>
    </row>
    <row r="2" spans="2:3" x14ac:dyDescent="0.15">
      <c r="B2">
        <v>1</v>
      </c>
      <c r="C2" s="5" t="s">
        <v>2224</v>
      </c>
    </row>
    <row r="3" spans="2:3" x14ac:dyDescent="0.15">
      <c r="B3">
        <v>3</v>
      </c>
      <c r="C3" s="5" t="s">
        <v>2225</v>
      </c>
    </row>
    <row r="4" spans="2:3" x14ac:dyDescent="0.15">
      <c r="B4">
        <v>6</v>
      </c>
      <c r="C4" s="5" t="s">
        <v>2226</v>
      </c>
    </row>
    <row r="5" spans="2:3" x14ac:dyDescent="0.15">
      <c r="B5">
        <v>9</v>
      </c>
      <c r="C5" s="5" t="s">
        <v>2227</v>
      </c>
    </row>
    <row r="8" spans="2:3" x14ac:dyDescent="0.15">
      <c r="C8" s="12" t="s">
        <v>165</v>
      </c>
    </row>
    <row r="9" spans="2:3" x14ac:dyDescent="0.15">
      <c r="B9">
        <v>1</v>
      </c>
      <c r="C9" s="38" t="s">
        <v>2215</v>
      </c>
    </row>
    <row r="10" spans="2:3" x14ac:dyDescent="0.15">
      <c r="B10">
        <v>3</v>
      </c>
      <c r="C10" s="38" t="s">
        <v>2216</v>
      </c>
    </row>
    <row r="11" spans="2:3" x14ac:dyDescent="0.15">
      <c r="B11">
        <v>6</v>
      </c>
      <c r="C11" s="38" t="s">
        <v>2217</v>
      </c>
    </row>
    <row r="12" spans="2:3" x14ac:dyDescent="0.15">
      <c r="B12">
        <v>9</v>
      </c>
      <c r="C12" s="38" t="s">
        <v>2218</v>
      </c>
    </row>
    <row r="14" spans="2:3" x14ac:dyDescent="0.15">
      <c r="C14" s="28" t="s">
        <v>166</v>
      </c>
    </row>
    <row r="15" spans="2:3" x14ac:dyDescent="0.15">
      <c r="B15">
        <v>1</v>
      </c>
      <c r="C15" s="39" t="s">
        <v>2219</v>
      </c>
    </row>
    <row r="16" spans="2:3" x14ac:dyDescent="0.15">
      <c r="B16">
        <v>3</v>
      </c>
      <c r="C16" s="39" t="s">
        <v>2220</v>
      </c>
    </row>
    <row r="17" spans="2:4" x14ac:dyDescent="0.15">
      <c r="B17" s="29">
        <v>6</v>
      </c>
      <c r="C17" s="39" t="s">
        <v>2221</v>
      </c>
    </row>
    <row r="18" spans="2:4" x14ac:dyDescent="0.15">
      <c r="B18" s="29">
        <v>9</v>
      </c>
      <c r="C18" s="39" t="s">
        <v>2222</v>
      </c>
    </row>
    <row r="22" spans="2:4" x14ac:dyDescent="0.15">
      <c r="C22" t="s">
        <v>2214</v>
      </c>
    </row>
    <row r="23" spans="2:4" x14ac:dyDescent="0.15">
      <c r="C23" s="19">
        <v>8</v>
      </c>
    </row>
    <row r="24" spans="2:4" x14ac:dyDescent="0.15">
      <c r="C24" s="19">
        <v>13</v>
      </c>
    </row>
    <row r="25" spans="2:4" x14ac:dyDescent="0.15">
      <c r="C25" s="19">
        <v>14</v>
      </c>
    </row>
    <row r="26" spans="2:4" x14ac:dyDescent="0.15">
      <c r="C26" s="19">
        <v>16</v>
      </c>
    </row>
    <row r="27" spans="2:4" x14ac:dyDescent="0.15">
      <c r="C27" s="19"/>
    </row>
    <row r="28" spans="2:4" x14ac:dyDescent="0.15">
      <c r="C28" s="19"/>
    </row>
    <row r="31" spans="2:4" x14ac:dyDescent="0.15">
      <c r="C31" t="s">
        <v>2228</v>
      </c>
    </row>
    <row r="32" spans="2:4" x14ac:dyDescent="0.15">
      <c r="C32">
        <v>0</v>
      </c>
      <c r="D32">
        <v>1</v>
      </c>
    </row>
    <row r="33" spans="3:4" x14ac:dyDescent="0.15">
      <c r="C33">
        <v>1</v>
      </c>
      <c r="D33">
        <v>3</v>
      </c>
    </row>
    <row r="34" spans="3:4" x14ac:dyDescent="0.15">
      <c r="C34">
        <v>2</v>
      </c>
      <c r="D34">
        <v>6</v>
      </c>
    </row>
    <row r="35" spans="3:4" x14ac:dyDescent="0.15">
      <c r="C35">
        <v>3</v>
      </c>
      <c r="D35">
        <v>9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X983"/>
  <sheetViews>
    <sheetView workbookViewId="0">
      <selection sqref="A1:XFD1048576"/>
    </sheetView>
  </sheetViews>
  <sheetFormatPr defaultRowHeight="17.25" x14ac:dyDescent="0.15"/>
  <cols>
    <col min="1" max="1" width="11.625" customWidth="1"/>
    <col min="2" max="2" width="9" style="37"/>
    <col min="3" max="4" width="10.75" style="37" customWidth="1"/>
    <col min="8" max="8" width="19" customWidth="1"/>
    <col min="9" max="9" width="18.75" customWidth="1"/>
    <col min="10" max="10" width="12.75" customWidth="1"/>
    <col min="11" max="11" width="10.625" customWidth="1"/>
  </cols>
  <sheetData>
    <row r="1" spans="1:319" ht="16.5" x14ac:dyDescent="0.15">
      <c r="A1" s="30"/>
      <c r="B1" s="30" t="s">
        <v>614</v>
      </c>
      <c r="C1" s="30" t="s">
        <v>615</v>
      </c>
      <c r="D1" s="30" t="s">
        <v>614</v>
      </c>
      <c r="E1" s="30" t="s">
        <v>616</v>
      </c>
      <c r="F1" s="30" t="s">
        <v>616</v>
      </c>
      <c r="G1" s="30" t="s">
        <v>617</v>
      </c>
    </row>
    <row r="2" spans="1:319" ht="16.5" x14ac:dyDescent="0.15">
      <c r="A2" s="30" t="s">
        <v>167</v>
      </c>
      <c r="B2" s="31" t="s">
        <v>168</v>
      </c>
      <c r="C2" s="31" t="s">
        <v>169</v>
      </c>
      <c r="D2" t="s">
        <v>618</v>
      </c>
      <c r="E2" t="s">
        <v>619</v>
      </c>
      <c r="F2" t="s">
        <v>170</v>
      </c>
      <c r="G2" t="s">
        <v>620</v>
      </c>
    </row>
    <row r="3" spans="1:319" ht="16.5" x14ac:dyDescent="0.15">
      <c r="A3" s="30" t="s">
        <v>171</v>
      </c>
      <c r="B3" s="31" t="s">
        <v>172</v>
      </c>
      <c r="C3" s="31" t="s">
        <v>173</v>
      </c>
      <c r="D3" t="s">
        <v>621</v>
      </c>
      <c r="E3" t="s">
        <v>622</v>
      </c>
      <c r="F3" t="s">
        <v>623</v>
      </c>
      <c r="G3" s="32" t="s">
        <v>174</v>
      </c>
    </row>
    <row r="4" spans="1:319" ht="16.5" x14ac:dyDescent="0.15">
      <c r="A4" s="30" t="s">
        <v>175</v>
      </c>
      <c r="B4" s="31" t="s">
        <v>176</v>
      </c>
      <c r="C4" s="31" t="s">
        <v>177</v>
      </c>
      <c r="D4" t="s">
        <v>624</v>
      </c>
      <c r="E4" s="32" t="s">
        <v>178</v>
      </c>
      <c r="F4" t="s">
        <v>625</v>
      </c>
      <c r="G4" s="32" t="s">
        <v>179</v>
      </c>
    </row>
    <row r="5" spans="1:319" ht="16.5" x14ac:dyDescent="0.15">
      <c r="A5" s="30" t="s">
        <v>180</v>
      </c>
      <c r="B5" s="31" t="s">
        <v>181</v>
      </c>
      <c r="C5" s="31" t="s">
        <v>182</v>
      </c>
      <c r="D5" t="s">
        <v>626</v>
      </c>
      <c r="E5" t="s">
        <v>627</v>
      </c>
      <c r="F5" t="s">
        <v>628</v>
      </c>
      <c r="G5" t="s">
        <v>629</v>
      </c>
    </row>
    <row r="6" spans="1:319" ht="16.5" x14ac:dyDescent="0.15">
      <c r="A6" s="30" t="s">
        <v>183</v>
      </c>
      <c r="B6" s="31" t="s">
        <v>184</v>
      </c>
      <c r="C6" s="31" t="s">
        <v>185</v>
      </c>
      <c r="D6" t="s">
        <v>630</v>
      </c>
      <c r="E6" t="s">
        <v>628</v>
      </c>
      <c r="F6" t="s">
        <v>631</v>
      </c>
      <c r="G6" t="s">
        <v>632</v>
      </c>
    </row>
    <row r="7" spans="1:319" ht="16.5" x14ac:dyDescent="0.15">
      <c r="A7" s="30" t="s">
        <v>186</v>
      </c>
      <c r="B7" s="31" t="s">
        <v>187</v>
      </c>
      <c r="C7" s="31" t="s">
        <v>188</v>
      </c>
      <c r="D7" t="s">
        <v>633</v>
      </c>
      <c r="E7" t="s">
        <v>634</v>
      </c>
      <c r="F7" t="s">
        <v>635</v>
      </c>
      <c r="G7" t="s">
        <v>636</v>
      </c>
    </row>
    <row r="8" spans="1:319" ht="16.5" x14ac:dyDescent="0.15">
      <c r="A8" s="30" t="s">
        <v>189</v>
      </c>
      <c r="B8" s="31" t="s">
        <v>190</v>
      </c>
      <c r="C8" s="31" t="s">
        <v>191</v>
      </c>
      <c r="D8" t="s">
        <v>637</v>
      </c>
      <c r="E8" t="s">
        <v>630</v>
      </c>
      <c r="F8" t="s">
        <v>638</v>
      </c>
      <c r="G8" t="s">
        <v>639</v>
      </c>
    </row>
    <row r="9" spans="1:319" ht="16.5" x14ac:dyDescent="0.15">
      <c r="A9" s="30" t="s">
        <v>192</v>
      </c>
      <c r="B9" s="31" t="s">
        <v>193</v>
      </c>
      <c r="C9" s="31" t="s">
        <v>194</v>
      </c>
      <c r="D9" t="s">
        <v>640</v>
      </c>
      <c r="E9" t="s">
        <v>633</v>
      </c>
      <c r="F9" t="s">
        <v>641</v>
      </c>
      <c r="G9" s="30" t="s">
        <v>642</v>
      </c>
      <c r="H9" s="31"/>
      <c r="I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</row>
    <row r="10" spans="1:319" ht="16.5" x14ac:dyDescent="0.15">
      <c r="A10" s="30" t="s">
        <v>195</v>
      </c>
      <c r="B10" s="31" t="s">
        <v>196</v>
      </c>
      <c r="C10" s="31" t="s">
        <v>197</v>
      </c>
      <c r="D10" s="33" t="s">
        <v>198</v>
      </c>
      <c r="E10" t="s">
        <v>640</v>
      </c>
      <c r="F10" t="s">
        <v>643</v>
      </c>
      <c r="G10" t="s">
        <v>644</v>
      </c>
    </row>
    <row r="11" spans="1:319" ht="16.5" x14ac:dyDescent="0.15">
      <c r="A11" s="30" t="s">
        <v>199</v>
      </c>
      <c r="B11" s="31" t="s">
        <v>200</v>
      </c>
      <c r="C11" s="31" t="s">
        <v>201</v>
      </c>
      <c r="D11" s="33" t="s">
        <v>202</v>
      </c>
      <c r="E11" t="s">
        <v>645</v>
      </c>
      <c r="F11" t="s">
        <v>646</v>
      </c>
      <c r="G11" t="s">
        <v>647</v>
      </c>
    </row>
    <row r="12" spans="1:319" ht="16.5" x14ac:dyDescent="0.15">
      <c r="A12" s="30" t="s">
        <v>203</v>
      </c>
      <c r="B12" s="31" t="s">
        <v>204</v>
      </c>
      <c r="C12" s="31" t="s">
        <v>205</v>
      </c>
      <c r="D12" s="33" t="s">
        <v>648</v>
      </c>
      <c r="E12" s="33" t="s">
        <v>198</v>
      </c>
      <c r="F12" t="s">
        <v>649</v>
      </c>
      <c r="G12" t="s">
        <v>650</v>
      </c>
    </row>
    <row r="13" spans="1:319" ht="16.5" x14ac:dyDescent="0.15">
      <c r="A13" s="30" t="s">
        <v>206</v>
      </c>
      <c r="B13" s="31" t="s">
        <v>207</v>
      </c>
      <c r="C13" s="31" t="s">
        <v>208</v>
      </c>
      <c r="D13" s="33" t="s">
        <v>651</v>
      </c>
      <c r="E13" s="33" t="s">
        <v>209</v>
      </c>
      <c r="F13" t="s">
        <v>652</v>
      </c>
      <c r="G13" t="s">
        <v>210</v>
      </c>
    </row>
    <row r="14" spans="1:319" ht="16.5" x14ac:dyDescent="0.15">
      <c r="A14" s="30" t="s">
        <v>211</v>
      </c>
      <c r="B14" s="31" t="s">
        <v>212</v>
      </c>
      <c r="C14" s="31" t="s">
        <v>213</v>
      </c>
      <c r="D14" s="33" t="s">
        <v>653</v>
      </c>
      <c r="E14" s="33" t="s">
        <v>654</v>
      </c>
      <c r="F14" t="s">
        <v>655</v>
      </c>
      <c r="G14" t="s">
        <v>656</v>
      </c>
    </row>
    <row r="15" spans="1:319" ht="16.5" x14ac:dyDescent="0.15">
      <c r="A15" s="30" t="s">
        <v>214</v>
      </c>
      <c r="B15" s="31" t="s">
        <v>215</v>
      </c>
      <c r="C15" s="31" t="s">
        <v>216</v>
      </c>
      <c r="D15" s="33" t="s">
        <v>657</v>
      </c>
      <c r="E15" s="33" t="s">
        <v>648</v>
      </c>
      <c r="F15" t="s">
        <v>658</v>
      </c>
      <c r="G15" t="s">
        <v>659</v>
      </c>
    </row>
    <row r="16" spans="1:319" ht="16.5" x14ac:dyDescent="0.15">
      <c r="A16" s="30" t="s">
        <v>217</v>
      </c>
      <c r="B16" s="31" t="s">
        <v>218</v>
      </c>
      <c r="C16" s="31" t="s">
        <v>219</v>
      </c>
      <c r="D16" s="33" t="s">
        <v>660</v>
      </c>
      <c r="E16" s="33" t="s">
        <v>651</v>
      </c>
      <c r="F16" t="s">
        <v>661</v>
      </c>
      <c r="G16" t="s">
        <v>662</v>
      </c>
    </row>
    <row r="17" spans="1:7" ht="16.5" x14ac:dyDescent="0.15">
      <c r="A17" s="30" t="s">
        <v>220</v>
      </c>
      <c r="B17" s="31" t="s">
        <v>221</v>
      </c>
      <c r="C17" s="31" t="s">
        <v>222</v>
      </c>
      <c r="D17" s="33" t="s">
        <v>663</v>
      </c>
      <c r="E17" s="33" t="s">
        <v>653</v>
      </c>
      <c r="F17" t="s">
        <v>664</v>
      </c>
      <c r="G17" t="s">
        <v>665</v>
      </c>
    </row>
    <row r="18" spans="1:7" ht="16.5" x14ac:dyDescent="0.15">
      <c r="A18" s="30" t="s">
        <v>223</v>
      </c>
      <c r="B18" s="31" t="s">
        <v>224</v>
      </c>
      <c r="C18" s="31" t="s">
        <v>225</v>
      </c>
      <c r="D18" s="33" t="s">
        <v>666</v>
      </c>
      <c r="E18" s="33" t="s">
        <v>667</v>
      </c>
      <c r="F18" t="s">
        <v>668</v>
      </c>
      <c r="G18" t="s">
        <v>669</v>
      </c>
    </row>
    <row r="19" spans="1:7" ht="16.5" x14ac:dyDescent="0.15">
      <c r="A19" s="30" t="s">
        <v>226</v>
      </c>
      <c r="B19" s="31" t="s">
        <v>227</v>
      </c>
      <c r="C19" s="31" t="s">
        <v>228</v>
      </c>
      <c r="D19" s="33" t="s">
        <v>670</v>
      </c>
      <c r="E19" s="33" t="s">
        <v>657</v>
      </c>
      <c r="F19" t="s">
        <v>671</v>
      </c>
      <c r="G19" t="s">
        <v>672</v>
      </c>
    </row>
    <row r="20" spans="1:7" ht="16.5" x14ac:dyDescent="0.15">
      <c r="A20" s="30" t="s">
        <v>229</v>
      </c>
      <c r="B20" s="31" t="s">
        <v>230</v>
      </c>
      <c r="C20" s="31" t="s">
        <v>231</v>
      </c>
      <c r="D20" s="33" t="s">
        <v>673</v>
      </c>
      <c r="E20" s="33" t="s">
        <v>660</v>
      </c>
      <c r="F20" t="s">
        <v>674</v>
      </c>
      <c r="G20" t="s">
        <v>675</v>
      </c>
    </row>
    <row r="21" spans="1:7" ht="16.5" x14ac:dyDescent="0.15">
      <c r="A21" s="30" t="s">
        <v>232</v>
      </c>
      <c r="B21" s="31" t="s">
        <v>233</v>
      </c>
      <c r="C21" s="31" t="s">
        <v>234</v>
      </c>
      <c r="D21" s="33" t="s">
        <v>676</v>
      </c>
      <c r="E21" s="33" t="s">
        <v>677</v>
      </c>
      <c r="F21" t="s">
        <v>678</v>
      </c>
      <c r="G21" t="s">
        <v>679</v>
      </c>
    </row>
    <row r="22" spans="1:7" ht="16.5" x14ac:dyDescent="0.15">
      <c r="A22" s="30" t="s">
        <v>235</v>
      </c>
      <c r="B22" s="31" t="s">
        <v>236</v>
      </c>
      <c r="C22" s="31" t="s">
        <v>237</v>
      </c>
      <c r="D22" s="33" t="s">
        <v>680</v>
      </c>
      <c r="E22" s="33" t="s">
        <v>663</v>
      </c>
      <c r="F22" t="s">
        <v>681</v>
      </c>
      <c r="G22" t="s">
        <v>682</v>
      </c>
    </row>
    <row r="23" spans="1:7" ht="16.5" x14ac:dyDescent="0.15">
      <c r="A23" s="30" t="s">
        <v>238</v>
      </c>
      <c r="B23" s="31" t="s">
        <v>239</v>
      </c>
      <c r="C23" s="31" t="s">
        <v>240</v>
      </c>
      <c r="D23" s="33" t="s">
        <v>683</v>
      </c>
      <c r="E23" s="34" t="s">
        <v>684</v>
      </c>
      <c r="F23" t="s">
        <v>685</v>
      </c>
      <c r="G23" t="s">
        <v>686</v>
      </c>
    </row>
    <row r="24" spans="1:7" ht="16.5" x14ac:dyDescent="0.15">
      <c r="A24" s="30" t="s">
        <v>241</v>
      </c>
      <c r="B24" s="31" t="s">
        <v>242</v>
      </c>
      <c r="C24" s="31" t="s">
        <v>243</v>
      </c>
      <c r="D24" s="33" t="s">
        <v>687</v>
      </c>
      <c r="E24" s="33" t="s">
        <v>670</v>
      </c>
      <c r="F24" t="s">
        <v>688</v>
      </c>
      <c r="G24" t="s">
        <v>689</v>
      </c>
    </row>
    <row r="25" spans="1:7" ht="16.5" x14ac:dyDescent="0.15">
      <c r="A25" s="30" t="s">
        <v>244</v>
      </c>
      <c r="B25" s="31" t="s">
        <v>245</v>
      </c>
      <c r="C25" s="31" t="s">
        <v>246</v>
      </c>
      <c r="D25" s="33" t="s">
        <v>690</v>
      </c>
      <c r="E25" s="33" t="s">
        <v>673</v>
      </c>
      <c r="F25" t="s">
        <v>691</v>
      </c>
      <c r="G25" t="s">
        <v>692</v>
      </c>
    </row>
    <row r="26" spans="1:7" ht="16.5" x14ac:dyDescent="0.15">
      <c r="A26" s="30" t="s">
        <v>247</v>
      </c>
      <c r="B26" s="31" t="s">
        <v>248</v>
      </c>
      <c r="C26" s="31" t="s">
        <v>249</v>
      </c>
      <c r="D26" s="33" t="s">
        <v>693</v>
      </c>
      <c r="E26" s="33" t="s">
        <v>680</v>
      </c>
      <c r="F26" t="s">
        <v>628</v>
      </c>
      <c r="G26" t="s">
        <v>694</v>
      </c>
    </row>
    <row r="27" spans="1:7" ht="16.5" x14ac:dyDescent="0.15">
      <c r="A27" s="30" t="s">
        <v>250</v>
      </c>
      <c r="B27" s="31" t="s">
        <v>251</v>
      </c>
      <c r="C27" s="31" t="s">
        <v>252</v>
      </c>
      <c r="D27" s="33" t="s">
        <v>695</v>
      </c>
      <c r="E27" s="33" t="s">
        <v>683</v>
      </c>
      <c r="F27" t="s">
        <v>696</v>
      </c>
      <c r="G27" t="s">
        <v>697</v>
      </c>
    </row>
    <row r="28" spans="1:7" ht="16.5" x14ac:dyDescent="0.15">
      <c r="A28" s="30" t="s">
        <v>253</v>
      </c>
      <c r="B28" s="31" t="s">
        <v>254</v>
      </c>
      <c r="C28" s="31" t="s">
        <v>255</v>
      </c>
      <c r="D28" t="s">
        <v>256</v>
      </c>
      <c r="E28" s="33" t="s">
        <v>698</v>
      </c>
      <c r="F28" t="s">
        <v>686</v>
      </c>
      <c r="G28" t="s">
        <v>699</v>
      </c>
    </row>
    <row r="29" spans="1:7" ht="16.5" x14ac:dyDescent="0.15">
      <c r="A29" s="30" t="s">
        <v>257</v>
      </c>
      <c r="B29" s="31" t="s">
        <v>258</v>
      </c>
      <c r="C29" s="31" t="s">
        <v>259</v>
      </c>
      <c r="D29" t="s">
        <v>260</v>
      </c>
      <c r="E29" s="33" t="s">
        <v>690</v>
      </c>
      <c r="F29" t="s">
        <v>700</v>
      </c>
      <c r="G29" t="s">
        <v>701</v>
      </c>
    </row>
    <row r="30" spans="1:7" ht="16.5" x14ac:dyDescent="0.15">
      <c r="A30" s="30" t="s">
        <v>261</v>
      </c>
      <c r="B30" s="31" t="s">
        <v>262</v>
      </c>
      <c r="C30" s="31" t="s">
        <v>263</v>
      </c>
      <c r="D30" t="s">
        <v>264</v>
      </c>
      <c r="E30" s="33" t="s">
        <v>702</v>
      </c>
      <c r="F30" t="s">
        <v>703</v>
      </c>
      <c r="G30" t="s">
        <v>704</v>
      </c>
    </row>
    <row r="31" spans="1:7" ht="16.5" x14ac:dyDescent="0.15">
      <c r="A31" s="30" t="s">
        <v>265</v>
      </c>
      <c r="B31" s="31" t="s">
        <v>266</v>
      </c>
      <c r="C31" s="31" t="s">
        <v>267</v>
      </c>
      <c r="D31" t="s">
        <v>268</v>
      </c>
      <c r="E31" s="33" t="s">
        <v>705</v>
      </c>
      <c r="F31" t="s">
        <v>706</v>
      </c>
      <c r="G31" t="s">
        <v>707</v>
      </c>
    </row>
    <row r="32" spans="1:7" ht="16.5" x14ac:dyDescent="0.15">
      <c r="A32" s="30" t="s">
        <v>269</v>
      </c>
      <c r="B32" s="31" t="s">
        <v>270</v>
      </c>
      <c r="C32" s="31" t="s">
        <v>271</v>
      </c>
      <c r="D32" t="s">
        <v>272</v>
      </c>
      <c r="E32" s="33" t="s">
        <v>693</v>
      </c>
      <c r="F32" t="s">
        <v>708</v>
      </c>
      <c r="G32" t="s">
        <v>709</v>
      </c>
    </row>
    <row r="33" spans="1:7" ht="16.5" x14ac:dyDescent="0.15">
      <c r="A33" s="30" t="s">
        <v>222</v>
      </c>
      <c r="B33" s="31" t="s">
        <v>273</v>
      </c>
      <c r="C33" s="31" t="s">
        <v>274</v>
      </c>
      <c r="D33" t="s">
        <v>275</v>
      </c>
      <c r="E33" s="33" t="s">
        <v>695</v>
      </c>
      <c r="F33" t="s">
        <v>710</v>
      </c>
      <c r="G33" t="s">
        <v>711</v>
      </c>
    </row>
    <row r="34" spans="1:7" ht="16.5" x14ac:dyDescent="0.15">
      <c r="A34" s="30" t="s">
        <v>219</v>
      </c>
      <c r="B34" s="31" t="s">
        <v>276</v>
      </c>
      <c r="C34" s="31" t="s">
        <v>277</v>
      </c>
      <c r="D34" t="s">
        <v>278</v>
      </c>
      <c r="E34" t="s">
        <v>256</v>
      </c>
      <c r="F34" t="s">
        <v>712</v>
      </c>
      <c r="G34" t="s">
        <v>713</v>
      </c>
    </row>
    <row r="35" spans="1:7" ht="16.5" x14ac:dyDescent="0.15">
      <c r="A35" s="30" t="s">
        <v>279</v>
      </c>
      <c r="B35" s="31" t="s">
        <v>527</v>
      </c>
      <c r="C35" s="31" t="s">
        <v>511</v>
      </c>
      <c r="D35" t="s">
        <v>280</v>
      </c>
      <c r="E35" t="s">
        <v>260</v>
      </c>
      <c r="F35" t="s">
        <v>714</v>
      </c>
      <c r="G35" t="s">
        <v>715</v>
      </c>
    </row>
    <row r="36" spans="1:7" ht="16.5" x14ac:dyDescent="0.15">
      <c r="A36" s="30" t="s">
        <v>281</v>
      </c>
      <c r="B36" s="31" t="s">
        <v>282</v>
      </c>
      <c r="C36" s="31" t="s">
        <v>283</v>
      </c>
      <c r="D36" t="s">
        <v>284</v>
      </c>
      <c r="E36" t="s">
        <v>264</v>
      </c>
      <c r="F36" t="s">
        <v>716</v>
      </c>
      <c r="G36" t="s">
        <v>717</v>
      </c>
    </row>
    <row r="37" spans="1:7" ht="16.5" x14ac:dyDescent="0.15">
      <c r="A37" s="30" t="s">
        <v>285</v>
      </c>
      <c r="B37" s="31" t="s">
        <v>286</v>
      </c>
      <c r="C37" s="31" t="s">
        <v>287</v>
      </c>
      <c r="D37" t="s">
        <v>288</v>
      </c>
      <c r="E37" t="s">
        <v>268</v>
      </c>
      <c r="F37" t="s">
        <v>718</v>
      </c>
      <c r="G37" s="33" t="s">
        <v>289</v>
      </c>
    </row>
    <row r="38" spans="1:7" ht="16.5" x14ac:dyDescent="0.15">
      <c r="A38" s="30" t="s">
        <v>290</v>
      </c>
      <c r="B38" s="31" t="s">
        <v>291</v>
      </c>
      <c r="C38" s="31" t="s">
        <v>292</v>
      </c>
      <c r="D38" t="s">
        <v>293</v>
      </c>
      <c r="E38" t="s">
        <v>272</v>
      </c>
      <c r="F38" t="s">
        <v>719</v>
      </c>
      <c r="G38" s="33" t="s">
        <v>294</v>
      </c>
    </row>
    <row r="39" spans="1:7" ht="16.5" x14ac:dyDescent="0.15">
      <c r="A39" s="30" t="s">
        <v>295</v>
      </c>
      <c r="B39" s="31" t="s">
        <v>296</v>
      </c>
      <c r="C39" s="31" t="s">
        <v>297</v>
      </c>
      <c r="D39" t="s">
        <v>720</v>
      </c>
      <c r="E39" t="s">
        <v>275</v>
      </c>
      <c r="F39" t="s">
        <v>721</v>
      </c>
      <c r="G39" s="33" t="s">
        <v>298</v>
      </c>
    </row>
    <row r="40" spans="1:7" ht="16.5" x14ac:dyDescent="0.15">
      <c r="A40" s="30" t="s">
        <v>299</v>
      </c>
      <c r="B40" s="31" t="s">
        <v>300</v>
      </c>
      <c r="C40" s="31" t="s">
        <v>301</v>
      </c>
      <c r="D40" t="s">
        <v>722</v>
      </c>
      <c r="E40" t="s">
        <v>280</v>
      </c>
      <c r="F40" t="s">
        <v>723</v>
      </c>
      <c r="G40" s="33" t="s">
        <v>302</v>
      </c>
    </row>
    <row r="41" spans="1:7" ht="16.5" x14ac:dyDescent="0.15">
      <c r="A41" s="30" t="s">
        <v>303</v>
      </c>
      <c r="B41" s="31" t="s">
        <v>304</v>
      </c>
      <c r="C41" s="31" t="s">
        <v>305</v>
      </c>
      <c r="D41" t="s">
        <v>306</v>
      </c>
      <c r="E41" t="s">
        <v>284</v>
      </c>
      <c r="F41" t="s">
        <v>724</v>
      </c>
      <c r="G41" s="33" t="s">
        <v>307</v>
      </c>
    </row>
    <row r="42" spans="1:7" ht="16.5" x14ac:dyDescent="0.15">
      <c r="A42" s="30" t="s">
        <v>308</v>
      </c>
      <c r="B42" s="31" t="s">
        <v>547</v>
      </c>
      <c r="C42" s="31" t="s">
        <v>725</v>
      </c>
      <c r="D42" t="s">
        <v>309</v>
      </c>
      <c r="E42" t="s">
        <v>288</v>
      </c>
      <c r="F42" t="s">
        <v>726</v>
      </c>
      <c r="G42" s="33" t="s">
        <v>310</v>
      </c>
    </row>
    <row r="43" spans="1:7" ht="16.5" x14ac:dyDescent="0.15">
      <c r="A43" s="30" t="s">
        <v>311</v>
      </c>
      <c r="B43" s="31" t="s">
        <v>550</v>
      </c>
      <c r="C43" s="31" t="s">
        <v>727</v>
      </c>
      <c r="D43" t="s">
        <v>312</v>
      </c>
      <c r="E43" t="s">
        <v>313</v>
      </c>
      <c r="F43" t="s">
        <v>728</v>
      </c>
      <c r="G43" s="33" t="s">
        <v>729</v>
      </c>
    </row>
    <row r="44" spans="1:7" ht="16.5" x14ac:dyDescent="0.15">
      <c r="A44" s="30" t="s">
        <v>315</v>
      </c>
      <c r="B44" s="31" t="s">
        <v>316</v>
      </c>
      <c r="C44" s="31" t="s">
        <v>317</v>
      </c>
      <c r="D44" t="s">
        <v>318</v>
      </c>
      <c r="E44" t="s">
        <v>293</v>
      </c>
      <c r="F44" t="s">
        <v>730</v>
      </c>
      <c r="G44" s="33" t="s">
        <v>731</v>
      </c>
    </row>
    <row r="45" spans="1:7" ht="16.5" x14ac:dyDescent="0.15">
      <c r="A45" s="30" t="s">
        <v>319</v>
      </c>
      <c r="B45" s="31" t="s">
        <v>320</v>
      </c>
      <c r="C45" s="31" t="s">
        <v>321</v>
      </c>
      <c r="D45" t="s">
        <v>322</v>
      </c>
      <c r="E45" t="s">
        <v>720</v>
      </c>
      <c r="F45" t="s">
        <v>732</v>
      </c>
      <c r="G45" s="33" t="s">
        <v>733</v>
      </c>
    </row>
    <row r="46" spans="1:7" ht="16.5" x14ac:dyDescent="0.15">
      <c r="A46" s="30" t="s">
        <v>323</v>
      </c>
      <c r="B46" s="31" t="s">
        <v>324</v>
      </c>
      <c r="C46" s="31" t="s">
        <v>207</v>
      </c>
      <c r="D46" t="s">
        <v>734</v>
      </c>
      <c r="E46" t="s">
        <v>722</v>
      </c>
      <c r="F46" t="s">
        <v>735</v>
      </c>
      <c r="G46" s="33" t="s">
        <v>736</v>
      </c>
    </row>
    <row r="47" spans="1:7" ht="16.5" x14ac:dyDescent="0.15">
      <c r="A47" s="30" t="s">
        <v>323</v>
      </c>
      <c r="B47" s="31" t="s">
        <v>325</v>
      </c>
      <c r="C47" s="31" t="s">
        <v>326</v>
      </c>
      <c r="D47" t="s">
        <v>737</v>
      </c>
      <c r="E47" t="s">
        <v>306</v>
      </c>
      <c r="F47" t="s">
        <v>738</v>
      </c>
      <c r="G47" s="35" t="s">
        <v>739</v>
      </c>
    </row>
    <row r="48" spans="1:7" ht="16.5" x14ac:dyDescent="0.15">
      <c r="A48" s="30" t="s">
        <v>327</v>
      </c>
      <c r="B48" s="31" t="s">
        <v>328</v>
      </c>
      <c r="C48" s="31" t="s">
        <v>329</v>
      </c>
      <c r="D48" t="s">
        <v>330</v>
      </c>
      <c r="E48" t="s">
        <v>309</v>
      </c>
      <c r="F48" t="s">
        <v>740</v>
      </c>
      <c r="G48" s="33" t="s">
        <v>741</v>
      </c>
    </row>
    <row r="49" spans="1:7" ht="16.5" x14ac:dyDescent="0.15">
      <c r="A49" s="30" t="s">
        <v>331</v>
      </c>
      <c r="B49" s="31" t="s">
        <v>332</v>
      </c>
      <c r="C49" s="31" t="s">
        <v>218</v>
      </c>
      <c r="D49" t="s">
        <v>333</v>
      </c>
      <c r="E49" t="s">
        <v>312</v>
      </c>
      <c r="F49" t="s">
        <v>742</v>
      </c>
      <c r="G49" s="33" t="s">
        <v>743</v>
      </c>
    </row>
    <row r="50" spans="1:7" ht="16.5" x14ac:dyDescent="0.15">
      <c r="A50" s="30" t="s">
        <v>334</v>
      </c>
      <c r="B50" s="31" t="s">
        <v>335</v>
      </c>
      <c r="C50" s="31" t="s">
        <v>221</v>
      </c>
      <c r="D50" t="s">
        <v>336</v>
      </c>
      <c r="E50" t="s">
        <v>318</v>
      </c>
      <c r="F50" t="s">
        <v>744</v>
      </c>
      <c r="G50" s="33" t="s">
        <v>745</v>
      </c>
    </row>
    <row r="51" spans="1:7" ht="16.5" x14ac:dyDescent="0.15">
      <c r="A51" s="30" t="s">
        <v>337</v>
      </c>
      <c r="B51" s="31" t="s">
        <v>169</v>
      </c>
      <c r="C51" s="31" t="s">
        <v>338</v>
      </c>
      <c r="D51" t="s">
        <v>339</v>
      </c>
      <c r="E51" t="s">
        <v>322</v>
      </c>
      <c r="F51" t="s">
        <v>746</v>
      </c>
      <c r="G51" s="33" t="s">
        <v>747</v>
      </c>
    </row>
    <row r="52" spans="1:7" ht="16.5" x14ac:dyDescent="0.15">
      <c r="A52" s="30" t="s">
        <v>340</v>
      </c>
      <c r="B52" s="31" t="s">
        <v>258</v>
      </c>
      <c r="C52" s="31" t="s">
        <v>341</v>
      </c>
      <c r="D52" t="s">
        <v>342</v>
      </c>
      <c r="E52" t="s">
        <v>734</v>
      </c>
      <c r="F52" t="s">
        <v>748</v>
      </c>
      <c r="G52" s="33" t="s">
        <v>749</v>
      </c>
    </row>
    <row r="53" spans="1:7" ht="16.5" x14ac:dyDescent="0.15">
      <c r="A53" s="30" t="s">
        <v>343</v>
      </c>
      <c r="B53" s="31" t="s">
        <v>344</v>
      </c>
      <c r="C53" s="31" t="s">
        <v>345</v>
      </c>
      <c r="D53" t="s">
        <v>346</v>
      </c>
      <c r="E53" t="s">
        <v>737</v>
      </c>
      <c r="F53" t="s">
        <v>750</v>
      </c>
      <c r="G53" s="33" t="s">
        <v>751</v>
      </c>
    </row>
    <row r="54" spans="1:7" ht="16.5" x14ac:dyDescent="0.15">
      <c r="A54" s="30" t="s">
        <v>347</v>
      </c>
      <c r="B54" s="31" t="s">
        <v>348</v>
      </c>
      <c r="C54" s="31" t="s">
        <v>349</v>
      </c>
      <c r="D54" t="s">
        <v>350</v>
      </c>
      <c r="E54" t="s">
        <v>330</v>
      </c>
      <c r="F54" t="s">
        <v>752</v>
      </c>
      <c r="G54" s="33" t="s">
        <v>753</v>
      </c>
    </row>
    <row r="55" spans="1:7" ht="16.5" x14ac:dyDescent="0.15">
      <c r="A55" s="30" t="s">
        <v>351</v>
      </c>
      <c r="B55" s="31" t="s">
        <v>352</v>
      </c>
      <c r="C55" s="31" t="s">
        <v>353</v>
      </c>
      <c r="D55" t="s">
        <v>354</v>
      </c>
      <c r="E55" t="s">
        <v>333</v>
      </c>
      <c r="F55" t="s">
        <v>700</v>
      </c>
      <c r="G55" t="s">
        <v>355</v>
      </c>
    </row>
    <row r="56" spans="1:7" ht="16.5" x14ac:dyDescent="0.15">
      <c r="A56" s="30" t="s">
        <v>356</v>
      </c>
      <c r="B56" s="31" t="s">
        <v>357</v>
      </c>
      <c r="C56" s="31" t="s">
        <v>358</v>
      </c>
      <c r="D56" t="s">
        <v>359</v>
      </c>
      <c r="E56" t="s">
        <v>336</v>
      </c>
      <c r="F56" t="s">
        <v>754</v>
      </c>
      <c r="G56" t="s">
        <v>360</v>
      </c>
    </row>
    <row r="57" spans="1:7" ht="16.5" x14ac:dyDescent="0.15">
      <c r="A57" s="30" t="s">
        <v>356</v>
      </c>
      <c r="B57" s="31" t="s">
        <v>361</v>
      </c>
      <c r="C57" s="31" t="s">
        <v>362</v>
      </c>
      <c r="D57" t="s">
        <v>363</v>
      </c>
      <c r="E57" t="s">
        <v>339</v>
      </c>
      <c r="F57" t="s">
        <v>755</v>
      </c>
      <c r="G57" t="s">
        <v>364</v>
      </c>
    </row>
    <row r="58" spans="1:7" ht="16.5" x14ac:dyDescent="0.15">
      <c r="A58" s="30" t="s">
        <v>365</v>
      </c>
      <c r="B58" s="31" t="s">
        <v>366</v>
      </c>
      <c r="C58" s="31" t="s">
        <v>367</v>
      </c>
      <c r="D58" t="s">
        <v>368</v>
      </c>
      <c r="E58" t="s">
        <v>342</v>
      </c>
      <c r="F58" t="s">
        <v>756</v>
      </c>
      <c r="G58" t="s">
        <v>369</v>
      </c>
    </row>
    <row r="59" spans="1:7" ht="16.5" x14ac:dyDescent="0.15">
      <c r="A59" s="30" t="s">
        <v>370</v>
      </c>
      <c r="B59" s="31" t="s">
        <v>371</v>
      </c>
      <c r="C59" s="31" t="s">
        <v>372</v>
      </c>
      <c r="D59" t="s">
        <v>373</v>
      </c>
      <c r="E59" t="s">
        <v>346</v>
      </c>
      <c r="F59" t="s">
        <v>757</v>
      </c>
      <c r="G59" t="s">
        <v>374</v>
      </c>
    </row>
    <row r="60" spans="1:7" ht="16.5" x14ac:dyDescent="0.15">
      <c r="A60" s="30" t="s">
        <v>375</v>
      </c>
      <c r="B60" s="31" t="s">
        <v>376</v>
      </c>
      <c r="C60" s="31" t="s">
        <v>377</v>
      </c>
      <c r="D60" t="s">
        <v>378</v>
      </c>
      <c r="E60" t="s">
        <v>350</v>
      </c>
      <c r="F60" t="s">
        <v>758</v>
      </c>
      <c r="G60" t="s">
        <v>379</v>
      </c>
    </row>
    <row r="61" spans="1:7" ht="16.5" x14ac:dyDescent="0.15">
      <c r="A61" s="30" t="s">
        <v>380</v>
      </c>
      <c r="B61" s="31" t="s">
        <v>381</v>
      </c>
      <c r="C61" s="31" t="s">
        <v>224</v>
      </c>
      <c r="D61" t="s">
        <v>382</v>
      </c>
      <c r="E61" t="s">
        <v>354</v>
      </c>
      <c r="F61" t="s">
        <v>759</v>
      </c>
      <c r="G61" t="s">
        <v>383</v>
      </c>
    </row>
    <row r="62" spans="1:7" ht="16.5" x14ac:dyDescent="0.15">
      <c r="A62" s="30" t="s">
        <v>384</v>
      </c>
      <c r="B62" s="31" t="s">
        <v>385</v>
      </c>
      <c r="C62" s="31" t="s">
        <v>386</v>
      </c>
      <c r="D62" t="s">
        <v>387</v>
      </c>
      <c r="E62" t="s">
        <v>359</v>
      </c>
      <c r="F62" t="s">
        <v>760</v>
      </c>
      <c r="G62" t="s">
        <v>388</v>
      </c>
    </row>
    <row r="63" spans="1:7" ht="16.5" x14ac:dyDescent="0.15">
      <c r="A63" s="30" t="s">
        <v>389</v>
      </c>
      <c r="B63" s="31" t="s">
        <v>390</v>
      </c>
      <c r="C63" s="31" t="s">
        <v>391</v>
      </c>
      <c r="D63" t="s">
        <v>761</v>
      </c>
      <c r="E63" t="s">
        <v>363</v>
      </c>
      <c r="F63" t="s">
        <v>762</v>
      </c>
      <c r="G63" t="s">
        <v>392</v>
      </c>
    </row>
    <row r="64" spans="1:7" ht="16.5" x14ac:dyDescent="0.15">
      <c r="A64" s="30" t="s">
        <v>393</v>
      </c>
      <c r="B64" s="31" t="s">
        <v>394</v>
      </c>
      <c r="C64" s="31" t="s">
        <v>395</v>
      </c>
      <c r="D64" t="s">
        <v>763</v>
      </c>
      <c r="E64" t="s">
        <v>368</v>
      </c>
      <c r="F64" t="s">
        <v>764</v>
      </c>
      <c r="G64" t="s">
        <v>396</v>
      </c>
    </row>
    <row r="65" spans="1:7" ht="16.5" x14ac:dyDescent="0.15">
      <c r="A65" s="30" t="s">
        <v>397</v>
      </c>
      <c r="B65" s="31" t="s">
        <v>398</v>
      </c>
      <c r="C65" s="31" t="s">
        <v>399</v>
      </c>
      <c r="D65" t="s">
        <v>400</v>
      </c>
      <c r="E65" t="s">
        <v>373</v>
      </c>
      <c r="F65" t="s">
        <v>765</v>
      </c>
      <c r="G65" t="s">
        <v>401</v>
      </c>
    </row>
    <row r="66" spans="1:7" ht="16.5" x14ac:dyDescent="0.15">
      <c r="A66" s="30" t="s">
        <v>402</v>
      </c>
      <c r="B66" s="31" t="s">
        <v>215</v>
      </c>
      <c r="C66" s="31" t="s">
        <v>403</v>
      </c>
      <c r="D66" t="s">
        <v>404</v>
      </c>
      <c r="E66" t="s">
        <v>378</v>
      </c>
      <c r="F66" t="s">
        <v>766</v>
      </c>
      <c r="G66" t="s">
        <v>405</v>
      </c>
    </row>
    <row r="67" spans="1:7" ht="16.5" x14ac:dyDescent="0.15">
      <c r="A67" s="30" t="s">
        <v>406</v>
      </c>
      <c r="B67" s="31" t="s">
        <v>407</v>
      </c>
      <c r="C67" s="31" t="s">
        <v>367</v>
      </c>
      <c r="D67" t="s">
        <v>408</v>
      </c>
      <c r="E67" t="s">
        <v>382</v>
      </c>
      <c r="F67" t="s">
        <v>764</v>
      </c>
      <c r="G67" t="s">
        <v>409</v>
      </c>
    </row>
    <row r="68" spans="1:7" ht="16.5" x14ac:dyDescent="0.15">
      <c r="A68" s="30" t="s">
        <v>410</v>
      </c>
      <c r="B68" s="31" t="s">
        <v>411</v>
      </c>
      <c r="C68" s="31" t="s">
        <v>412</v>
      </c>
      <c r="D68" s="30" t="s">
        <v>269</v>
      </c>
      <c r="E68" t="s">
        <v>387</v>
      </c>
      <c r="F68" t="s">
        <v>767</v>
      </c>
      <c r="G68" t="s">
        <v>768</v>
      </c>
    </row>
    <row r="69" spans="1:7" ht="16.5" x14ac:dyDescent="0.15">
      <c r="A69" s="30" t="s">
        <v>413</v>
      </c>
      <c r="B69" s="31" t="s">
        <v>414</v>
      </c>
      <c r="C69" s="31" t="s">
        <v>236</v>
      </c>
      <c r="D69" s="30" t="s">
        <v>415</v>
      </c>
      <c r="E69" t="s">
        <v>761</v>
      </c>
      <c r="F69" t="s">
        <v>769</v>
      </c>
      <c r="G69" t="s">
        <v>416</v>
      </c>
    </row>
    <row r="70" spans="1:7" ht="16.5" x14ac:dyDescent="0.15">
      <c r="A70" s="30" t="s">
        <v>417</v>
      </c>
      <c r="B70" s="31" t="s">
        <v>282</v>
      </c>
      <c r="C70" s="31" t="s">
        <v>418</v>
      </c>
      <c r="D70" s="30" t="s">
        <v>419</v>
      </c>
      <c r="E70" t="s">
        <v>763</v>
      </c>
      <c r="F70" t="s">
        <v>770</v>
      </c>
      <c r="G70" t="s">
        <v>420</v>
      </c>
    </row>
    <row r="71" spans="1:7" ht="16.5" x14ac:dyDescent="0.15">
      <c r="A71" s="30" t="s">
        <v>421</v>
      </c>
      <c r="B71" s="31" t="s">
        <v>422</v>
      </c>
      <c r="C71" s="31" t="s">
        <v>423</v>
      </c>
      <c r="D71" s="30" t="s">
        <v>424</v>
      </c>
      <c r="E71" t="s">
        <v>400</v>
      </c>
      <c r="F71" s="33" t="s">
        <v>425</v>
      </c>
      <c r="G71" t="s">
        <v>426</v>
      </c>
    </row>
    <row r="72" spans="1:7" ht="16.5" x14ac:dyDescent="0.15">
      <c r="A72" s="30" t="s">
        <v>427</v>
      </c>
      <c r="B72" s="31" t="s">
        <v>428</v>
      </c>
      <c r="C72" s="31" t="s">
        <v>239</v>
      </c>
      <c r="D72" s="30" t="s">
        <v>429</v>
      </c>
      <c r="E72" t="s">
        <v>404</v>
      </c>
      <c r="F72" s="33" t="s">
        <v>430</v>
      </c>
      <c r="G72" t="s">
        <v>431</v>
      </c>
    </row>
    <row r="73" spans="1:7" ht="16.5" x14ac:dyDescent="0.15">
      <c r="A73" s="30" t="s">
        <v>432</v>
      </c>
      <c r="B73" s="31" t="s">
        <v>433</v>
      </c>
      <c r="C73" s="31" t="s">
        <v>434</v>
      </c>
      <c r="D73" s="30" t="s">
        <v>435</v>
      </c>
      <c r="E73" t="s">
        <v>408</v>
      </c>
      <c r="F73" s="33" t="s">
        <v>436</v>
      </c>
      <c r="G73" t="s">
        <v>437</v>
      </c>
    </row>
    <row r="74" spans="1:7" ht="16.5" x14ac:dyDescent="0.15">
      <c r="A74" s="30" t="s">
        <v>427</v>
      </c>
      <c r="B74" s="31" t="s">
        <v>438</v>
      </c>
      <c r="C74" s="31" t="s">
        <v>242</v>
      </c>
      <c r="D74" s="30" t="s">
        <v>439</v>
      </c>
      <c r="E74" s="30" t="s">
        <v>269</v>
      </c>
      <c r="F74" s="33" t="s">
        <v>771</v>
      </c>
      <c r="G74" t="s">
        <v>440</v>
      </c>
    </row>
    <row r="75" spans="1:7" ht="16.5" x14ac:dyDescent="0.15">
      <c r="A75" s="30" t="s">
        <v>441</v>
      </c>
      <c r="B75" s="31" t="s">
        <v>442</v>
      </c>
      <c r="C75" s="31" t="s">
        <v>245</v>
      </c>
      <c r="D75" s="30" t="s">
        <v>443</v>
      </c>
      <c r="E75" s="30" t="s">
        <v>415</v>
      </c>
      <c r="F75" s="33" t="s">
        <v>772</v>
      </c>
      <c r="G75" t="s">
        <v>773</v>
      </c>
    </row>
    <row r="76" spans="1:7" ht="16.5" x14ac:dyDescent="0.15">
      <c r="A76" s="30" t="s">
        <v>444</v>
      </c>
      <c r="B76" s="31" t="s">
        <v>445</v>
      </c>
      <c r="C76" s="31" t="s">
        <v>446</v>
      </c>
      <c r="D76" s="30" t="s">
        <v>447</v>
      </c>
      <c r="E76" s="30" t="s">
        <v>419</v>
      </c>
      <c r="F76" s="32" t="s">
        <v>448</v>
      </c>
      <c r="G76" t="s">
        <v>449</v>
      </c>
    </row>
    <row r="77" spans="1:7" ht="16.5" x14ac:dyDescent="0.15">
      <c r="A77" s="30" t="s">
        <v>450</v>
      </c>
      <c r="B77" s="31" t="s">
        <v>451</v>
      </c>
      <c r="C77" s="31" t="s">
        <v>452</v>
      </c>
      <c r="D77" s="30" t="s">
        <v>453</v>
      </c>
      <c r="E77" s="30" t="s">
        <v>424</v>
      </c>
      <c r="F77" s="33" t="s">
        <v>774</v>
      </c>
      <c r="G77" t="s">
        <v>454</v>
      </c>
    </row>
    <row r="78" spans="1:7" ht="16.5" x14ac:dyDescent="0.15">
      <c r="A78" s="30" t="s">
        <v>455</v>
      </c>
      <c r="B78" s="31" t="s">
        <v>456</v>
      </c>
      <c r="C78" s="31" t="s">
        <v>251</v>
      </c>
      <c r="D78" s="30" t="s">
        <v>457</v>
      </c>
      <c r="E78" s="30" t="s">
        <v>429</v>
      </c>
      <c r="F78" s="33" t="s">
        <v>775</v>
      </c>
      <c r="G78" t="s">
        <v>458</v>
      </c>
    </row>
    <row r="79" spans="1:7" ht="16.5" x14ac:dyDescent="0.15">
      <c r="A79" s="30" t="s">
        <v>459</v>
      </c>
      <c r="B79" s="31" t="s">
        <v>460</v>
      </c>
      <c r="C79" s="31" t="s">
        <v>461</v>
      </c>
      <c r="D79" s="30" t="s">
        <v>462</v>
      </c>
      <c r="E79" s="30" t="s">
        <v>435</v>
      </c>
      <c r="F79" s="33" t="s">
        <v>776</v>
      </c>
      <c r="G79" t="s">
        <v>463</v>
      </c>
    </row>
    <row r="80" spans="1:7" ht="16.5" x14ac:dyDescent="0.15">
      <c r="A80" s="30" t="s">
        <v>464</v>
      </c>
      <c r="B80" s="31" t="s">
        <v>465</v>
      </c>
      <c r="C80" s="31" t="s">
        <v>466</v>
      </c>
      <c r="D80" s="30" t="s">
        <v>777</v>
      </c>
      <c r="E80" s="30" t="s">
        <v>439</v>
      </c>
      <c r="F80" s="32" t="s">
        <v>448</v>
      </c>
      <c r="G80" t="s">
        <v>467</v>
      </c>
    </row>
    <row r="81" spans="1:7" ht="16.5" x14ac:dyDescent="0.15">
      <c r="A81" s="30" t="s">
        <v>468</v>
      </c>
      <c r="B81" s="31" t="s">
        <v>469</v>
      </c>
      <c r="C81" s="31" t="s">
        <v>258</v>
      </c>
      <c r="D81" s="30" t="s">
        <v>470</v>
      </c>
      <c r="E81" s="30" t="s">
        <v>443</v>
      </c>
      <c r="F81" s="33" t="s">
        <v>778</v>
      </c>
      <c r="G81" t="s">
        <v>471</v>
      </c>
    </row>
    <row r="82" spans="1:7" ht="16.5" x14ac:dyDescent="0.15">
      <c r="A82" s="30" t="s">
        <v>472</v>
      </c>
      <c r="B82" s="31" t="s">
        <v>473</v>
      </c>
      <c r="C82" s="31" t="s">
        <v>474</v>
      </c>
      <c r="D82" s="30" t="s">
        <v>475</v>
      </c>
      <c r="E82" s="30" t="s">
        <v>447</v>
      </c>
      <c r="F82" s="33" t="s">
        <v>779</v>
      </c>
      <c r="G82" t="s">
        <v>476</v>
      </c>
    </row>
    <row r="83" spans="1:7" ht="16.5" x14ac:dyDescent="0.15">
      <c r="A83" s="30" t="s">
        <v>477</v>
      </c>
      <c r="B83" s="31" t="s">
        <v>478</v>
      </c>
      <c r="C83" s="31" t="s">
        <v>262</v>
      </c>
      <c r="D83" s="30" t="s">
        <v>352</v>
      </c>
      <c r="E83" s="30" t="s">
        <v>453</v>
      </c>
      <c r="F83" s="33" t="s">
        <v>780</v>
      </c>
      <c r="G83" t="s">
        <v>479</v>
      </c>
    </row>
    <row r="84" spans="1:7" ht="16.5" x14ac:dyDescent="0.15">
      <c r="A84" s="30" t="s">
        <v>480</v>
      </c>
      <c r="B84" s="31" t="s">
        <v>481</v>
      </c>
      <c r="C84" s="31" t="s">
        <v>482</v>
      </c>
      <c r="D84" s="30" t="s">
        <v>483</v>
      </c>
      <c r="E84" s="30" t="s">
        <v>457</v>
      </c>
      <c r="F84" s="34" t="s">
        <v>781</v>
      </c>
      <c r="G84" t="s">
        <v>484</v>
      </c>
    </row>
    <row r="85" spans="1:7" ht="16.5" x14ac:dyDescent="0.15">
      <c r="A85" s="30" t="s">
        <v>485</v>
      </c>
      <c r="B85" s="31" t="s">
        <v>486</v>
      </c>
      <c r="C85" s="31" t="s">
        <v>487</v>
      </c>
      <c r="D85" s="30" t="s">
        <v>782</v>
      </c>
      <c r="E85" s="30" t="s">
        <v>462</v>
      </c>
      <c r="F85" s="33" t="s">
        <v>783</v>
      </c>
      <c r="G85" t="s">
        <v>488</v>
      </c>
    </row>
    <row r="86" spans="1:7" ht="16.5" x14ac:dyDescent="0.15">
      <c r="A86" s="30" t="s">
        <v>489</v>
      </c>
      <c r="B86" s="31" t="s">
        <v>490</v>
      </c>
      <c r="C86" s="31" t="s">
        <v>491</v>
      </c>
      <c r="D86" s="31"/>
      <c r="E86" s="30" t="s">
        <v>777</v>
      </c>
      <c r="F86" s="33" t="s">
        <v>784</v>
      </c>
      <c r="G86" s="31" t="s">
        <v>181</v>
      </c>
    </row>
    <row r="87" spans="1:7" ht="16.5" x14ac:dyDescent="0.15">
      <c r="A87" s="30" t="s">
        <v>492</v>
      </c>
      <c r="B87" s="31" t="s">
        <v>493</v>
      </c>
      <c r="C87" s="31" t="s">
        <v>494</v>
      </c>
      <c r="D87" s="31"/>
      <c r="E87" s="30" t="s">
        <v>470</v>
      </c>
      <c r="F87" s="33" t="s">
        <v>785</v>
      </c>
      <c r="G87" s="31" t="s">
        <v>184</v>
      </c>
    </row>
    <row r="88" spans="1:7" ht="16.5" x14ac:dyDescent="0.15">
      <c r="A88" s="30" t="s">
        <v>495</v>
      </c>
      <c r="B88" s="31" t="s">
        <v>496</v>
      </c>
      <c r="C88" s="31" t="s">
        <v>497</v>
      </c>
      <c r="D88" s="31"/>
      <c r="E88" s="30" t="s">
        <v>475</v>
      </c>
      <c r="F88" s="33" t="s">
        <v>786</v>
      </c>
      <c r="G88" s="31" t="s">
        <v>190</v>
      </c>
    </row>
    <row r="89" spans="1:7" ht="16.5" x14ac:dyDescent="0.15">
      <c r="A89" s="30" t="s">
        <v>498</v>
      </c>
      <c r="B89" s="31" t="s">
        <v>499</v>
      </c>
      <c r="C89" s="31" t="s">
        <v>500</v>
      </c>
      <c r="D89" s="31"/>
      <c r="E89" s="30" t="s">
        <v>352</v>
      </c>
      <c r="F89" s="33" t="s">
        <v>787</v>
      </c>
      <c r="G89" s="31" t="s">
        <v>200</v>
      </c>
    </row>
    <row r="90" spans="1:7" ht="16.5" x14ac:dyDescent="0.15">
      <c r="A90" s="30" t="s">
        <v>501</v>
      </c>
      <c r="B90" s="31" t="s">
        <v>502</v>
      </c>
      <c r="C90" s="31" t="s">
        <v>503</v>
      </c>
      <c r="D90" s="31"/>
      <c r="E90" s="30" t="s">
        <v>483</v>
      </c>
      <c r="F90" s="33" t="s">
        <v>788</v>
      </c>
      <c r="G90" s="31" t="s">
        <v>207</v>
      </c>
    </row>
    <row r="91" spans="1:7" ht="16.5" x14ac:dyDescent="0.15">
      <c r="A91" s="30" t="s">
        <v>504</v>
      </c>
      <c r="B91" s="31" t="s">
        <v>505</v>
      </c>
      <c r="C91" s="31" t="s">
        <v>506</v>
      </c>
      <c r="D91" s="31"/>
      <c r="E91" s="30" t="s">
        <v>782</v>
      </c>
      <c r="F91" s="33" t="s">
        <v>789</v>
      </c>
      <c r="G91" s="31" t="s">
        <v>212</v>
      </c>
    </row>
    <row r="92" spans="1:7" ht="16.5" x14ac:dyDescent="0.15">
      <c r="A92" s="30" t="s">
        <v>790</v>
      </c>
      <c r="B92" s="31" t="s">
        <v>509</v>
      </c>
      <c r="C92" s="31" t="s">
        <v>510</v>
      </c>
      <c r="D92" s="31"/>
      <c r="F92" s="33" t="s">
        <v>791</v>
      </c>
      <c r="G92" s="31" t="s">
        <v>221</v>
      </c>
    </row>
    <row r="93" spans="1:7" ht="16.5" x14ac:dyDescent="0.15">
      <c r="A93" s="30" t="s">
        <v>511</v>
      </c>
      <c r="B93" s="31" t="s">
        <v>512</v>
      </c>
      <c r="C93" s="31" t="s">
        <v>513</v>
      </c>
      <c r="D93" s="31"/>
      <c r="F93" s="33" t="s">
        <v>792</v>
      </c>
      <c r="G93" s="31" t="s">
        <v>227</v>
      </c>
    </row>
    <row r="94" spans="1:7" ht="16.5" x14ac:dyDescent="0.15">
      <c r="A94" s="30" t="s">
        <v>514</v>
      </c>
      <c r="B94" s="31" t="s">
        <v>515</v>
      </c>
      <c r="C94" s="31" t="s">
        <v>516</v>
      </c>
      <c r="D94" s="31"/>
      <c r="F94" s="33" t="s">
        <v>793</v>
      </c>
      <c r="G94" s="31" t="s">
        <v>236</v>
      </c>
    </row>
    <row r="95" spans="1:7" ht="16.5" x14ac:dyDescent="0.15">
      <c r="A95" s="30" t="s">
        <v>517</v>
      </c>
      <c r="B95" s="31" t="s">
        <v>518</v>
      </c>
      <c r="C95" s="31" t="s">
        <v>519</v>
      </c>
      <c r="D95" s="31"/>
      <c r="F95" s="33" t="s">
        <v>794</v>
      </c>
      <c r="G95" s="31" t="s">
        <v>242</v>
      </c>
    </row>
    <row r="96" spans="1:7" ht="16.5" x14ac:dyDescent="0.15">
      <c r="A96" s="30" t="s">
        <v>795</v>
      </c>
      <c r="B96" s="31" t="s">
        <v>520</v>
      </c>
      <c r="C96" s="31" t="s">
        <v>521</v>
      </c>
      <c r="D96" s="31"/>
      <c r="F96" s="33" t="s">
        <v>796</v>
      </c>
      <c r="G96" s="31" t="s">
        <v>245</v>
      </c>
    </row>
    <row r="97" spans="1:109" ht="16.5" x14ac:dyDescent="0.15">
      <c r="A97" s="30" t="s">
        <v>522</v>
      </c>
      <c r="B97" s="31" t="s">
        <v>523</v>
      </c>
      <c r="C97" s="31" t="s">
        <v>524</v>
      </c>
      <c r="D97" s="31"/>
      <c r="F97" s="33" t="s">
        <v>797</v>
      </c>
      <c r="G97" s="31" t="s">
        <v>254</v>
      </c>
    </row>
    <row r="98" spans="1:109" ht="16.5" x14ac:dyDescent="0.15">
      <c r="A98" s="30" t="s">
        <v>181</v>
      </c>
      <c r="B98" s="31" t="s">
        <v>525</v>
      </c>
      <c r="C98" s="31" t="s">
        <v>276</v>
      </c>
      <c r="D98" s="31"/>
      <c r="F98" s="33" t="s">
        <v>798</v>
      </c>
      <c r="G98" s="31" t="s">
        <v>270</v>
      </c>
    </row>
    <row r="99" spans="1:109" ht="16.5" x14ac:dyDescent="0.15">
      <c r="A99" s="30" t="s">
        <v>184</v>
      </c>
      <c r="B99" s="31" t="s">
        <v>526</v>
      </c>
      <c r="C99" s="31" t="s">
        <v>527</v>
      </c>
      <c r="D99" s="31"/>
      <c r="F99" s="33" t="s">
        <v>799</v>
      </c>
      <c r="G99" s="31" t="s">
        <v>276</v>
      </c>
    </row>
    <row r="100" spans="1:109" ht="16.5" x14ac:dyDescent="0.15">
      <c r="A100" s="30" t="s">
        <v>528</v>
      </c>
      <c r="B100" s="31" t="s">
        <v>529</v>
      </c>
      <c r="C100" s="31" t="s">
        <v>530</v>
      </c>
      <c r="D100" s="31"/>
      <c r="F100" s="33" t="s">
        <v>800</v>
      </c>
      <c r="G100" s="31" t="s">
        <v>282</v>
      </c>
    </row>
    <row r="101" spans="1:109" ht="16.5" x14ac:dyDescent="0.15">
      <c r="A101" s="30" t="s">
        <v>415</v>
      </c>
      <c r="B101" s="31" t="s">
        <v>531</v>
      </c>
      <c r="C101" s="31" t="s">
        <v>532</v>
      </c>
      <c r="D101" s="31"/>
      <c r="F101" s="33" t="s">
        <v>801</v>
      </c>
      <c r="G101" s="31" t="s">
        <v>286</v>
      </c>
    </row>
    <row r="102" spans="1:109" ht="16.5" x14ac:dyDescent="0.15">
      <c r="A102" s="30" t="s">
        <v>533</v>
      </c>
      <c r="B102" s="31" t="s">
        <v>534</v>
      </c>
      <c r="C102" s="31" t="s">
        <v>535</v>
      </c>
      <c r="D102" s="31"/>
      <c r="F102" t="s">
        <v>536</v>
      </c>
      <c r="G102" s="31" t="s">
        <v>296</v>
      </c>
    </row>
    <row r="103" spans="1:109" ht="16.5" x14ac:dyDescent="0.15">
      <c r="A103" s="30" t="s">
        <v>537</v>
      </c>
      <c r="B103" s="31" t="s">
        <v>802</v>
      </c>
      <c r="C103" s="31" t="s">
        <v>612</v>
      </c>
      <c r="D103" s="31"/>
      <c r="F103" t="s">
        <v>538</v>
      </c>
      <c r="G103" s="31" t="s">
        <v>316</v>
      </c>
    </row>
    <row r="104" spans="1:109" ht="16.5" x14ac:dyDescent="0.15">
      <c r="A104" s="30" t="s">
        <v>537</v>
      </c>
      <c r="B104" s="31" t="s">
        <v>539</v>
      </c>
      <c r="C104" s="31" t="s">
        <v>304</v>
      </c>
      <c r="D104" s="31"/>
      <c r="F104" t="s">
        <v>540</v>
      </c>
      <c r="G104" s="31" t="s">
        <v>325</v>
      </c>
    </row>
    <row r="105" spans="1:109" ht="16.5" x14ac:dyDescent="0.15">
      <c r="A105" s="30" t="s">
        <v>541</v>
      </c>
      <c r="B105" s="31" t="s">
        <v>542</v>
      </c>
      <c r="C105" s="31" t="s">
        <v>543</v>
      </c>
      <c r="D105" s="31"/>
      <c r="F105" t="s">
        <v>544</v>
      </c>
      <c r="G105" s="31" t="s">
        <v>328</v>
      </c>
    </row>
    <row r="106" spans="1:109" ht="16.5" x14ac:dyDescent="0.15">
      <c r="A106" s="30" t="s">
        <v>803</v>
      </c>
      <c r="B106" s="31" t="s">
        <v>546</v>
      </c>
      <c r="C106" s="31" t="s">
        <v>547</v>
      </c>
      <c r="D106" s="31"/>
      <c r="E106" s="31"/>
      <c r="F106" t="s">
        <v>548</v>
      </c>
      <c r="G106" s="31" t="s">
        <v>169</v>
      </c>
      <c r="H106" s="31"/>
      <c r="I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</row>
    <row r="107" spans="1:109" ht="16.5" x14ac:dyDescent="0.15">
      <c r="A107" s="30" t="s">
        <v>549</v>
      </c>
      <c r="B107" s="30"/>
      <c r="C107" s="31" t="s">
        <v>550</v>
      </c>
      <c r="D107" s="31"/>
      <c r="F107" t="s">
        <v>551</v>
      </c>
      <c r="G107" s="31" t="s">
        <v>258</v>
      </c>
    </row>
    <row r="108" spans="1:109" ht="16.5" x14ac:dyDescent="0.15">
      <c r="A108" s="30" t="s">
        <v>552</v>
      </c>
      <c r="B108" s="30"/>
      <c r="C108" s="31" t="s">
        <v>553</v>
      </c>
      <c r="D108" s="31"/>
      <c r="F108" t="s">
        <v>554</v>
      </c>
      <c r="G108" s="31" t="s">
        <v>361</v>
      </c>
    </row>
    <row r="109" spans="1:109" ht="16.5" x14ac:dyDescent="0.15">
      <c r="A109" s="30" t="s">
        <v>555</v>
      </c>
      <c r="B109" s="30"/>
      <c r="C109" s="31" t="s">
        <v>316</v>
      </c>
      <c r="D109" s="31"/>
      <c r="F109" t="s">
        <v>556</v>
      </c>
      <c r="G109" s="31" t="s">
        <v>366</v>
      </c>
    </row>
    <row r="110" spans="1:109" ht="16.5" x14ac:dyDescent="0.15">
      <c r="A110" s="30" t="s">
        <v>557</v>
      </c>
      <c r="B110" s="30"/>
      <c r="C110" s="31" t="s">
        <v>558</v>
      </c>
      <c r="D110" s="31"/>
      <c r="F110" t="s">
        <v>559</v>
      </c>
      <c r="G110" s="31" t="s">
        <v>371</v>
      </c>
    </row>
    <row r="111" spans="1:109" ht="16.5" x14ac:dyDescent="0.15">
      <c r="A111" s="30" t="s">
        <v>560</v>
      </c>
      <c r="B111" s="30"/>
      <c r="C111" s="31" t="s">
        <v>324</v>
      </c>
      <c r="D111" s="31"/>
      <c r="F111" t="s">
        <v>561</v>
      </c>
      <c r="G111" s="31" t="s">
        <v>376</v>
      </c>
    </row>
    <row r="112" spans="1:109" ht="16.5" x14ac:dyDescent="0.15">
      <c r="A112" s="30" t="s">
        <v>562</v>
      </c>
      <c r="B112" s="30"/>
      <c r="C112" s="31" t="s">
        <v>563</v>
      </c>
      <c r="D112" s="31"/>
      <c r="F112" t="s">
        <v>564</v>
      </c>
      <c r="G112" s="31" t="s">
        <v>381</v>
      </c>
    </row>
    <row r="113" spans="1:7" ht="16.5" x14ac:dyDescent="0.15">
      <c r="A113" s="30" t="s">
        <v>565</v>
      </c>
      <c r="B113" s="30"/>
      <c r="C113" s="31" t="s">
        <v>328</v>
      </c>
      <c r="D113" s="31"/>
      <c r="F113" t="s">
        <v>566</v>
      </c>
      <c r="G113" s="31" t="s">
        <v>398</v>
      </c>
    </row>
    <row r="114" spans="1:7" ht="16.5" x14ac:dyDescent="0.15">
      <c r="A114" s="30" t="s">
        <v>567</v>
      </c>
      <c r="B114" s="30"/>
      <c r="C114" s="31" t="s">
        <v>332</v>
      </c>
      <c r="D114" s="31"/>
      <c r="F114" t="s">
        <v>568</v>
      </c>
      <c r="G114" s="31" t="s">
        <v>407</v>
      </c>
    </row>
    <row r="115" spans="1:7" ht="16.5" x14ac:dyDescent="0.15">
      <c r="A115" s="30" t="s">
        <v>569</v>
      </c>
      <c r="B115" s="30"/>
      <c r="C115" s="31" t="s">
        <v>570</v>
      </c>
      <c r="D115" s="31"/>
      <c r="F115" t="s">
        <v>571</v>
      </c>
      <c r="G115" s="31" t="s">
        <v>411</v>
      </c>
    </row>
    <row r="116" spans="1:7" ht="16.5" x14ac:dyDescent="0.15">
      <c r="A116" s="30" t="s">
        <v>572</v>
      </c>
      <c r="B116" s="30"/>
      <c r="C116" s="31" t="s">
        <v>573</v>
      </c>
      <c r="D116" s="31"/>
      <c r="F116" t="s">
        <v>574</v>
      </c>
      <c r="G116" s="31" t="s">
        <v>282</v>
      </c>
    </row>
    <row r="117" spans="1:7" ht="16.5" x14ac:dyDescent="0.15">
      <c r="A117" s="30" t="s">
        <v>575</v>
      </c>
      <c r="B117" s="30"/>
      <c r="C117" s="31" t="s">
        <v>576</v>
      </c>
      <c r="D117" s="31"/>
      <c r="F117" t="s">
        <v>577</v>
      </c>
      <c r="G117" s="31" t="s">
        <v>422</v>
      </c>
    </row>
    <row r="118" spans="1:7" ht="16.5" x14ac:dyDescent="0.15">
      <c r="A118" s="30" t="s">
        <v>578</v>
      </c>
      <c r="B118" s="30"/>
      <c r="C118" s="31" t="s">
        <v>169</v>
      </c>
      <c r="D118" s="31"/>
      <c r="F118" t="s">
        <v>579</v>
      </c>
      <c r="G118" s="31" t="s">
        <v>428</v>
      </c>
    </row>
    <row r="119" spans="1:7" ht="16.5" x14ac:dyDescent="0.15">
      <c r="A119" s="30" t="s">
        <v>580</v>
      </c>
      <c r="B119" s="30"/>
      <c r="C119" s="31" t="s">
        <v>581</v>
      </c>
      <c r="D119" s="31"/>
      <c r="F119" t="s">
        <v>582</v>
      </c>
      <c r="G119" s="31" t="s">
        <v>451</v>
      </c>
    </row>
    <row r="120" spans="1:7" ht="16.5" x14ac:dyDescent="0.15">
      <c r="A120" s="30" t="s">
        <v>583</v>
      </c>
      <c r="B120" s="30"/>
      <c r="C120" s="31" t="s">
        <v>584</v>
      </c>
      <c r="D120" s="31"/>
      <c r="F120" t="s">
        <v>804</v>
      </c>
      <c r="G120" s="31" t="s">
        <v>456</v>
      </c>
    </row>
    <row r="121" spans="1:7" ht="16.5" x14ac:dyDescent="0.15">
      <c r="A121" s="30" t="s">
        <v>585</v>
      </c>
      <c r="B121" s="30"/>
      <c r="C121" s="31" t="s">
        <v>452</v>
      </c>
      <c r="D121" s="31"/>
      <c r="F121" t="s">
        <v>586</v>
      </c>
      <c r="G121" s="31" t="s">
        <v>460</v>
      </c>
    </row>
    <row r="122" spans="1:7" ht="16.5" x14ac:dyDescent="0.15">
      <c r="A122" s="30" t="s">
        <v>587</v>
      </c>
      <c r="B122" s="30"/>
      <c r="C122" s="31" t="s">
        <v>588</v>
      </c>
      <c r="D122" s="31"/>
      <c r="F122" t="s">
        <v>589</v>
      </c>
      <c r="G122" s="31" t="s">
        <v>465</v>
      </c>
    </row>
    <row r="123" spans="1:7" ht="16.5" x14ac:dyDescent="0.15">
      <c r="A123" s="30" t="s">
        <v>590</v>
      </c>
      <c r="B123" s="30"/>
      <c r="C123" s="31" t="s">
        <v>258</v>
      </c>
      <c r="D123" s="31"/>
      <c r="F123" t="s">
        <v>591</v>
      </c>
      <c r="G123" s="31" t="s">
        <v>493</v>
      </c>
    </row>
    <row r="124" spans="1:7" ht="16.5" x14ac:dyDescent="0.15">
      <c r="A124" s="30" t="s">
        <v>805</v>
      </c>
      <c r="B124" s="30"/>
      <c r="C124" s="31" t="s">
        <v>344</v>
      </c>
      <c r="D124" s="31"/>
      <c r="F124" t="s">
        <v>592</v>
      </c>
      <c r="G124" s="31" t="s">
        <v>502</v>
      </c>
    </row>
    <row r="125" spans="1:7" ht="16.5" x14ac:dyDescent="0.15">
      <c r="A125" s="30" t="s">
        <v>593</v>
      </c>
      <c r="B125" s="30"/>
      <c r="C125" s="31" t="s">
        <v>594</v>
      </c>
      <c r="D125" s="31"/>
      <c r="F125" t="s">
        <v>595</v>
      </c>
      <c r="G125" s="31" t="s">
        <v>505</v>
      </c>
    </row>
    <row r="126" spans="1:7" ht="16.5" x14ac:dyDescent="0.15">
      <c r="A126" s="30" t="s">
        <v>200</v>
      </c>
      <c r="B126" s="30"/>
      <c r="C126" s="31" t="s">
        <v>348</v>
      </c>
      <c r="D126" s="31"/>
      <c r="F126" t="s">
        <v>596</v>
      </c>
      <c r="G126" s="31" t="s">
        <v>512</v>
      </c>
    </row>
    <row r="127" spans="1:7" ht="16.5" x14ac:dyDescent="0.15">
      <c r="A127" s="30" t="s">
        <v>597</v>
      </c>
      <c r="B127" s="30"/>
      <c r="C127" s="31" t="s">
        <v>598</v>
      </c>
      <c r="D127" s="31"/>
      <c r="F127" t="s">
        <v>599</v>
      </c>
      <c r="G127" s="31" t="s">
        <v>515</v>
      </c>
    </row>
    <row r="128" spans="1:7" ht="16.5" x14ac:dyDescent="0.15">
      <c r="A128" s="30" t="s">
        <v>597</v>
      </c>
      <c r="B128" s="30"/>
      <c r="C128" s="31" t="s">
        <v>600</v>
      </c>
      <c r="D128" s="31"/>
      <c r="F128" t="s">
        <v>601</v>
      </c>
      <c r="G128" s="31" t="s">
        <v>520</v>
      </c>
    </row>
    <row r="129" spans="1:140" ht="16.5" x14ac:dyDescent="0.15">
      <c r="A129" s="30" t="s">
        <v>806</v>
      </c>
      <c r="B129" s="30"/>
      <c r="C129" s="31" t="s">
        <v>603</v>
      </c>
      <c r="D129" s="31"/>
      <c r="F129" t="s">
        <v>604</v>
      </c>
      <c r="G129" s="31" t="s">
        <v>523</v>
      </c>
    </row>
    <row r="130" spans="1:140" ht="16.5" x14ac:dyDescent="0.15">
      <c r="A130" s="30" t="s">
        <v>605</v>
      </c>
      <c r="B130" s="30"/>
      <c r="C130" s="31" t="s">
        <v>606</v>
      </c>
      <c r="D130" s="31"/>
      <c r="F130" t="s">
        <v>607</v>
      </c>
      <c r="G130" s="31" t="s">
        <v>525</v>
      </c>
    </row>
    <row r="131" spans="1:140" ht="16.5" x14ac:dyDescent="0.15">
      <c r="A131" s="30" t="s">
        <v>608</v>
      </c>
      <c r="B131" s="30"/>
      <c r="C131" s="31" t="s">
        <v>609</v>
      </c>
      <c r="D131" s="31"/>
      <c r="F131" t="s">
        <v>610</v>
      </c>
      <c r="G131" s="31" t="s">
        <v>526</v>
      </c>
    </row>
    <row r="132" spans="1:140" ht="16.5" x14ac:dyDescent="0.15">
      <c r="A132" s="30" t="s">
        <v>611</v>
      </c>
      <c r="B132" s="30"/>
      <c r="C132" s="31" t="s">
        <v>612</v>
      </c>
      <c r="D132" s="31"/>
      <c r="F132" t="s">
        <v>613</v>
      </c>
      <c r="G132" s="31" t="s">
        <v>531</v>
      </c>
    </row>
    <row r="133" spans="1:140" ht="16.5" x14ac:dyDescent="0.15">
      <c r="A133" s="30" t="s">
        <v>807</v>
      </c>
      <c r="B133" s="30"/>
      <c r="C133" s="31" t="s">
        <v>352</v>
      </c>
      <c r="D133" s="31"/>
      <c r="F133" t="s">
        <v>808</v>
      </c>
      <c r="G133" s="31" t="s">
        <v>534</v>
      </c>
    </row>
    <row r="134" spans="1:140" ht="16.5" x14ac:dyDescent="0.15">
      <c r="A134" s="30" t="s">
        <v>809</v>
      </c>
      <c r="B134" s="30"/>
      <c r="C134" s="31" t="s">
        <v>357</v>
      </c>
      <c r="D134" s="31"/>
      <c r="F134" t="s">
        <v>810</v>
      </c>
      <c r="G134" s="31" t="s">
        <v>539</v>
      </c>
    </row>
    <row r="135" spans="1:140" ht="16.5" x14ac:dyDescent="0.15">
      <c r="A135" s="30" t="s">
        <v>811</v>
      </c>
      <c r="B135" s="30"/>
      <c r="C135" s="31" t="s">
        <v>812</v>
      </c>
      <c r="D135" s="31"/>
      <c r="F135" t="s">
        <v>813</v>
      </c>
      <c r="G135" s="31" t="s">
        <v>542</v>
      </c>
    </row>
    <row r="136" spans="1:140" ht="16.5" x14ac:dyDescent="0.15">
      <c r="A136" s="30" t="s">
        <v>814</v>
      </c>
      <c r="B136" s="30"/>
      <c r="C136" s="31" t="s">
        <v>361</v>
      </c>
      <c r="D136" s="31"/>
      <c r="F136" t="s">
        <v>815</v>
      </c>
      <c r="G136" t="s">
        <v>816</v>
      </c>
    </row>
    <row r="137" spans="1:140" ht="16.5" x14ac:dyDescent="0.15">
      <c r="A137" s="30" t="s">
        <v>817</v>
      </c>
      <c r="B137" s="30"/>
      <c r="C137" s="31" t="s">
        <v>818</v>
      </c>
      <c r="D137" s="31"/>
      <c r="F137" t="s">
        <v>819</v>
      </c>
      <c r="G137" t="s">
        <v>820</v>
      </c>
    </row>
    <row r="138" spans="1:140" ht="16.5" x14ac:dyDescent="0.15">
      <c r="A138" s="30" t="s">
        <v>821</v>
      </c>
      <c r="B138" s="30"/>
      <c r="C138" s="31" t="s">
        <v>822</v>
      </c>
      <c r="D138" s="31"/>
      <c r="F138" t="s">
        <v>823</v>
      </c>
      <c r="G138" t="s">
        <v>824</v>
      </c>
      <c r="H138" s="32"/>
      <c r="I138" s="32"/>
      <c r="N138" s="30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5"/>
      <c r="BA138" s="33"/>
      <c r="BB138" s="33"/>
      <c r="BC138" s="33"/>
      <c r="BD138" s="33"/>
      <c r="BE138" s="33"/>
      <c r="BF138" s="33"/>
      <c r="BG138" s="33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</row>
    <row r="139" spans="1:140" ht="16.5" x14ac:dyDescent="0.15">
      <c r="A139" s="30" t="s">
        <v>825</v>
      </c>
      <c r="B139" s="30"/>
      <c r="C139" s="31" t="s">
        <v>826</v>
      </c>
      <c r="D139" s="31"/>
      <c r="F139" t="s">
        <v>827</v>
      </c>
      <c r="G139" t="s">
        <v>408</v>
      </c>
    </row>
    <row r="140" spans="1:140" ht="16.5" x14ac:dyDescent="0.15">
      <c r="A140" s="30" t="s">
        <v>828</v>
      </c>
      <c r="B140" s="30"/>
      <c r="C140" s="31" t="s">
        <v>829</v>
      </c>
      <c r="D140" s="31"/>
      <c r="F140" t="s">
        <v>830</v>
      </c>
      <c r="G140" t="s">
        <v>831</v>
      </c>
    </row>
    <row r="141" spans="1:140" ht="16.5" x14ac:dyDescent="0.15">
      <c r="A141" s="30" t="s">
        <v>419</v>
      </c>
      <c r="B141" s="30"/>
      <c r="C141" s="31" t="s">
        <v>832</v>
      </c>
      <c r="D141" s="31"/>
      <c r="F141" s="31" t="s">
        <v>833</v>
      </c>
      <c r="G141" t="s">
        <v>834</v>
      </c>
    </row>
    <row r="142" spans="1:140" ht="16.5" x14ac:dyDescent="0.15">
      <c r="A142" s="30" t="s">
        <v>835</v>
      </c>
      <c r="B142" s="30"/>
      <c r="C142" s="31" t="s">
        <v>836</v>
      </c>
      <c r="D142" s="31"/>
      <c r="F142" s="31" t="s">
        <v>837</v>
      </c>
      <c r="G142" t="s">
        <v>346</v>
      </c>
    </row>
    <row r="143" spans="1:140" ht="16.5" x14ac:dyDescent="0.15">
      <c r="A143" s="30" t="s">
        <v>838</v>
      </c>
      <c r="B143" s="30"/>
      <c r="C143" s="31" t="s">
        <v>839</v>
      </c>
      <c r="D143" s="31"/>
      <c r="F143" s="31" t="s">
        <v>840</v>
      </c>
      <c r="G143" t="s">
        <v>841</v>
      </c>
    </row>
    <row r="144" spans="1:140" ht="16.5" x14ac:dyDescent="0.15">
      <c r="A144" s="30" t="s">
        <v>842</v>
      </c>
      <c r="B144" s="30"/>
      <c r="C144" s="31" t="s">
        <v>843</v>
      </c>
      <c r="D144" s="31"/>
      <c r="F144" s="31" t="s">
        <v>844</v>
      </c>
    </row>
    <row r="145" spans="1:6" ht="16.5" x14ac:dyDescent="0.15">
      <c r="A145" s="30" t="s">
        <v>845</v>
      </c>
      <c r="B145" s="30"/>
      <c r="C145" s="31" t="s">
        <v>376</v>
      </c>
      <c r="D145" s="31"/>
      <c r="F145" s="31" t="s">
        <v>846</v>
      </c>
    </row>
    <row r="146" spans="1:6" ht="16.5" x14ac:dyDescent="0.15">
      <c r="A146" s="30" t="s">
        <v>847</v>
      </c>
      <c r="B146" s="30"/>
      <c r="C146" s="31" t="s">
        <v>381</v>
      </c>
      <c r="D146" s="31"/>
      <c r="F146" s="31" t="s">
        <v>848</v>
      </c>
    </row>
    <row r="147" spans="1:6" ht="16.5" x14ac:dyDescent="0.15">
      <c r="A147" s="30" t="s">
        <v>849</v>
      </c>
      <c r="B147" s="30"/>
      <c r="C147" s="31" t="s">
        <v>385</v>
      </c>
      <c r="D147" s="31"/>
      <c r="F147" s="31" t="s">
        <v>850</v>
      </c>
    </row>
    <row r="148" spans="1:6" ht="16.5" x14ac:dyDescent="0.15">
      <c r="A148" s="30" t="s">
        <v>851</v>
      </c>
      <c r="B148" s="30"/>
      <c r="C148" s="31" t="s">
        <v>727</v>
      </c>
      <c r="D148" s="31"/>
      <c r="F148" s="31" t="s">
        <v>852</v>
      </c>
    </row>
    <row r="149" spans="1:6" ht="16.5" x14ac:dyDescent="0.15">
      <c r="A149" s="30" t="s">
        <v>853</v>
      </c>
      <c r="B149" s="30"/>
      <c r="C149" s="31" t="s">
        <v>854</v>
      </c>
      <c r="D149" s="31"/>
      <c r="F149" s="31" t="s">
        <v>855</v>
      </c>
    </row>
    <row r="150" spans="1:6" ht="16.5" x14ac:dyDescent="0.15">
      <c r="A150" s="30" t="s">
        <v>856</v>
      </c>
      <c r="B150" s="30"/>
      <c r="C150" s="31" t="s">
        <v>394</v>
      </c>
      <c r="D150" s="31"/>
      <c r="F150" s="31" t="s">
        <v>515</v>
      </c>
    </row>
    <row r="151" spans="1:6" ht="16.5" x14ac:dyDescent="0.15">
      <c r="A151" s="30" t="s">
        <v>857</v>
      </c>
      <c r="B151" s="30"/>
      <c r="C151" s="31" t="s">
        <v>398</v>
      </c>
      <c r="D151" s="31"/>
      <c r="F151" s="31" t="s">
        <v>858</v>
      </c>
    </row>
    <row r="152" spans="1:6" ht="16.5" x14ac:dyDescent="0.15">
      <c r="A152" s="30" t="s">
        <v>424</v>
      </c>
      <c r="B152" s="30"/>
      <c r="C152" s="31" t="s">
        <v>859</v>
      </c>
      <c r="D152" s="31"/>
      <c r="F152" s="31" t="s">
        <v>860</v>
      </c>
    </row>
    <row r="153" spans="1:6" ht="16.5" x14ac:dyDescent="0.15">
      <c r="A153" s="30" t="s">
        <v>861</v>
      </c>
      <c r="B153" s="30"/>
      <c r="C153" s="31" t="s">
        <v>407</v>
      </c>
      <c r="D153" s="31"/>
      <c r="F153" s="31" t="s">
        <v>862</v>
      </c>
    </row>
    <row r="154" spans="1:6" ht="16.5" x14ac:dyDescent="0.15">
      <c r="A154" s="30" t="s">
        <v>863</v>
      </c>
      <c r="B154" s="30"/>
      <c r="C154" s="31" t="s">
        <v>411</v>
      </c>
      <c r="D154" s="31"/>
      <c r="F154" s="31" t="s">
        <v>858</v>
      </c>
    </row>
    <row r="155" spans="1:6" ht="16.5" x14ac:dyDescent="0.15">
      <c r="A155" s="30" t="s">
        <v>864</v>
      </c>
      <c r="B155" s="30"/>
      <c r="C155" s="31" t="s">
        <v>414</v>
      </c>
      <c r="D155" s="31"/>
      <c r="F155" s="31" t="s">
        <v>865</v>
      </c>
    </row>
    <row r="156" spans="1:6" ht="16.5" x14ac:dyDescent="0.15">
      <c r="A156" s="30" t="s">
        <v>725</v>
      </c>
      <c r="B156" s="30"/>
      <c r="C156" s="31" t="s">
        <v>866</v>
      </c>
      <c r="D156" s="31"/>
      <c r="F156" s="31" t="s">
        <v>867</v>
      </c>
    </row>
    <row r="157" spans="1:6" ht="16.5" x14ac:dyDescent="0.15">
      <c r="A157" s="30" t="s">
        <v>868</v>
      </c>
      <c r="B157" s="30"/>
      <c r="C157" s="31" t="s">
        <v>869</v>
      </c>
      <c r="D157" s="31"/>
      <c r="F157" s="31" t="s">
        <v>870</v>
      </c>
    </row>
    <row r="158" spans="1:6" ht="16.5" x14ac:dyDescent="0.15">
      <c r="A158" s="30" t="s">
        <v>429</v>
      </c>
      <c r="B158" s="30"/>
      <c r="C158" s="31" t="s">
        <v>871</v>
      </c>
      <c r="D158" s="31"/>
      <c r="F158" s="31" t="s">
        <v>872</v>
      </c>
    </row>
    <row r="159" spans="1:6" ht="16.5" x14ac:dyDescent="0.15">
      <c r="A159" s="30" t="s">
        <v>873</v>
      </c>
      <c r="B159" s="30"/>
      <c r="C159" s="31" t="s">
        <v>874</v>
      </c>
      <c r="D159" s="31"/>
      <c r="F159" s="31" t="s">
        <v>875</v>
      </c>
    </row>
    <row r="160" spans="1:6" ht="16.5" x14ac:dyDescent="0.15">
      <c r="A160" s="30" t="s">
        <v>435</v>
      </c>
      <c r="B160" s="30"/>
      <c r="C160" s="31" t="s">
        <v>876</v>
      </c>
      <c r="D160" s="31"/>
      <c r="F160" s="31" t="s">
        <v>877</v>
      </c>
    </row>
    <row r="161" spans="1:106" ht="16.5" x14ac:dyDescent="0.15">
      <c r="A161" s="30" t="s">
        <v>878</v>
      </c>
      <c r="B161" s="30"/>
      <c r="C161" s="31" t="s">
        <v>879</v>
      </c>
      <c r="D161" s="31"/>
      <c r="F161" s="31" t="s">
        <v>880</v>
      </c>
    </row>
    <row r="162" spans="1:106" ht="16.5" x14ac:dyDescent="0.15">
      <c r="A162" s="30" t="s">
        <v>881</v>
      </c>
      <c r="B162" s="30"/>
      <c r="C162" s="31" t="s">
        <v>882</v>
      </c>
      <c r="D162" s="31"/>
      <c r="F162" s="31" t="s">
        <v>883</v>
      </c>
    </row>
    <row r="163" spans="1:106" ht="16.5" x14ac:dyDescent="0.15">
      <c r="A163" s="30" t="s">
        <v>727</v>
      </c>
      <c r="B163" s="30"/>
      <c r="C163" s="31" t="s">
        <v>884</v>
      </c>
      <c r="D163" s="31"/>
      <c r="F163" s="31" t="s">
        <v>885</v>
      </c>
    </row>
    <row r="164" spans="1:106" ht="16.5" x14ac:dyDescent="0.15">
      <c r="A164" s="30" t="s">
        <v>886</v>
      </c>
      <c r="B164" s="30"/>
      <c r="C164" s="31" t="s">
        <v>428</v>
      </c>
      <c r="D164" s="31"/>
      <c r="F164" s="31" t="s">
        <v>887</v>
      </c>
    </row>
    <row r="165" spans="1:106" ht="16.5" x14ac:dyDescent="0.15">
      <c r="A165" s="30" t="s">
        <v>888</v>
      </c>
      <c r="B165" s="30"/>
      <c r="C165" s="31" t="s">
        <v>889</v>
      </c>
      <c r="D165" s="31"/>
      <c r="F165" s="31" t="s">
        <v>890</v>
      </c>
    </row>
    <row r="166" spans="1:106" ht="16.5" x14ac:dyDescent="0.15">
      <c r="A166" s="30" t="s">
        <v>891</v>
      </c>
      <c r="B166" s="30"/>
      <c r="C166" s="31" t="s">
        <v>442</v>
      </c>
      <c r="D166" s="31"/>
      <c r="F166" s="31" t="s">
        <v>892</v>
      </c>
    </row>
    <row r="167" spans="1:106" ht="16.5" x14ac:dyDescent="0.15">
      <c r="A167" s="30" t="s">
        <v>893</v>
      </c>
      <c r="B167" s="30"/>
      <c r="C167" s="31" t="s">
        <v>894</v>
      </c>
      <c r="D167" s="31"/>
      <c r="F167" s="31" t="s">
        <v>525</v>
      </c>
    </row>
    <row r="168" spans="1:106" ht="16.5" x14ac:dyDescent="0.15">
      <c r="A168" s="30" t="s">
        <v>895</v>
      </c>
      <c r="B168" s="30"/>
      <c r="C168" s="31" t="s">
        <v>896</v>
      </c>
      <c r="D168" s="31"/>
      <c r="F168" s="31" t="s">
        <v>897</v>
      </c>
    </row>
    <row r="169" spans="1:106" ht="16.5" x14ac:dyDescent="0.15">
      <c r="A169" s="30" t="s">
        <v>898</v>
      </c>
      <c r="B169" s="30"/>
      <c r="C169" s="31" t="s">
        <v>899</v>
      </c>
      <c r="D169" s="31"/>
      <c r="F169" s="31" t="s">
        <v>900</v>
      </c>
    </row>
    <row r="170" spans="1:106" ht="16.5" x14ac:dyDescent="0.15">
      <c r="A170" s="30" t="s">
        <v>901</v>
      </c>
      <c r="B170" s="30"/>
      <c r="C170" s="31" t="s">
        <v>902</v>
      </c>
      <c r="D170" s="31"/>
      <c r="F170" s="31" t="s">
        <v>903</v>
      </c>
    </row>
    <row r="171" spans="1:106" ht="16.5" x14ac:dyDescent="0.15">
      <c r="A171" s="30" t="s">
        <v>207</v>
      </c>
      <c r="B171" s="30"/>
      <c r="C171" s="31" t="s">
        <v>904</v>
      </c>
      <c r="D171" s="31"/>
      <c r="F171" s="31" t="s">
        <v>905</v>
      </c>
    </row>
    <row r="172" spans="1:106" ht="16.5" x14ac:dyDescent="0.15">
      <c r="A172" s="30" t="s">
        <v>906</v>
      </c>
      <c r="B172" s="30"/>
      <c r="C172" s="31" t="s">
        <v>907</v>
      </c>
      <c r="D172" s="31"/>
      <c r="F172" s="31" t="s">
        <v>908</v>
      </c>
    </row>
    <row r="173" spans="1:106" ht="16.5" x14ac:dyDescent="0.15">
      <c r="A173" s="30" t="s">
        <v>429</v>
      </c>
      <c r="B173" s="30"/>
      <c r="C173" s="31" t="s">
        <v>909</v>
      </c>
      <c r="D173" s="31"/>
      <c r="F173" s="31" t="s">
        <v>910</v>
      </c>
      <c r="J173" s="32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4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</row>
    <row r="174" spans="1:106" ht="16.5" x14ac:dyDescent="0.15">
      <c r="A174" s="30" t="s">
        <v>898</v>
      </c>
      <c r="B174" s="30"/>
      <c r="C174" s="31" t="s">
        <v>911</v>
      </c>
      <c r="D174" s="31"/>
      <c r="F174" s="31" t="s">
        <v>912</v>
      </c>
    </row>
    <row r="175" spans="1:106" ht="16.5" x14ac:dyDescent="0.15">
      <c r="A175" s="30" t="s">
        <v>913</v>
      </c>
      <c r="B175" s="30"/>
      <c r="C175" s="31" t="s">
        <v>914</v>
      </c>
      <c r="D175" s="31"/>
      <c r="F175" s="31" t="s">
        <v>502</v>
      </c>
    </row>
    <row r="176" spans="1:106" ht="16.5" x14ac:dyDescent="0.15">
      <c r="A176" s="30" t="s">
        <v>915</v>
      </c>
      <c r="B176" s="30"/>
      <c r="C176" s="31" t="s">
        <v>916</v>
      </c>
      <c r="D176" s="31"/>
      <c r="F176" s="31" t="s">
        <v>917</v>
      </c>
    </row>
    <row r="177" spans="1:6" ht="16.5" x14ac:dyDescent="0.15">
      <c r="A177" s="30" t="s">
        <v>918</v>
      </c>
      <c r="B177" s="30"/>
      <c r="C177" s="31" t="s">
        <v>919</v>
      </c>
      <c r="D177" s="31"/>
      <c r="F177" s="31" t="s">
        <v>920</v>
      </c>
    </row>
    <row r="178" spans="1:6" ht="16.5" x14ac:dyDescent="0.15">
      <c r="A178" s="30" t="s">
        <v>918</v>
      </c>
      <c r="B178" s="30"/>
      <c r="C178" s="31" t="s">
        <v>921</v>
      </c>
      <c r="D178" s="31"/>
      <c r="F178" s="31" t="s">
        <v>922</v>
      </c>
    </row>
    <row r="179" spans="1:6" ht="16.5" x14ac:dyDescent="0.15">
      <c r="A179" s="30" t="s">
        <v>923</v>
      </c>
      <c r="B179" s="30"/>
      <c r="C179" s="31" t="s">
        <v>924</v>
      </c>
      <c r="D179" s="31"/>
      <c r="F179" s="31" t="s">
        <v>925</v>
      </c>
    </row>
    <row r="180" spans="1:6" ht="16.5" x14ac:dyDescent="0.15">
      <c r="A180" s="30" t="s">
        <v>926</v>
      </c>
      <c r="B180" s="30"/>
      <c r="C180" s="31" t="s">
        <v>927</v>
      </c>
      <c r="D180" s="31"/>
      <c r="F180" s="31" t="s">
        <v>928</v>
      </c>
    </row>
    <row r="181" spans="1:6" ht="16.5" x14ac:dyDescent="0.15">
      <c r="A181" s="30" t="s">
        <v>929</v>
      </c>
      <c r="B181" s="30"/>
      <c r="C181" s="31" t="s">
        <v>930</v>
      </c>
      <c r="D181" s="31"/>
      <c r="F181" s="31" t="s">
        <v>931</v>
      </c>
    </row>
    <row r="182" spans="1:6" ht="16.5" x14ac:dyDescent="0.15">
      <c r="A182" s="30" t="s">
        <v>932</v>
      </c>
      <c r="B182" s="30"/>
      <c r="C182" s="31" t="s">
        <v>933</v>
      </c>
      <c r="D182" s="31"/>
      <c r="F182" s="31" t="s">
        <v>934</v>
      </c>
    </row>
    <row r="183" spans="1:6" ht="16.5" x14ac:dyDescent="0.15">
      <c r="A183" s="30" t="s">
        <v>935</v>
      </c>
      <c r="B183" s="30"/>
      <c r="C183" s="31" t="s">
        <v>483</v>
      </c>
      <c r="D183" s="31"/>
      <c r="F183" s="31" t="s">
        <v>936</v>
      </c>
    </row>
    <row r="184" spans="1:6" ht="16.5" x14ac:dyDescent="0.15">
      <c r="A184" s="30" t="s">
        <v>932</v>
      </c>
      <c r="B184" s="30"/>
      <c r="C184" s="31" t="s">
        <v>937</v>
      </c>
      <c r="D184" s="31"/>
      <c r="F184" s="31" t="s">
        <v>938</v>
      </c>
    </row>
    <row r="185" spans="1:6" ht="16.5" x14ac:dyDescent="0.15">
      <c r="A185" s="30" t="s">
        <v>439</v>
      </c>
      <c r="B185" s="30"/>
      <c r="C185" s="31" t="s">
        <v>469</v>
      </c>
      <c r="D185" s="31"/>
      <c r="F185" s="31" t="s">
        <v>939</v>
      </c>
    </row>
    <row r="186" spans="1:6" ht="16.5" x14ac:dyDescent="0.15">
      <c r="A186" s="30" t="s">
        <v>940</v>
      </c>
      <c r="B186" s="30"/>
      <c r="C186" s="31" t="s">
        <v>473</v>
      </c>
      <c r="D186" s="31"/>
      <c r="F186" s="31" t="s">
        <v>509</v>
      </c>
    </row>
    <row r="187" spans="1:6" ht="16.5" x14ac:dyDescent="0.15">
      <c r="A187" s="30" t="s">
        <v>941</v>
      </c>
      <c r="B187" s="30"/>
      <c r="C187" s="31" t="s">
        <v>942</v>
      </c>
      <c r="D187" s="31"/>
      <c r="F187" s="31" t="s">
        <v>943</v>
      </c>
    </row>
    <row r="188" spans="1:6" ht="16.5" x14ac:dyDescent="0.15">
      <c r="A188" s="30" t="s">
        <v>944</v>
      </c>
      <c r="B188" s="30"/>
      <c r="C188" s="31" t="s">
        <v>945</v>
      </c>
      <c r="D188" s="31"/>
      <c r="F188" s="31" t="s">
        <v>946</v>
      </c>
    </row>
    <row r="189" spans="1:6" ht="16.5" x14ac:dyDescent="0.15">
      <c r="A189" s="30" t="s">
        <v>947</v>
      </c>
      <c r="B189" s="30"/>
      <c r="C189" s="31" t="s">
        <v>948</v>
      </c>
      <c r="D189" s="31"/>
      <c r="F189" s="31" t="s">
        <v>949</v>
      </c>
    </row>
    <row r="190" spans="1:6" ht="16.5" x14ac:dyDescent="0.15">
      <c r="A190" s="30" t="s">
        <v>950</v>
      </c>
      <c r="B190" s="30"/>
      <c r="C190" s="31" t="s">
        <v>951</v>
      </c>
      <c r="D190" s="31"/>
      <c r="F190" s="31" t="s">
        <v>952</v>
      </c>
    </row>
    <row r="191" spans="1:6" ht="16.5" x14ac:dyDescent="0.15">
      <c r="A191" s="30" t="s">
        <v>953</v>
      </c>
      <c r="B191" s="30"/>
      <c r="C191" s="31" t="s">
        <v>954</v>
      </c>
      <c r="D191" s="31"/>
      <c r="F191" s="31" t="s">
        <v>955</v>
      </c>
    </row>
    <row r="192" spans="1:6" ht="16.5" x14ac:dyDescent="0.15">
      <c r="A192" s="30" t="s">
        <v>956</v>
      </c>
      <c r="B192" s="30"/>
      <c r="C192" s="31" t="s">
        <v>957</v>
      </c>
      <c r="D192" s="31"/>
      <c r="F192" s="31" t="s">
        <v>958</v>
      </c>
    </row>
    <row r="193" spans="1:6" ht="16.5" x14ac:dyDescent="0.15">
      <c r="A193" s="30" t="s">
        <v>959</v>
      </c>
      <c r="B193" s="30"/>
      <c r="C193" s="31" t="s">
        <v>960</v>
      </c>
      <c r="D193" s="31"/>
      <c r="F193" s="31" t="s">
        <v>848</v>
      </c>
    </row>
    <row r="194" spans="1:6" ht="16.5" x14ac:dyDescent="0.15">
      <c r="A194" s="30" t="s">
        <v>961</v>
      </c>
      <c r="B194" s="30"/>
      <c r="C194" s="31" t="s">
        <v>962</v>
      </c>
      <c r="D194" s="31"/>
      <c r="F194" s="31" t="s">
        <v>963</v>
      </c>
    </row>
    <row r="195" spans="1:6" ht="16.5" x14ac:dyDescent="0.15">
      <c r="A195" s="30" t="s">
        <v>964</v>
      </c>
      <c r="B195" s="30"/>
      <c r="C195" s="31" t="s">
        <v>965</v>
      </c>
      <c r="D195" s="31"/>
      <c r="F195" s="31" t="s">
        <v>966</v>
      </c>
    </row>
    <row r="196" spans="1:6" ht="16.5" x14ac:dyDescent="0.15">
      <c r="A196" s="30" t="s">
        <v>967</v>
      </c>
      <c r="B196" s="30"/>
      <c r="C196" s="31" t="s">
        <v>314</v>
      </c>
      <c r="D196" s="31"/>
      <c r="F196" s="31" t="s">
        <v>968</v>
      </c>
    </row>
    <row r="197" spans="1:6" ht="16.5" x14ac:dyDescent="0.15">
      <c r="A197" s="30" t="s">
        <v>969</v>
      </c>
      <c r="B197" s="30"/>
      <c r="C197" s="31" t="s">
        <v>970</v>
      </c>
      <c r="D197" s="31"/>
      <c r="F197" s="31" t="s">
        <v>971</v>
      </c>
    </row>
    <row r="198" spans="1:6" ht="16.5" x14ac:dyDescent="0.15">
      <c r="A198" s="30" t="s">
        <v>972</v>
      </c>
      <c r="B198" s="30"/>
      <c r="C198" s="31" t="s">
        <v>973</v>
      </c>
      <c r="D198" s="31"/>
      <c r="F198" s="31" t="s">
        <v>974</v>
      </c>
    </row>
    <row r="199" spans="1:6" ht="16.5" x14ac:dyDescent="0.15">
      <c r="A199" s="30" t="s">
        <v>975</v>
      </c>
      <c r="B199" s="30"/>
      <c r="C199" s="31" t="s">
        <v>976</v>
      </c>
      <c r="D199" s="31"/>
      <c r="F199" s="31" t="s">
        <v>977</v>
      </c>
    </row>
    <row r="200" spans="1:6" ht="16.5" x14ac:dyDescent="0.15">
      <c r="A200" s="30" t="s">
        <v>978</v>
      </c>
      <c r="B200" s="30"/>
      <c r="C200" s="31" t="s">
        <v>979</v>
      </c>
      <c r="D200" s="31"/>
      <c r="F200" s="31" t="s">
        <v>980</v>
      </c>
    </row>
    <row r="201" spans="1:6" ht="16.5" x14ac:dyDescent="0.15">
      <c r="A201" s="30" t="s">
        <v>981</v>
      </c>
      <c r="B201" s="30"/>
      <c r="C201" s="31" t="s">
        <v>980</v>
      </c>
      <c r="D201" s="31"/>
      <c r="F201" s="31" t="s">
        <v>982</v>
      </c>
    </row>
    <row r="202" spans="1:6" ht="16.5" x14ac:dyDescent="0.15">
      <c r="A202" s="30" t="s">
        <v>983</v>
      </c>
      <c r="B202" s="30"/>
      <c r="C202" s="31" t="s">
        <v>982</v>
      </c>
      <c r="D202" s="31"/>
      <c r="F202" s="31" t="s">
        <v>984</v>
      </c>
    </row>
    <row r="203" spans="1:6" ht="16.5" x14ac:dyDescent="0.15">
      <c r="A203" s="30" t="s">
        <v>985</v>
      </c>
      <c r="B203" s="30"/>
      <c r="C203" s="31" t="s">
        <v>984</v>
      </c>
      <c r="D203" s="31"/>
      <c r="F203" s="31" t="s">
        <v>986</v>
      </c>
    </row>
    <row r="204" spans="1:6" ht="16.5" x14ac:dyDescent="0.15">
      <c r="A204" s="30" t="s">
        <v>987</v>
      </c>
      <c r="B204" s="30"/>
      <c r="C204" s="31" t="s">
        <v>986</v>
      </c>
      <c r="D204" s="31"/>
      <c r="F204" s="31" t="s">
        <v>478</v>
      </c>
    </row>
    <row r="205" spans="1:6" ht="16.5" x14ac:dyDescent="0.15">
      <c r="A205" s="30" t="s">
        <v>988</v>
      </c>
      <c r="B205" s="30"/>
      <c r="C205" s="31" t="s">
        <v>478</v>
      </c>
      <c r="D205" s="31"/>
      <c r="F205" s="31" t="s">
        <v>989</v>
      </c>
    </row>
    <row r="206" spans="1:6" ht="16.5" x14ac:dyDescent="0.15">
      <c r="A206" s="30" t="s">
        <v>990</v>
      </c>
      <c r="B206" s="30"/>
      <c r="C206" s="31" t="s">
        <v>991</v>
      </c>
      <c r="D206" s="31"/>
      <c r="F206" s="31" t="s">
        <v>992</v>
      </c>
    </row>
    <row r="207" spans="1:6" ht="16.5" x14ac:dyDescent="0.15">
      <c r="A207" s="30" t="s">
        <v>993</v>
      </c>
      <c r="B207" s="30"/>
      <c r="C207" s="31" t="s">
        <v>989</v>
      </c>
      <c r="D207" s="31"/>
      <c r="F207" s="31" t="s">
        <v>994</v>
      </c>
    </row>
    <row r="208" spans="1:6" ht="16.5" x14ac:dyDescent="0.15">
      <c r="A208" s="30" t="s">
        <v>995</v>
      </c>
      <c r="B208" s="30"/>
      <c r="C208" s="31" t="s">
        <v>992</v>
      </c>
      <c r="D208" s="31"/>
      <c r="F208" s="31" t="s">
        <v>996</v>
      </c>
    </row>
    <row r="209" spans="1:6" ht="16.5" x14ac:dyDescent="0.15">
      <c r="A209" s="30" t="s">
        <v>997</v>
      </c>
      <c r="B209" s="30"/>
      <c r="C209" s="31" t="s">
        <v>994</v>
      </c>
      <c r="D209" s="31"/>
      <c r="F209" s="31" t="s">
        <v>507</v>
      </c>
    </row>
    <row r="210" spans="1:6" ht="16.5" x14ac:dyDescent="0.15">
      <c r="A210" s="30" t="s">
        <v>998</v>
      </c>
      <c r="B210" s="30"/>
      <c r="C210" s="31" t="s">
        <v>996</v>
      </c>
      <c r="D210" s="31"/>
      <c r="F210" s="31" t="s">
        <v>486</v>
      </c>
    </row>
    <row r="211" spans="1:6" ht="16.5" x14ac:dyDescent="0.15">
      <c r="A211" s="30" t="s">
        <v>999</v>
      </c>
      <c r="B211" s="30"/>
      <c r="C211" s="31" t="s">
        <v>507</v>
      </c>
      <c r="D211" s="31"/>
      <c r="F211" s="31" t="s">
        <v>1000</v>
      </c>
    </row>
    <row r="212" spans="1:6" ht="16.5" x14ac:dyDescent="0.15">
      <c r="A212" s="30" t="s">
        <v>1001</v>
      </c>
      <c r="B212" s="30"/>
      <c r="C212" s="31" t="s">
        <v>486</v>
      </c>
      <c r="D212" s="31"/>
      <c r="F212" s="31" t="s">
        <v>493</v>
      </c>
    </row>
    <row r="213" spans="1:6" ht="16.5" x14ac:dyDescent="0.15">
      <c r="A213" s="30" t="s">
        <v>1002</v>
      </c>
      <c r="B213" s="30"/>
      <c r="C213" s="31" t="s">
        <v>1000</v>
      </c>
      <c r="D213" s="31"/>
      <c r="F213" s="31" t="s">
        <v>1003</v>
      </c>
    </row>
    <row r="214" spans="1:6" ht="16.5" x14ac:dyDescent="0.15">
      <c r="A214" s="30" t="s">
        <v>1004</v>
      </c>
      <c r="B214" s="30"/>
      <c r="C214" s="31" t="s">
        <v>1005</v>
      </c>
      <c r="D214" s="31"/>
      <c r="F214" s="31" t="s">
        <v>1006</v>
      </c>
    </row>
    <row r="215" spans="1:6" ht="16.5" x14ac:dyDescent="0.15">
      <c r="A215" s="30" t="s">
        <v>1007</v>
      </c>
      <c r="B215" s="30"/>
      <c r="C215" s="31" t="s">
        <v>490</v>
      </c>
      <c r="D215" s="31"/>
      <c r="F215" s="31" t="s">
        <v>1008</v>
      </c>
    </row>
    <row r="216" spans="1:6" ht="16.5" x14ac:dyDescent="0.15">
      <c r="A216" s="30" t="s">
        <v>1009</v>
      </c>
      <c r="B216" s="30"/>
      <c r="C216" s="31" t="s">
        <v>1010</v>
      </c>
      <c r="D216" s="31"/>
      <c r="F216" s="31" t="s">
        <v>1011</v>
      </c>
    </row>
    <row r="217" spans="1:6" ht="16.5" x14ac:dyDescent="0.15">
      <c r="A217" s="30" t="s">
        <v>1012</v>
      </c>
      <c r="B217" s="30"/>
      <c r="C217" s="31" t="s">
        <v>493</v>
      </c>
      <c r="D217" s="31"/>
      <c r="F217" s="31" t="s">
        <v>1013</v>
      </c>
    </row>
    <row r="218" spans="1:6" ht="16.5" x14ac:dyDescent="0.15">
      <c r="A218" s="30" t="s">
        <v>1014</v>
      </c>
      <c r="B218" s="30"/>
      <c r="C218" s="31" t="s">
        <v>1003</v>
      </c>
      <c r="D218" s="31"/>
      <c r="F218" s="31" t="s">
        <v>963</v>
      </c>
    </row>
    <row r="219" spans="1:6" ht="16.5" x14ac:dyDescent="0.15">
      <c r="A219" s="30" t="s">
        <v>1015</v>
      </c>
      <c r="B219" s="30"/>
      <c r="C219" s="31" t="s">
        <v>1016</v>
      </c>
      <c r="D219" s="31"/>
      <c r="F219" s="31" t="s">
        <v>1017</v>
      </c>
    </row>
    <row r="220" spans="1:6" ht="16.5" x14ac:dyDescent="0.15">
      <c r="A220" s="30" t="s">
        <v>1018</v>
      </c>
      <c r="B220" s="30"/>
      <c r="C220" s="31" t="s">
        <v>1019</v>
      </c>
      <c r="D220" s="31"/>
      <c r="F220" s="31" t="s">
        <v>924</v>
      </c>
    </row>
    <row r="221" spans="1:6" ht="16.5" x14ac:dyDescent="0.15">
      <c r="A221" s="30" t="s">
        <v>1020</v>
      </c>
      <c r="B221" s="30"/>
      <c r="C221" s="31" t="s">
        <v>1006</v>
      </c>
      <c r="D221" s="31"/>
      <c r="F221" s="31" t="s">
        <v>927</v>
      </c>
    </row>
    <row r="222" spans="1:6" ht="16.5" x14ac:dyDescent="0.15">
      <c r="A222" s="30" t="s">
        <v>1021</v>
      </c>
      <c r="B222" s="30"/>
      <c r="C222" s="31" t="s">
        <v>1008</v>
      </c>
      <c r="D222" s="31"/>
      <c r="F222" s="31" t="s">
        <v>930</v>
      </c>
    </row>
    <row r="223" spans="1:6" ht="16.5" x14ac:dyDescent="0.15">
      <c r="A223" s="30" t="s">
        <v>1022</v>
      </c>
      <c r="B223" s="30"/>
      <c r="C223" s="31" t="s">
        <v>1011</v>
      </c>
      <c r="D223" s="31"/>
      <c r="F223" s="31" t="s">
        <v>933</v>
      </c>
    </row>
    <row r="224" spans="1:6" ht="16.5" x14ac:dyDescent="0.15">
      <c r="A224" s="30" t="s">
        <v>1023</v>
      </c>
      <c r="B224" s="30"/>
      <c r="C224" s="31" t="s">
        <v>1013</v>
      </c>
      <c r="D224" s="31"/>
      <c r="F224" s="31" t="s">
        <v>483</v>
      </c>
    </row>
    <row r="225" spans="1:6" ht="16.5" x14ac:dyDescent="0.15">
      <c r="A225" s="30" t="s">
        <v>1024</v>
      </c>
      <c r="B225" s="30"/>
      <c r="C225" s="31" t="s">
        <v>1025</v>
      </c>
      <c r="D225" s="31"/>
      <c r="F225" s="31" t="s">
        <v>937</v>
      </c>
    </row>
    <row r="226" spans="1:6" ht="16.5" x14ac:dyDescent="0.15">
      <c r="A226" s="30" t="s">
        <v>1026</v>
      </c>
      <c r="B226" s="30"/>
      <c r="C226" s="31" t="s">
        <v>963</v>
      </c>
      <c r="D226" s="31"/>
      <c r="F226" s="31" t="s">
        <v>469</v>
      </c>
    </row>
    <row r="227" spans="1:6" ht="16.5" x14ac:dyDescent="0.15">
      <c r="A227" s="30" t="s">
        <v>443</v>
      </c>
      <c r="B227" s="30"/>
      <c r="C227" s="31" t="s">
        <v>1017</v>
      </c>
      <c r="D227" s="31"/>
      <c r="F227" s="31" t="s">
        <v>942</v>
      </c>
    </row>
    <row r="228" spans="1:6" ht="16.5" x14ac:dyDescent="0.15">
      <c r="A228" s="30" t="s">
        <v>1027</v>
      </c>
      <c r="B228" s="30"/>
      <c r="C228" s="31" t="s">
        <v>1028</v>
      </c>
      <c r="D228" s="31"/>
      <c r="F228" s="31" t="s">
        <v>945</v>
      </c>
    </row>
    <row r="229" spans="1:6" ht="16.5" x14ac:dyDescent="0.15">
      <c r="A229" s="30" t="s">
        <v>1029</v>
      </c>
      <c r="B229" s="30"/>
      <c r="C229" s="31" t="s">
        <v>903</v>
      </c>
      <c r="D229" s="31"/>
      <c r="F229" s="31" t="s">
        <v>951</v>
      </c>
    </row>
    <row r="230" spans="1:6" ht="16.5" x14ac:dyDescent="0.15">
      <c r="A230" s="30" t="s">
        <v>1027</v>
      </c>
      <c r="B230" s="30"/>
      <c r="C230" s="31" t="s">
        <v>905</v>
      </c>
      <c r="D230" s="31"/>
      <c r="F230" s="31" t="s">
        <v>954</v>
      </c>
    </row>
    <row r="231" spans="1:6" ht="16.5" x14ac:dyDescent="0.15">
      <c r="A231" s="30" t="s">
        <v>1030</v>
      </c>
      <c r="B231" s="30"/>
      <c r="C231" s="31" t="s">
        <v>908</v>
      </c>
      <c r="D231" s="31"/>
      <c r="F231" s="31" t="s">
        <v>957</v>
      </c>
    </row>
    <row r="232" spans="1:6" ht="16.5" x14ac:dyDescent="0.15">
      <c r="A232" s="30" t="s">
        <v>1031</v>
      </c>
      <c r="B232" s="30"/>
      <c r="C232" s="31" t="s">
        <v>1032</v>
      </c>
      <c r="D232" s="31"/>
      <c r="F232" s="31" t="s">
        <v>960</v>
      </c>
    </row>
    <row r="233" spans="1:6" ht="16.5" x14ac:dyDescent="0.15">
      <c r="A233" s="30" t="s">
        <v>1031</v>
      </c>
      <c r="B233" s="30"/>
      <c r="C233" s="31" t="s">
        <v>910</v>
      </c>
      <c r="D233" s="31"/>
      <c r="F233" s="31" t="s">
        <v>965</v>
      </c>
    </row>
    <row r="234" spans="1:6" ht="16.5" x14ac:dyDescent="0.15">
      <c r="A234" s="30" t="s">
        <v>1033</v>
      </c>
      <c r="B234" s="30"/>
      <c r="C234" s="31" t="s">
        <v>912</v>
      </c>
      <c r="D234" s="31"/>
      <c r="F234" s="31" t="s">
        <v>314</v>
      </c>
    </row>
    <row r="235" spans="1:6" ht="16.5" x14ac:dyDescent="0.15">
      <c r="A235" s="30" t="s">
        <v>1034</v>
      </c>
      <c r="B235" s="30"/>
      <c r="C235" s="31" t="s">
        <v>502</v>
      </c>
      <c r="D235" s="31"/>
      <c r="F235" s="31" t="s">
        <v>970</v>
      </c>
    </row>
    <row r="236" spans="1:6" ht="16.5" x14ac:dyDescent="0.15">
      <c r="A236" s="30" t="s">
        <v>1035</v>
      </c>
      <c r="B236" s="30"/>
      <c r="C236" s="31" t="s">
        <v>917</v>
      </c>
      <c r="D236" s="31"/>
      <c r="F236" s="31" t="s">
        <v>973</v>
      </c>
    </row>
    <row r="237" spans="1:6" ht="16.5" x14ac:dyDescent="0.15">
      <c r="A237" s="30" t="s">
        <v>1036</v>
      </c>
      <c r="B237" s="30"/>
      <c r="C237" s="31" t="s">
        <v>499</v>
      </c>
      <c r="D237" s="31"/>
      <c r="F237" s="31" t="s">
        <v>976</v>
      </c>
    </row>
    <row r="238" spans="1:6" ht="16.5" x14ac:dyDescent="0.15">
      <c r="A238" s="30" t="s">
        <v>1037</v>
      </c>
      <c r="B238" s="30"/>
      <c r="C238" s="31" t="s">
        <v>920</v>
      </c>
      <c r="D238" s="31"/>
      <c r="F238" s="31" t="s">
        <v>832</v>
      </c>
    </row>
    <row r="239" spans="1:6" ht="16.5" x14ac:dyDescent="0.15">
      <c r="A239" s="30" t="s">
        <v>1038</v>
      </c>
      <c r="B239" s="30"/>
      <c r="C239" s="31" t="s">
        <v>922</v>
      </c>
      <c r="D239" s="31"/>
      <c r="F239" s="31" t="s">
        <v>836</v>
      </c>
    </row>
    <row r="240" spans="1:6" ht="16.5" x14ac:dyDescent="0.15">
      <c r="A240" s="30" t="s">
        <v>447</v>
      </c>
      <c r="B240" s="30"/>
      <c r="C240" s="31" t="s">
        <v>925</v>
      </c>
      <c r="D240" s="31"/>
      <c r="F240" s="31" t="s">
        <v>839</v>
      </c>
    </row>
    <row r="241" spans="1:6" ht="16.5" x14ac:dyDescent="0.15">
      <c r="A241" s="30" t="s">
        <v>453</v>
      </c>
      <c r="B241" s="30"/>
      <c r="C241" s="31" t="s">
        <v>928</v>
      </c>
      <c r="D241" s="31"/>
      <c r="F241" s="31" t="s">
        <v>843</v>
      </c>
    </row>
    <row r="242" spans="1:6" ht="16.5" x14ac:dyDescent="0.15">
      <c r="A242" s="30" t="s">
        <v>1039</v>
      </c>
      <c r="B242" s="30"/>
      <c r="C242" s="31" t="s">
        <v>931</v>
      </c>
      <c r="D242" s="31"/>
      <c r="F242" s="31" t="s">
        <v>381</v>
      </c>
    </row>
    <row r="243" spans="1:6" ht="16.5" x14ac:dyDescent="0.15">
      <c r="A243" s="30" t="s">
        <v>1040</v>
      </c>
      <c r="B243" s="30"/>
      <c r="C243" s="31" t="s">
        <v>934</v>
      </c>
      <c r="D243" s="31"/>
      <c r="F243" s="31" t="s">
        <v>385</v>
      </c>
    </row>
    <row r="244" spans="1:6" ht="16.5" x14ac:dyDescent="0.15">
      <c r="A244" s="30" t="s">
        <v>1041</v>
      </c>
      <c r="B244" s="30"/>
      <c r="C244" s="31" t="s">
        <v>936</v>
      </c>
      <c r="D244" s="31"/>
      <c r="F244" s="31" t="s">
        <v>727</v>
      </c>
    </row>
    <row r="245" spans="1:6" ht="16.5" x14ac:dyDescent="0.15">
      <c r="A245" s="30" t="s">
        <v>1042</v>
      </c>
      <c r="B245" s="30"/>
      <c r="C245" s="31" t="s">
        <v>938</v>
      </c>
      <c r="D245" s="31"/>
      <c r="F245" s="31" t="s">
        <v>854</v>
      </c>
    </row>
    <row r="246" spans="1:6" ht="16.5" x14ac:dyDescent="0.15">
      <c r="A246" s="30" t="s">
        <v>1043</v>
      </c>
      <c r="B246" s="30"/>
      <c r="C246" s="31" t="s">
        <v>1044</v>
      </c>
      <c r="D246" s="31"/>
      <c r="F246" s="31" t="s">
        <v>394</v>
      </c>
    </row>
    <row r="247" spans="1:6" ht="16.5" x14ac:dyDescent="0.15">
      <c r="A247" s="30" t="s">
        <v>1045</v>
      </c>
      <c r="B247" s="30"/>
      <c r="C247" s="31" t="s">
        <v>939</v>
      </c>
      <c r="D247" s="31"/>
      <c r="F247" s="31" t="s">
        <v>398</v>
      </c>
    </row>
    <row r="248" spans="1:6" ht="16.5" x14ac:dyDescent="0.15">
      <c r="A248" s="30" t="s">
        <v>1046</v>
      </c>
      <c r="B248" s="30"/>
      <c r="C248" s="31" t="s">
        <v>1047</v>
      </c>
      <c r="D248" s="31"/>
      <c r="F248" s="31" t="s">
        <v>866</v>
      </c>
    </row>
    <row r="249" spans="1:6" ht="16.5" x14ac:dyDescent="0.15">
      <c r="A249" s="30" t="s">
        <v>1048</v>
      </c>
      <c r="B249" s="30"/>
      <c r="C249" s="31" t="s">
        <v>509</v>
      </c>
      <c r="D249" s="31"/>
      <c r="F249" s="31" t="s">
        <v>879</v>
      </c>
    </row>
    <row r="250" spans="1:6" ht="16.5" x14ac:dyDescent="0.15">
      <c r="A250" s="30" t="s">
        <v>1049</v>
      </c>
      <c r="B250" s="30"/>
      <c r="C250" s="31" t="s">
        <v>943</v>
      </c>
      <c r="D250" s="31"/>
      <c r="F250" s="31" t="s">
        <v>882</v>
      </c>
    </row>
    <row r="251" spans="1:6" ht="16.5" x14ac:dyDescent="0.15">
      <c r="A251" s="30" t="s">
        <v>1050</v>
      </c>
      <c r="B251" s="30"/>
      <c r="C251" s="31" t="s">
        <v>1051</v>
      </c>
      <c r="D251" s="31"/>
      <c r="F251" s="31" t="s">
        <v>884</v>
      </c>
    </row>
    <row r="252" spans="1:6" ht="16.5" x14ac:dyDescent="0.15">
      <c r="A252" s="30" t="s">
        <v>236</v>
      </c>
      <c r="B252" s="30"/>
      <c r="C252" s="31" t="s">
        <v>946</v>
      </c>
      <c r="D252" s="31"/>
      <c r="F252" s="31" t="s">
        <v>428</v>
      </c>
    </row>
    <row r="253" spans="1:6" ht="16.5" x14ac:dyDescent="0.15">
      <c r="A253" s="30" t="s">
        <v>1052</v>
      </c>
      <c r="B253" s="30"/>
      <c r="C253" s="31" t="s">
        <v>1053</v>
      </c>
      <c r="D253" s="31"/>
      <c r="F253" s="31" t="s">
        <v>889</v>
      </c>
    </row>
    <row r="254" spans="1:6" ht="16.5" x14ac:dyDescent="0.15">
      <c r="A254" s="30" t="s">
        <v>1054</v>
      </c>
      <c r="B254" s="30"/>
      <c r="C254" s="31" t="s">
        <v>949</v>
      </c>
      <c r="D254" s="31"/>
      <c r="F254" s="31" t="s">
        <v>442</v>
      </c>
    </row>
    <row r="255" spans="1:6" ht="16.5" x14ac:dyDescent="0.15">
      <c r="A255" s="30" t="s">
        <v>1055</v>
      </c>
      <c r="B255" s="30"/>
      <c r="C255" s="31" t="s">
        <v>952</v>
      </c>
      <c r="D255" s="31"/>
      <c r="F255" s="31" t="s">
        <v>894</v>
      </c>
    </row>
    <row r="256" spans="1:6" ht="16.5" x14ac:dyDescent="0.15">
      <c r="A256" s="30" t="s">
        <v>1056</v>
      </c>
      <c r="B256" s="30"/>
      <c r="C256" s="31" t="s">
        <v>955</v>
      </c>
      <c r="D256" s="31"/>
      <c r="F256" s="31" t="s">
        <v>896</v>
      </c>
    </row>
    <row r="257" spans="1:6" ht="16.5" x14ac:dyDescent="0.15">
      <c r="A257" s="30" t="s">
        <v>1057</v>
      </c>
      <c r="B257" s="30"/>
      <c r="C257" s="31" t="s">
        <v>958</v>
      </c>
      <c r="D257" s="31"/>
      <c r="F257" s="31" t="s">
        <v>899</v>
      </c>
    </row>
    <row r="258" spans="1:6" ht="16.5" x14ac:dyDescent="0.15">
      <c r="A258" s="30" t="s">
        <v>457</v>
      </c>
      <c r="B258" s="30"/>
      <c r="C258" s="31" t="s">
        <v>848</v>
      </c>
      <c r="D258" s="31"/>
      <c r="F258" s="31" t="s">
        <v>902</v>
      </c>
    </row>
    <row r="259" spans="1:6" ht="16.5" x14ac:dyDescent="0.15">
      <c r="A259" s="30" t="s">
        <v>1058</v>
      </c>
      <c r="B259" s="30"/>
      <c r="C259" s="31" t="s">
        <v>963</v>
      </c>
      <c r="D259" s="31"/>
      <c r="F259" s="31" t="s">
        <v>904</v>
      </c>
    </row>
    <row r="260" spans="1:6" ht="16.5" x14ac:dyDescent="0.15">
      <c r="A260" s="30" t="s">
        <v>1059</v>
      </c>
      <c r="B260" s="30"/>
      <c r="C260" s="31" t="s">
        <v>1060</v>
      </c>
      <c r="D260" s="31"/>
      <c r="F260" s="31" t="s">
        <v>907</v>
      </c>
    </row>
    <row r="261" spans="1:6" ht="16.5" x14ac:dyDescent="0.15">
      <c r="A261" s="30" t="s">
        <v>1061</v>
      </c>
      <c r="B261" s="30"/>
      <c r="C261" s="31" t="s">
        <v>966</v>
      </c>
      <c r="D261" s="31"/>
      <c r="F261" s="31" t="s">
        <v>911</v>
      </c>
    </row>
    <row r="262" spans="1:6" ht="16.5" x14ac:dyDescent="0.15">
      <c r="A262" s="30" t="s">
        <v>1062</v>
      </c>
      <c r="B262" s="30"/>
      <c r="C262" s="31" t="s">
        <v>968</v>
      </c>
      <c r="D262" s="31"/>
      <c r="F262" s="31" t="s">
        <v>914</v>
      </c>
    </row>
    <row r="263" spans="1:6" ht="16.5" x14ac:dyDescent="0.15">
      <c r="A263" s="30" t="s">
        <v>1063</v>
      </c>
      <c r="B263" s="30"/>
      <c r="C263" s="31" t="s">
        <v>971</v>
      </c>
      <c r="D263" s="31"/>
      <c r="F263" s="31" t="s">
        <v>916</v>
      </c>
    </row>
    <row r="264" spans="1:6" ht="16.5" x14ac:dyDescent="0.15">
      <c r="A264" s="30" t="s">
        <v>1064</v>
      </c>
      <c r="B264" s="30"/>
      <c r="C264" s="31" t="s">
        <v>974</v>
      </c>
      <c r="D264" s="31"/>
      <c r="F264" s="31" t="s">
        <v>919</v>
      </c>
    </row>
    <row r="265" spans="1:6" ht="16.5" x14ac:dyDescent="0.15">
      <c r="A265" s="30" t="s">
        <v>1065</v>
      </c>
      <c r="B265" s="30"/>
      <c r="C265" s="31" t="s">
        <v>977</v>
      </c>
      <c r="D265" s="31"/>
      <c r="F265" s="31" t="s">
        <v>921</v>
      </c>
    </row>
    <row r="266" spans="1:6" ht="16.5" x14ac:dyDescent="0.15">
      <c r="A266" s="30" t="s">
        <v>1066</v>
      </c>
      <c r="B266" s="30"/>
      <c r="C266" s="31" t="s">
        <v>1067</v>
      </c>
      <c r="D266" s="31"/>
      <c r="F266" s="31" t="s">
        <v>316</v>
      </c>
    </row>
    <row r="267" spans="1:6" ht="16.5" x14ac:dyDescent="0.15">
      <c r="A267" s="30" t="s">
        <v>1068</v>
      </c>
      <c r="B267" s="30"/>
      <c r="C267" s="31" t="s">
        <v>852</v>
      </c>
      <c r="D267" s="31"/>
      <c r="F267" s="31" t="s">
        <v>558</v>
      </c>
    </row>
    <row r="268" spans="1:6" ht="16.5" x14ac:dyDescent="0.15">
      <c r="A268" s="30" t="s">
        <v>1069</v>
      </c>
      <c r="B268" s="30"/>
      <c r="C268" s="31" t="s">
        <v>855</v>
      </c>
      <c r="D268" s="31"/>
      <c r="F268" s="31" t="s">
        <v>324</v>
      </c>
    </row>
    <row r="269" spans="1:6" ht="16.5" x14ac:dyDescent="0.15">
      <c r="A269" s="30" t="s">
        <v>1070</v>
      </c>
      <c r="B269" s="30"/>
      <c r="C269" s="31" t="s">
        <v>515</v>
      </c>
      <c r="D269" s="31"/>
      <c r="F269" s="31" t="s">
        <v>563</v>
      </c>
    </row>
    <row r="270" spans="1:6" ht="16.5" x14ac:dyDescent="0.15">
      <c r="A270" s="30" t="s">
        <v>1071</v>
      </c>
      <c r="B270" s="30"/>
      <c r="C270" s="31" t="s">
        <v>1072</v>
      </c>
      <c r="D270" s="31"/>
      <c r="F270" s="31" t="s">
        <v>328</v>
      </c>
    </row>
    <row r="271" spans="1:6" ht="16.5" x14ac:dyDescent="0.15">
      <c r="A271" s="30" t="s">
        <v>1073</v>
      </c>
      <c r="B271" s="30"/>
      <c r="C271" s="31" t="s">
        <v>858</v>
      </c>
      <c r="D271" s="31"/>
      <c r="F271" s="31" t="s">
        <v>570</v>
      </c>
    </row>
    <row r="272" spans="1:6" ht="16.5" x14ac:dyDescent="0.15">
      <c r="A272" s="30" t="s">
        <v>1074</v>
      </c>
      <c r="B272" s="30"/>
      <c r="C272" s="31" t="s">
        <v>860</v>
      </c>
      <c r="D272" s="31"/>
      <c r="F272" s="31" t="s">
        <v>576</v>
      </c>
    </row>
    <row r="273" spans="1:6" ht="16.5" x14ac:dyDescent="0.15">
      <c r="A273" s="30" t="s">
        <v>1075</v>
      </c>
      <c r="B273" s="30"/>
      <c r="C273" s="31" t="s">
        <v>862</v>
      </c>
      <c r="D273" s="31"/>
      <c r="F273" s="31" t="s">
        <v>581</v>
      </c>
    </row>
    <row r="274" spans="1:6" ht="16.5" x14ac:dyDescent="0.15">
      <c r="A274" s="30" t="s">
        <v>1076</v>
      </c>
      <c r="B274" s="30"/>
      <c r="C274" s="31" t="s">
        <v>858</v>
      </c>
      <c r="D274" s="31"/>
      <c r="F274" s="31" t="s">
        <v>452</v>
      </c>
    </row>
    <row r="275" spans="1:6" ht="16.5" x14ac:dyDescent="0.15">
      <c r="A275" s="30" t="s">
        <v>1077</v>
      </c>
      <c r="B275" s="30"/>
      <c r="C275" s="31" t="s">
        <v>865</v>
      </c>
      <c r="D275" s="31"/>
      <c r="F275" s="31" t="s">
        <v>588</v>
      </c>
    </row>
    <row r="276" spans="1:6" ht="16.5" x14ac:dyDescent="0.15">
      <c r="A276" s="30" t="s">
        <v>245</v>
      </c>
      <c r="B276" s="30"/>
      <c r="C276" s="31" t="s">
        <v>867</v>
      </c>
      <c r="D276" s="31"/>
      <c r="F276" s="31" t="s">
        <v>258</v>
      </c>
    </row>
    <row r="277" spans="1:6" ht="16.5" x14ac:dyDescent="0.15">
      <c r="A277" s="30" t="s">
        <v>1078</v>
      </c>
      <c r="B277" s="30"/>
      <c r="C277" s="31" t="s">
        <v>870</v>
      </c>
      <c r="D277" s="31"/>
      <c r="F277" s="31" t="s">
        <v>594</v>
      </c>
    </row>
    <row r="278" spans="1:6" ht="16.5" x14ac:dyDescent="0.15">
      <c r="A278" s="30" t="s">
        <v>1079</v>
      </c>
      <c r="B278" s="30"/>
      <c r="C278" s="31" t="s">
        <v>872</v>
      </c>
      <c r="D278" s="31"/>
      <c r="F278" s="31" t="s">
        <v>348</v>
      </c>
    </row>
    <row r="279" spans="1:6" ht="16.5" x14ac:dyDescent="0.15">
      <c r="A279" s="30" t="s">
        <v>1080</v>
      </c>
      <c r="B279" s="30"/>
      <c r="C279" s="31" t="s">
        <v>875</v>
      </c>
      <c r="D279" s="31"/>
      <c r="F279" s="31" t="s">
        <v>598</v>
      </c>
    </row>
    <row r="280" spans="1:6" ht="16.5" x14ac:dyDescent="0.15">
      <c r="A280" s="30" t="s">
        <v>1081</v>
      </c>
      <c r="B280" s="30"/>
      <c r="C280" s="31" t="s">
        <v>877</v>
      </c>
      <c r="D280" s="31"/>
      <c r="F280" s="31" t="s">
        <v>600</v>
      </c>
    </row>
    <row r="281" spans="1:6" ht="16.5" x14ac:dyDescent="0.15">
      <c r="A281" s="30" t="s">
        <v>1082</v>
      </c>
      <c r="B281" s="30"/>
      <c r="C281" s="31" t="s">
        <v>880</v>
      </c>
      <c r="D281" s="31"/>
      <c r="F281" s="31" t="s">
        <v>603</v>
      </c>
    </row>
    <row r="282" spans="1:6" ht="16.5" x14ac:dyDescent="0.15">
      <c r="A282" s="30" t="s">
        <v>1083</v>
      </c>
      <c r="B282" s="30"/>
      <c r="C282" s="31" t="s">
        <v>883</v>
      </c>
      <c r="D282" s="31"/>
      <c r="F282" s="31" t="s">
        <v>606</v>
      </c>
    </row>
    <row r="283" spans="1:6" ht="16.5" x14ac:dyDescent="0.15">
      <c r="A283" s="30" t="s">
        <v>1084</v>
      </c>
      <c r="B283" s="30"/>
      <c r="C283" s="31" t="s">
        <v>885</v>
      </c>
      <c r="D283" s="31"/>
      <c r="F283" s="31" t="s">
        <v>609</v>
      </c>
    </row>
    <row r="284" spans="1:6" ht="16.5" x14ac:dyDescent="0.15">
      <c r="A284" s="30" t="s">
        <v>1085</v>
      </c>
      <c r="B284" s="30"/>
      <c r="C284" s="31" t="s">
        <v>887</v>
      </c>
      <c r="D284" s="31"/>
      <c r="F284" s="31" t="s">
        <v>612</v>
      </c>
    </row>
    <row r="285" spans="1:6" ht="16.5" x14ac:dyDescent="0.15">
      <c r="A285" s="30" t="s">
        <v>1084</v>
      </c>
      <c r="B285" s="30"/>
      <c r="C285" s="31" t="s">
        <v>890</v>
      </c>
      <c r="D285" s="31"/>
      <c r="F285" s="31" t="s">
        <v>352</v>
      </c>
    </row>
    <row r="286" spans="1:6" ht="16.5" x14ac:dyDescent="0.15">
      <c r="A286" s="30" t="s">
        <v>1086</v>
      </c>
      <c r="B286" s="30"/>
      <c r="C286" s="31" t="s">
        <v>892</v>
      </c>
      <c r="D286" s="31"/>
      <c r="F286" s="31" t="s">
        <v>357</v>
      </c>
    </row>
    <row r="287" spans="1:6" ht="16.5" x14ac:dyDescent="0.15">
      <c r="A287" s="30" t="s">
        <v>1087</v>
      </c>
      <c r="B287" s="30"/>
      <c r="C287" s="31" t="s">
        <v>525</v>
      </c>
      <c r="D287" s="31"/>
      <c r="F287" s="31" t="s">
        <v>177</v>
      </c>
    </row>
    <row r="288" spans="1:6" ht="16.5" x14ac:dyDescent="0.15">
      <c r="A288" s="30" t="s">
        <v>1088</v>
      </c>
      <c r="B288" s="30"/>
      <c r="C288" s="31" t="s">
        <v>1089</v>
      </c>
      <c r="D288" s="31"/>
      <c r="F288" s="31" t="s">
        <v>182</v>
      </c>
    </row>
    <row r="289" spans="1:6" ht="16.5" x14ac:dyDescent="0.15">
      <c r="A289" s="30" t="s">
        <v>461</v>
      </c>
      <c r="B289" s="30"/>
      <c r="C289" s="31" t="s">
        <v>897</v>
      </c>
      <c r="D289" s="31"/>
      <c r="F289" s="31" t="s">
        <v>191</v>
      </c>
    </row>
    <row r="290" spans="1:6" ht="16.5" x14ac:dyDescent="0.15">
      <c r="A290" s="30" t="s">
        <v>466</v>
      </c>
      <c r="B290" s="30"/>
      <c r="C290" s="31" t="s">
        <v>1090</v>
      </c>
      <c r="D290" s="31"/>
      <c r="F290" s="31" t="s">
        <v>194</v>
      </c>
    </row>
    <row r="291" spans="1:6" ht="16.5" x14ac:dyDescent="0.15">
      <c r="A291" s="30" t="s">
        <v>1091</v>
      </c>
      <c r="B291" s="30"/>
      <c r="C291" s="31" t="s">
        <v>900</v>
      </c>
      <c r="D291" s="31"/>
      <c r="F291" s="31" t="s">
        <v>201</v>
      </c>
    </row>
    <row r="292" spans="1:6" ht="16.5" x14ac:dyDescent="0.15">
      <c r="A292" s="30" t="s">
        <v>1092</v>
      </c>
      <c r="B292" s="30"/>
      <c r="C292" s="31" t="s">
        <v>1093</v>
      </c>
      <c r="D292" s="31"/>
      <c r="F292" s="31" t="s">
        <v>208</v>
      </c>
    </row>
    <row r="293" spans="1:6" ht="16.5" x14ac:dyDescent="0.15">
      <c r="A293" s="30" t="s">
        <v>1094</v>
      </c>
      <c r="B293" s="30"/>
      <c r="C293" s="31" t="s">
        <v>529</v>
      </c>
      <c r="D293" s="31"/>
      <c r="F293" s="31" t="s">
        <v>219</v>
      </c>
    </row>
    <row r="294" spans="1:6" ht="16.5" x14ac:dyDescent="0.15">
      <c r="A294" s="30" t="s">
        <v>1095</v>
      </c>
      <c r="B294" s="30"/>
      <c r="C294" s="31" t="s">
        <v>531</v>
      </c>
      <c r="D294" s="31"/>
      <c r="F294" s="31" t="s">
        <v>222</v>
      </c>
    </row>
    <row r="295" spans="1:6" ht="16.5" x14ac:dyDescent="0.15">
      <c r="A295" s="30" t="s">
        <v>487</v>
      </c>
      <c r="B295" s="30"/>
      <c r="C295" s="31" t="s">
        <v>1096</v>
      </c>
      <c r="D295" s="31"/>
      <c r="F295" s="31" t="s">
        <v>231</v>
      </c>
    </row>
    <row r="296" spans="1:6" ht="16.5" x14ac:dyDescent="0.15">
      <c r="A296" s="30" t="s">
        <v>1097</v>
      </c>
      <c r="B296" s="30"/>
      <c r="C296" s="31" t="s">
        <v>1098</v>
      </c>
      <c r="D296" s="31"/>
      <c r="F296" s="31" t="s">
        <v>237</v>
      </c>
    </row>
    <row r="297" spans="1:6" ht="16.5" x14ac:dyDescent="0.15">
      <c r="A297" s="30" t="s">
        <v>491</v>
      </c>
      <c r="B297" s="30"/>
      <c r="C297" s="31" t="s">
        <v>1099</v>
      </c>
      <c r="D297" s="31"/>
      <c r="F297" s="31" t="s">
        <v>246</v>
      </c>
    </row>
    <row r="298" spans="1:6" ht="16.5" x14ac:dyDescent="0.15">
      <c r="A298" s="30" t="s">
        <v>1100</v>
      </c>
      <c r="B298" s="30"/>
      <c r="C298" s="31" t="s">
        <v>534</v>
      </c>
      <c r="D298" s="31"/>
      <c r="F298" s="31" t="s">
        <v>249</v>
      </c>
    </row>
    <row r="299" spans="1:6" ht="16.5" x14ac:dyDescent="0.15">
      <c r="A299" s="30" t="s">
        <v>1101</v>
      </c>
      <c r="B299" s="30"/>
      <c r="C299" s="31" t="s">
        <v>833</v>
      </c>
      <c r="D299" s="31"/>
      <c r="F299" s="31" t="s">
        <v>255</v>
      </c>
    </row>
    <row r="300" spans="1:6" ht="16.5" x14ac:dyDescent="0.15">
      <c r="A300" s="30" t="s">
        <v>1102</v>
      </c>
      <c r="B300" s="30"/>
      <c r="C300" s="31" t="s">
        <v>837</v>
      </c>
      <c r="D300" s="31"/>
      <c r="F300" s="31" t="s">
        <v>263</v>
      </c>
    </row>
    <row r="301" spans="1:6" ht="16.5" x14ac:dyDescent="0.15">
      <c r="A301" s="30" t="s">
        <v>1103</v>
      </c>
      <c r="B301" s="30"/>
      <c r="C301" s="31" t="s">
        <v>1104</v>
      </c>
      <c r="D301" s="31"/>
      <c r="F301" s="31" t="s">
        <v>267</v>
      </c>
    </row>
    <row r="302" spans="1:6" ht="16.5" x14ac:dyDescent="0.15">
      <c r="A302" s="30" t="s">
        <v>1103</v>
      </c>
      <c r="B302" s="30"/>
      <c r="C302" s="31" t="s">
        <v>840</v>
      </c>
      <c r="D302" s="31"/>
      <c r="F302" s="31" t="s">
        <v>274</v>
      </c>
    </row>
    <row r="303" spans="1:6" ht="16.5" x14ac:dyDescent="0.15">
      <c r="A303" s="30" t="s">
        <v>1105</v>
      </c>
      <c r="B303" s="30"/>
      <c r="C303" s="31" t="s">
        <v>1106</v>
      </c>
      <c r="D303" s="31"/>
      <c r="F303" s="31" t="s">
        <v>277</v>
      </c>
    </row>
    <row r="304" spans="1:6" ht="16.5" x14ac:dyDescent="0.15">
      <c r="A304" s="30" t="s">
        <v>1107</v>
      </c>
      <c r="B304" s="30"/>
      <c r="C304" s="31" t="s">
        <v>844</v>
      </c>
      <c r="D304" s="31"/>
      <c r="F304" s="31" t="s">
        <v>511</v>
      </c>
    </row>
    <row r="305" spans="1:318" ht="16.5" x14ac:dyDescent="0.15">
      <c r="A305" s="30" t="s">
        <v>1108</v>
      </c>
      <c r="B305" s="30"/>
      <c r="C305" s="31" t="s">
        <v>1109</v>
      </c>
      <c r="D305" s="31"/>
      <c r="F305" s="31" t="s">
        <v>283</v>
      </c>
    </row>
    <row r="306" spans="1:318" ht="16.5" x14ac:dyDescent="0.15">
      <c r="A306" s="30" t="s">
        <v>1110</v>
      </c>
      <c r="B306" s="30"/>
      <c r="C306" s="31" t="s">
        <v>542</v>
      </c>
      <c r="D306" s="31"/>
      <c r="F306" s="31" t="s">
        <v>287</v>
      </c>
    </row>
    <row r="307" spans="1:318" ht="16.5" x14ac:dyDescent="0.15">
      <c r="A307" s="30" t="s">
        <v>1111</v>
      </c>
      <c r="B307" s="30"/>
      <c r="C307" s="31" t="s">
        <v>546</v>
      </c>
      <c r="D307" s="31"/>
      <c r="F307" s="31" t="s">
        <v>292</v>
      </c>
    </row>
    <row r="308" spans="1:318" ht="16.5" x14ac:dyDescent="0.15">
      <c r="A308" s="30" t="s">
        <v>1112</v>
      </c>
      <c r="B308" s="30"/>
      <c r="C308" s="31" t="s">
        <v>846</v>
      </c>
      <c r="D308" s="31"/>
      <c r="F308" s="31" t="s">
        <v>297</v>
      </c>
    </row>
    <row r="309" spans="1:318" ht="16.5" x14ac:dyDescent="0.15">
      <c r="A309" s="30" t="s">
        <v>1113</v>
      </c>
      <c r="B309" s="30"/>
      <c r="C309" s="31" t="s">
        <v>848</v>
      </c>
      <c r="D309" s="31"/>
      <c r="F309" s="31" t="s">
        <v>301</v>
      </c>
    </row>
    <row r="310" spans="1:318" ht="16.5" x14ac:dyDescent="0.15">
      <c r="A310" s="30" t="s">
        <v>1114</v>
      </c>
      <c r="B310" s="30"/>
      <c r="C310" s="31" t="s">
        <v>1115</v>
      </c>
      <c r="D310" s="31"/>
      <c r="F310" s="31" t="s">
        <v>305</v>
      </c>
    </row>
    <row r="311" spans="1:318" ht="16.5" x14ac:dyDescent="0.15">
      <c r="A311" s="30" t="s">
        <v>1116</v>
      </c>
      <c r="B311" s="30"/>
      <c r="C311" s="31" t="s">
        <v>1117</v>
      </c>
      <c r="D311" s="31"/>
      <c r="F311" s="31" t="s">
        <v>725</v>
      </c>
    </row>
    <row r="312" spans="1:318" ht="16.5" x14ac:dyDescent="0.15">
      <c r="A312" s="30" t="s">
        <v>1118</v>
      </c>
      <c r="B312" s="30"/>
      <c r="C312" s="31" t="s">
        <v>850</v>
      </c>
      <c r="D312" s="31"/>
      <c r="F312" s="31" t="s">
        <v>727</v>
      </c>
    </row>
    <row r="313" spans="1:318" ht="16.5" x14ac:dyDescent="0.15">
      <c r="A313" s="30" t="s">
        <v>1119</v>
      </c>
      <c r="B313" s="30"/>
      <c r="C313" s="31" t="s">
        <v>1120</v>
      </c>
      <c r="D313" s="31"/>
      <c r="F313" s="31" t="s">
        <v>317</v>
      </c>
      <c r="G313" s="31"/>
      <c r="H313" s="31"/>
      <c r="I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  <c r="BS313" s="31"/>
      <c r="BT313" s="31"/>
      <c r="BU313" s="31"/>
      <c r="BV313" s="31"/>
      <c r="BW313" s="31"/>
      <c r="BX313" s="31"/>
      <c r="BY313" s="31"/>
      <c r="BZ313" s="31"/>
      <c r="CA313" s="31"/>
      <c r="CB313" s="31"/>
      <c r="CC313" s="31"/>
      <c r="CD313" s="31"/>
      <c r="CE313" s="31"/>
      <c r="CF313" s="31"/>
      <c r="CG313" s="31"/>
      <c r="CH313" s="31"/>
      <c r="CI313" s="31"/>
      <c r="CJ313" s="31"/>
      <c r="CK313" s="31"/>
      <c r="CL313" s="31"/>
      <c r="CM313" s="31"/>
      <c r="CN313" s="31"/>
      <c r="CO313" s="31"/>
      <c r="CP313" s="31"/>
      <c r="CQ313" s="31"/>
      <c r="CR313" s="31"/>
      <c r="CS313" s="31"/>
      <c r="CT313" s="31"/>
      <c r="CU313" s="31"/>
      <c r="CV313" s="31"/>
      <c r="CW313" s="31"/>
      <c r="CX313" s="31"/>
      <c r="CY313" s="31"/>
      <c r="CZ313" s="31"/>
      <c r="DA313" s="31"/>
      <c r="DB313" s="31"/>
      <c r="DC313" s="31"/>
      <c r="DD313" s="31"/>
      <c r="DE313" s="31"/>
      <c r="DF313" s="31"/>
      <c r="DG313" s="31"/>
      <c r="DH313" s="31"/>
      <c r="DI313" s="31"/>
      <c r="DJ313" s="31"/>
      <c r="DK313" s="31"/>
      <c r="DL313" s="31"/>
      <c r="DM313" s="31"/>
      <c r="DN313" s="31"/>
      <c r="DO313" s="31"/>
      <c r="DP313" s="31"/>
      <c r="DQ313" s="31"/>
      <c r="DR313" s="31"/>
      <c r="DS313" s="31"/>
      <c r="DT313" s="31"/>
      <c r="DU313" s="31"/>
      <c r="DV313" s="31"/>
      <c r="DW313" s="31"/>
      <c r="DX313" s="31"/>
      <c r="DY313" s="31"/>
      <c r="DZ313" s="31"/>
      <c r="EA313" s="31"/>
      <c r="EB313" s="31"/>
      <c r="EC313" s="31"/>
      <c r="ED313" s="31"/>
      <c r="EE313" s="31"/>
      <c r="EF313" s="31"/>
      <c r="EG313" s="31"/>
      <c r="EH313" s="31"/>
      <c r="EI313" s="31"/>
      <c r="EJ313" s="31"/>
      <c r="EK313" s="31"/>
      <c r="EL313" s="31"/>
      <c r="EM313" s="31"/>
      <c r="EN313" s="31"/>
      <c r="EO313" s="31"/>
      <c r="EP313" s="31"/>
      <c r="EQ313" s="31"/>
      <c r="ER313" s="31"/>
      <c r="ES313" s="31"/>
      <c r="ET313" s="31"/>
      <c r="EU313" s="31"/>
      <c r="EV313" s="31"/>
      <c r="EW313" s="31"/>
      <c r="EX313" s="31"/>
      <c r="EY313" s="31"/>
      <c r="EZ313" s="31"/>
      <c r="FA313" s="31"/>
      <c r="FB313" s="31"/>
      <c r="FC313" s="31"/>
      <c r="FD313" s="31"/>
      <c r="FE313" s="31"/>
      <c r="FF313" s="31"/>
      <c r="FG313" s="31"/>
      <c r="FH313" s="31"/>
      <c r="FI313" s="31"/>
      <c r="FJ313" s="31"/>
      <c r="FK313" s="31"/>
      <c r="FL313" s="31"/>
      <c r="FM313" s="31"/>
      <c r="FN313" s="31"/>
      <c r="FO313" s="31"/>
      <c r="FP313" s="31"/>
      <c r="FQ313" s="31"/>
      <c r="FR313" s="31"/>
      <c r="FS313" s="31"/>
      <c r="FT313" s="31"/>
      <c r="FU313" s="31"/>
      <c r="FV313" s="31"/>
      <c r="FW313" s="31"/>
      <c r="FX313" s="31"/>
      <c r="FY313" s="31"/>
      <c r="FZ313" s="31"/>
      <c r="GA313" s="31"/>
      <c r="GB313" s="31"/>
      <c r="GC313" s="31"/>
      <c r="GD313" s="31"/>
      <c r="GE313" s="31"/>
      <c r="GF313" s="31"/>
      <c r="GG313" s="31"/>
      <c r="GH313" s="31"/>
      <c r="GI313" s="31"/>
      <c r="GJ313" s="31"/>
      <c r="GK313" s="31"/>
      <c r="GL313" s="31"/>
      <c r="GM313" s="31"/>
      <c r="GN313" s="31"/>
      <c r="GO313" s="31"/>
      <c r="GP313" s="31"/>
      <c r="GQ313" s="31"/>
      <c r="GR313" s="31"/>
      <c r="GS313" s="31"/>
      <c r="GT313" s="31"/>
      <c r="GU313" s="31"/>
      <c r="GV313" s="31"/>
      <c r="GW313" s="31"/>
      <c r="GX313" s="31"/>
      <c r="GY313" s="31"/>
      <c r="GZ313" s="31"/>
      <c r="HA313" s="31"/>
      <c r="HB313" s="31"/>
      <c r="HC313" s="31"/>
      <c r="HD313" s="31"/>
      <c r="HE313" s="31"/>
      <c r="HF313" s="31"/>
      <c r="HG313" s="31"/>
      <c r="HH313" s="31"/>
      <c r="HI313" s="31"/>
      <c r="HJ313" s="31"/>
      <c r="HK313" s="31"/>
      <c r="HL313" s="31"/>
      <c r="HM313" s="31"/>
      <c r="HN313" s="31"/>
      <c r="HO313" s="31"/>
      <c r="HP313" s="31"/>
      <c r="HQ313" s="31"/>
      <c r="HR313" s="31"/>
      <c r="HS313" s="31"/>
      <c r="HT313" s="31"/>
      <c r="HU313" s="31"/>
      <c r="HV313" s="31"/>
      <c r="HW313" s="31"/>
      <c r="HX313" s="31"/>
      <c r="HY313" s="31"/>
      <c r="HZ313" s="31"/>
      <c r="IA313" s="31"/>
      <c r="IB313" s="31"/>
      <c r="IC313" s="31"/>
      <c r="ID313" s="31"/>
      <c r="IE313" s="31"/>
      <c r="IF313" s="31"/>
      <c r="IG313" s="31"/>
      <c r="IH313" s="31"/>
      <c r="II313" s="31"/>
      <c r="IJ313" s="31"/>
      <c r="IK313" s="31"/>
      <c r="IL313" s="31"/>
      <c r="IM313" s="31"/>
      <c r="IN313" s="31"/>
      <c r="IO313" s="31"/>
      <c r="IP313" s="31"/>
      <c r="IQ313" s="31"/>
      <c r="IR313" s="31"/>
      <c r="IS313" s="31"/>
      <c r="IT313" s="31"/>
      <c r="IU313" s="31"/>
      <c r="IV313" s="31"/>
      <c r="IW313" s="31"/>
      <c r="IX313" s="31"/>
      <c r="IY313" s="31"/>
      <c r="IZ313" s="31"/>
      <c r="JA313" s="31"/>
      <c r="JB313" s="31"/>
      <c r="JC313" s="31"/>
      <c r="JD313" s="31"/>
      <c r="JE313" s="31"/>
      <c r="JF313" s="31"/>
      <c r="JG313" s="31"/>
      <c r="JH313" s="31"/>
      <c r="JI313" s="31"/>
      <c r="JJ313" s="31"/>
      <c r="JK313" s="31"/>
      <c r="JL313" s="31"/>
      <c r="JM313" s="31"/>
      <c r="JN313" s="31"/>
      <c r="JO313" s="31"/>
      <c r="JP313" s="31"/>
      <c r="JQ313" s="31"/>
      <c r="JR313" s="31"/>
      <c r="JS313" s="31"/>
      <c r="JT313" s="31"/>
      <c r="JU313" s="31"/>
      <c r="JV313" s="31"/>
      <c r="JW313" s="31"/>
      <c r="JX313" s="31"/>
      <c r="JY313" s="31"/>
      <c r="JZ313" s="31"/>
      <c r="KA313" s="31"/>
      <c r="KB313" s="31"/>
      <c r="KC313" s="31"/>
      <c r="KD313" s="31"/>
      <c r="KE313" s="31"/>
      <c r="KF313" s="31"/>
      <c r="KG313" s="31"/>
      <c r="KH313" s="31"/>
      <c r="KI313" s="31"/>
      <c r="KJ313" s="31"/>
      <c r="KK313" s="31"/>
      <c r="KL313" s="31"/>
      <c r="KM313" s="31"/>
      <c r="KN313" s="31"/>
      <c r="KO313" s="31"/>
      <c r="KP313" s="31"/>
      <c r="KQ313" s="31"/>
      <c r="KR313" s="31"/>
      <c r="KS313" s="31"/>
      <c r="KT313" s="31"/>
      <c r="KU313" s="31"/>
      <c r="KV313" s="31"/>
      <c r="KW313" s="31"/>
      <c r="KX313" s="31"/>
      <c r="KY313" s="31"/>
      <c r="KZ313" s="31"/>
      <c r="LA313" s="31"/>
      <c r="LB313" s="31"/>
      <c r="LC313" s="31"/>
      <c r="LD313" s="31"/>
      <c r="LE313" s="31"/>
      <c r="LF313" s="31"/>
    </row>
    <row r="314" spans="1:318" ht="16.5" x14ac:dyDescent="0.15">
      <c r="A314" s="30" t="s">
        <v>1121</v>
      </c>
      <c r="B314" s="30"/>
      <c r="C314" s="30"/>
      <c r="D314" s="30"/>
      <c r="F314" s="31" t="s">
        <v>207</v>
      </c>
    </row>
    <row r="315" spans="1:318" ht="16.5" x14ac:dyDescent="0.15">
      <c r="A315" s="30" t="s">
        <v>1122</v>
      </c>
      <c r="B315" s="30"/>
      <c r="C315" s="30"/>
      <c r="D315" s="30"/>
      <c r="F315" s="31" t="s">
        <v>326</v>
      </c>
    </row>
    <row r="316" spans="1:318" ht="16.5" x14ac:dyDescent="0.15">
      <c r="A316" s="30" t="s">
        <v>1123</v>
      </c>
      <c r="B316" s="30"/>
      <c r="C316" s="30"/>
      <c r="D316" s="30"/>
      <c r="F316" s="31" t="s">
        <v>329</v>
      </c>
    </row>
    <row r="317" spans="1:318" ht="16.5" x14ac:dyDescent="0.15">
      <c r="A317" s="30" t="s">
        <v>1124</v>
      </c>
      <c r="B317" s="30"/>
      <c r="C317" s="30"/>
      <c r="D317" s="30"/>
      <c r="F317" s="31" t="s">
        <v>218</v>
      </c>
    </row>
    <row r="318" spans="1:318" ht="16.5" x14ac:dyDescent="0.15">
      <c r="A318" s="30" t="s">
        <v>1125</v>
      </c>
      <c r="B318" s="30"/>
      <c r="C318" s="30"/>
      <c r="D318" s="30"/>
      <c r="F318" s="31" t="s">
        <v>221</v>
      </c>
    </row>
    <row r="319" spans="1:318" ht="16.5" x14ac:dyDescent="0.15">
      <c r="A319" s="30" t="s">
        <v>1126</v>
      </c>
      <c r="B319" s="30"/>
      <c r="C319" s="30"/>
      <c r="D319" s="30"/>
      <c r="F319" s="31" t="s">
        <v>349</v>
      </c>
    </row>
    <row r="320" spans="1:318" ht="16.5" x14ac:dyDescent="0.15">
      <c r="A320" s="30" t="s">
        <v>1126</v>
      </c>
      <c r="B320" s="30"/>
      <c r="C320" s="30"/>
      <c r="D320" s="30"/>
      <c r="F320" s="31" t="s">
        <v>358</v>
      </c>
    </row>
    <row r="321" spans="1:333" ht="16.5" x14ac:dyDescent="0.15">
      <c r="A321" s="30" t="s">
        <v>1127</v>
      </c>
      <c r="B321" s="30"/>
      <c r="C321" s="30"/>
      <c r="D321" s="30"/>
      <c r="F321" s="31" t="s">
        <v>362</v>
      </c>
    </row>
    <row r="322" spans="1:333" ht="16.5" x14ac:dyDescent="0.15">
      <c r="A322" s="30" t="s">
        <v>1128</v>
      </c>
      <c r="B322" s="30"/>
      <c r="C322" s="30"/>
      <c r="D322" s="30"/>
      <c r="F322" s="31" t="s">
        <v>367</v>
      </c>
    </row>
    <row r="323" spans="1:333" ht="16.5" x14ac:dyDescent="0.15">
      <c r="A323" s="30" t="s">
        <v>1129</v>
      </c>
      <c r="B323" s="30"/>
      <c r="C323" s="30"/>
      <c r="D323" s="30"/>
      <c r="F323" s="31" t="s">
        <v>372</v>
      </c>
    </row>
    <row r="324" spans="1:333" ht="16.5" x14ac:dyDescent="0.15">
      <c r="A324" s="30" t="s">
        <v>1130</v>
      </c>
      <c r="B324" s="30"/>
      <c r="C324" s="30"/>
      <c r="D324" s="30"/>
      <c r="F324" s="31" t="s">
        <v>377</v>
      </c>
    </row>
    <row r="325" spans="1:333" ht="16.5" x14ac:dyDescent="0.15">
      <c r="A325" s="30" t="s">
        <v>1131</v>
      </c>
      <c r="B325" s="30"/>
      <c r="C325" s="30"/>
      <c r="D325" s="30"/>
      <c r="F325" s="31" t="s">
        <v>224</v>
      </c>
    </row>
    <row r="326" spans="1:333" ht="16.5" x14ac:dyDescent="0.15">
      <c r="A326" s="30" t="s">
        <v>1132</v>
      </c>
      <c r="B326" s="30"/>
      <c r="C326" s="30"/>
      <c r="D326" s="30"/>
      <c r="F326" s="31" t="s">
        <v>386</v>
      </c>
    </row>
    <row r="327" spans="1:333" ht="16.5" x14ac:dyDescent="0.15">
      <c r="A327" s="30" t="s">
        <v>1133</v>
      </c>
      <c r="B327" s="30"/>
      <c r="C327" s="30"/>
      <c r="D327" s="30"/>
      <c r="F327" s="31" t="s">
        <v>391</v>
      </c>
    </row>
    <row r="328" spans="1:333" ht="16.5" x14ac:dyDescent="0.15">
      <c r="A328" s="30" t="s">
        <v>1134</v>
      </c>
      <c r="B328" s="30"/>
      <c r="C328" s="30"/>
      <c r="D328" s="30"/>
      <c r="F328" s="31" t="s">
        <v>395</v>
      </c>
    </row>
    <row r="329" spans="1:333" ht="16.5" x14ac:dyDescent="0.15">
      <c r="A329" s="30" t="s">
        <v>1135</v>
      </c>
      <c r="B329" s="30"/>
      <c r="C329" s="30"/>
      <c r="D329" s="30"/>
      <c r="F329" s="31" t="s">
        <v>399</v>
      </c>
    </row>
    <row r="330" spans="1:333" ht="16.5" x14ac:dyDescent="0.15">
      <c r="A330" s="30" t="s">
        <v>1135</v>
      </c>
      <c r="B330" s="30"/>
      <c r="C330" s="30"/>
      <c r="D330" s="30"/>
      <c r="BW330" s="33"/>
      <c r="BX330" s="33"/>
      <c r="BY330" s="33"/>
      <c r="BZ330" s="33"/>
      <c r="CA330" s="33"/>
      <c r="CB330" s="32"/>
      <c r="CC330" s="33"/>
      <c r="CD330" s="33"/>
      <c r="CE330" s="33"/>
      <c r="CF330" s="32"/>
      <c r="CG330" s="33"/>
      <c r="CH330" s="33"/>
      <c r="CI330" s="33"/>
      <c r="CJ330" s="34"/>
      <c r="CK330" s="33"/>
      <c r="CL330" s="33"/>
      <c r="CM330" s="33"/>
      <c r="CN330" s="33"/>
      <c r="CO330" s="33"/>
      <c r="CP330" s="33"/>
      <c r="CQ330" s="33"/>
      <c r="CR330" s="33"/>
      <c r="CS330" s="33"/>
      <c r="CT330" s="33"/>
      <c r="CU330" s="33"/>
      <c r="CV330" s="33"/>
      <c r="CW330" s="33"/>
      <c r="CX330" s="33"/>
      <c r="CY330" s="33"/>
      <c r="CZ330" s="33"/>
      <c r="DA330" s="33"/>
      <c r="EO330" s="31"/>
      <c r="EP330" s="31"/>
      <c r="EQ330" s="31"/>
      <c r="ER330" s="31"/>
      <c r="ES330" s="31"/>
      <c r="ET330" s="31"/>
      <c r="EU330" s="31"/>
      <c r="EV330" s="31"/>
      <c r="EW330" s="31"/>
      <c r="EX330" s="31"/>
      <c r="EY330" s="31"/>
      <c r="EZ330" s="31"/>
      <c r="FA330" s="31"/>
      <c r="FB330" s="31"/>
      <c r="FC330" s="31"/>
      <c r="FD330" s="31"/>
      <c r="FE330" s="31"/>
      <c r="FF330" s="31"/>
      <c r="FG330" s="31"/>
      <c r="FH330" s="31"/>
      <c r="FI330" s="31"/>
      <c r="FJ330" s="31"/>
      <c r="FK330" s="31"/>
      <c r="FL330" s="31"/>
      <c r="FM330" s="31"/>
      <c r="FN330" s="31"/>
      <c r="FO330" s="31"/>
      <c r="FP330" s="31"/>
      <c r="FQ330" s="31"/>
      <c r="FR330" s="31"/>
      <c r="FS330" s="31"/>
      <c r="FT330" s="31"/>
      <c r="FU330" s="31"/>
      <c r="FV330" s="31"/>
      <c r="FW330" s="31"/>
      <c r="FX330" s="31"/>
      <c r="FY330" s="31"/>
      <c r="FZ330" s="31"/>
      <c r="GA330" s="31"/>
      <c r="GB330" s="31"/>
      <c r="GC330" s="31"/>
      <c r="GD330" s="31"/>
      <c r="GE330" s="31"/>
      <c r="GF330" s="31"/>
      <c r="GG330" s="31"/>
      <c r="GH330" s="31"/>
      <c r="GI330" s="31"/>
      <c r="GJ330" s="31"/>
      <c r="GK330" s="31"/>
      <c r="GL330" s="31"/>
      <c r="GM330" s="31"/>
      <c r="GN330" s="31"/>
      <c r="GO330" s="31"/>
      <c r="GP330" s="31"/>
      <c r="GQ330" s="31"/>
      <c r="GR330" s="31"/>
      <c r="GS330" s="31"/>
      <c r="GT330" s="31"/>
      <c r="GU330" s="31"/>
      <c r="GV330" s="31"/>
      <c r="GW330" s="31"/>
      <c r="GX330" s="31"/>
      <c r="GY330" s="31"/>
      <c r="GZ330" s="31"/>
      <c r="HA330" s="31"/>
      <c r="HB330" s="31"/>
      <c r="HC330" s="31"/>
      <c r="HD330" s="31"/>
      <c r="HE330" s="31"/>
      <c r="HF330" s="31"/>
      <c r="HG330" s="31"/>
      <c r="HH330" s="31"/>
      <c r="HI330" s="31"/>
      <c r="HJ330" s="31"/>
      <c r="HK330" s="31"/>
      <c r="HL330" s="31"/>
      <c r="HM330" s="31"/>
      <c r="HN330" s="31"/>
      <c r="HO330" s="31"/>
      <c r="HP330" s="31"/>
      <c r="HQ330" s="31"/>
      <c r="HR330" s="31"/>
      <c r="HS330" s="31"/>
      <c r="HT330" s="31"/>
      <c r="HU330" s="31"/>
      <c r="HV330" s="31"/>
      <c r="HW330" s="31"/>
      <c r="HX330" s="31"/>
      <c r="HY330" s="31"/>
      <c r="HZ330" s="31"/>
      <c r="IA330" s="31"/>
      <c r="IB330" s="31"/>
      <c r="IC330" s="31"/>
      <c r="ID330" s="31"/>
      <c r="IE330" s="31"/>
      <c r="IF330" s="31"/>
      <c r="IG330" s="31"/>
      <c r="IH330" s="31"/>
      <c r="II330" s="31"/>
      <c r="IJ330" s="31"/>
      <c r="IK330" s="31"/>
      <c r="IL330" s="31"/>
      <c r="IM330" s="31"/>
      <c r="IN330" s="31"/>
      <c r="IO330" s="31"/>
      <c r="IP330" s="31"/>
      <c r="IQ330" s="31"/>
      <c r="IR330" s="31"/>
      <c r="IS330" s="31"/>
      <c r="IT330" s="31"/>
      <c r="IU330" s="31"/>
      <c r="IV330" s="31"/>
      <c r="IW330" s="31"/>
      <c r="IX330" s="31"/>
      <c r="IY330" s="31"/>
      <c r="IZ330" s="31"/>
      <c r="JA330" s="31"/>
      <c r="JB330" s="31"/>
      <c r="JC330" s="31"/>
      <c r="JD330" s="31"/>
      <c r="JE330" s="31"/>
      <c r="JF330" s="31"/>
      <c r="JG330" s="31"/>
      <c r="JH330" s="31"/>
      <c r="JI330" s="31"/>
      <c r="JJ330" s="31"/>
      <c r="JK330" s="31"/>
      <c r="JL330" s="31"/>
      <c r="JM330" s="31"/>
      <c r="JN330" s="31"/>
      <c r="JO330" s="31"/>
      <c r="JP330" s="31"/>
      <c r="JQ330" s="31"/>
      <c r="JR330" s="31"/>
      <c r="JS330" s="31"/>
      <c r="JT330" s="31"/>
      <c r="JU330" s="31"/>
      <c r="JV330" s="31"/>
      <c r="JW330" s="31"/>
      <c r="JX330" s="31"/>
      <c r="JY330" s="31"/>
      <c r="JZ330" s="31"/>
      <c r="KA330" s="31"/>
      <c r="KB330" s="31"/>
      <c r="KC330" s="31"/>
      <c r="KD330" s="31"/>
      <c r="KE330" s="31"/>
      <c r="KF330" s="31"/>
      <c r="KG330" s="31"/>
      <c r="KH330" s="31"/>
      <c r="KI330" s="31"/>
      <c r="KJ330" s="31"/>
      <c r="KK330" s="31"/>
      <c r="KL330" s="31"/>
      <c r="KM330" s="31"/>
      <c r="KN330" s="31"/>
      <c r="KO330" s="31"/>
      <c r="KP330" s="31"/>
      <c r="KQ330" s="31"/>
      <c r="KR330" s="31"/>
      <c r="KS330" s="31"/>
      <c r="KT330" s="31"/>
      <c r="KU330" s="31"/>
      <c r="KV330" s="31"/>
      <c r="KW330" s="31"/>
      <c r="KX330" s="31"/>
      <c r="KY330" s="31"/>
      <c r="KZ330" s="31"/>
      <c r="LA330" s="31"/>
      <c r="LB330" s="31"/>
      <c r="LC330" s="31"/>
      <c r="LD330" s="31"/>
      <c r="LE330" s="31"/>
      <c r="LF330" s="31"/>
      <c r="LG330" s="31"/>
      <c r="LH330" s="31"/>
      <c r="LI330" s="31"/>
      <c r="LJ330" s="31"/>
      <c r="LK330" s="31"/>
      <c r="LL330" s="31"/>
      <c r="LM330" s="31"/>
      <c r="LN330" s="31"/>
      <c r="LO330" s="31"/>
      <c r="LP330" s="31"/>
      <c r="LQ330" s="31"/>
      <c r="LR330" s="31"/>
      <c r="LS330" s="31"/>
      <c r="LT330" s="31"/>
      <c r="LU330" s="31"/>
    </row>
    <row r="331" spans="1:333" ht="16.5" x14ac:dyDescent="0.15">
      <c r="A331" s="30" t="s">
        <v>1136</v>
      </c>
      <c r="B331" s="30"/>
      <c r="C331" s="30"/>
      <c r="D331" s="30"/>
    </row>
    <row r="332" spans="1:333" ht="16.5" x14ac:dyDescent="0.15">
      <c r="A332" s="30" t="s">
        <v>1137</v>
      </c>
      <c r="B332" s="30"/>
      <c r="C332" s="30"/>
      <c r="D332" s="30"/>
      <c r="G332" t="s">
        <v>170</v>
      </c>
    </row>
    <row r="333" spans="1:333" ht="16.5" x14ac:dyDescent="0.15">
      <c r="A333" s="30" t="s">
        <v>1138</v>
      </c>
      <c r="B333" s="30"/>
      <c r="C333" s="30"/>
      <c r="D333" s="30"/>
      <c r="G333" t="s">
        <v>1139</v>
      </c>
    </row>
    <row r="334" spans="1:333" ht="16.5" x14ac:dyDescent="0.15">
      <c r="A334" s="30" t="s">
        <v>273</v>
      </c>
      <c r="B334" s="30"/>
      <c r="C334" s="30"/>
      <c r="D334" s="30"/>
      <c r="G334" t="s">
        <v>1140</v>
      </c>
    </row>
    <row r="335" spans="1:333" ht="16.5" x14ac:dyDescent="0.15">
      <c r="A335" s="30" t="s">
        <v>1141</v>
      </c>
      <c r="B335" s="30"/>
      <c r="C335" s="30"/>
      <c r="D335" s="30"/>
      <c r="G335" t="s">
        <v>1142</v>
      </c>
    </row>
    <row r="336" spans="1:333" ht="16.5" x14ac:dyDescent="0.15">
      <c r="A336" s="30" t="s">
        <v>1143</v>
      </c>
      <c r="B336" s="30"/>
      <c r="C336" s="30"/>
      <c r="D336" s="30"/>
      <c r="G336" t="s">
        <v>1144</v>
      </c>
    </row>
    <row r="337" spans="1:7" ht="16.5" x14ac:dyDescent="0.15">
      <c r="A337" s="30" t="s">
        <v>1145</v>
      </c>
      <c r="B337" s="30"/>
      <c r="C337" s="30"/>
      <c r="D337" s="30"/>
      <c r="G337" t="s">
        <v>1146</v>
      </c>
    </row>
    <row r="338" spans="1:7" ht="16.5" x14ac:dyDescent="0.15">
      <c r="A338" s="30" t="s">
        <v>1147</v>
      </c>
      <c r="B338" s="30"/>
      <c r="C338" s="30"/>
      <c r="D338" s="30"/>
      <c r="G338" t="s">
        <v>1148</v>
      </c>
    </row>
    <row r="339" spans="1:7" ht="16.5" x14ac:dyDescent="0.15">
      <c r="A339" s="30" t="s">
        <v>1149</v>
      </c>
      <c r="B339" s="30"/>
      <c r="C339" s="30"/>
      <c r="D339" s="30"/>
      <c r="G339" t="s">
        <v>1150</v>
      </c>
    </row>
    <row r="340" spans="1:7" ht="16.5" x14ac:dyDescent="0.15">
      <c r="A340" s="30" t="s">
        <v>1151</v>
      </c>
      <c r="B340" s="30"/>
      <c r="C340" s="30"/>
      <c r="D340" s="30"/>
      <c r="G340" t="s">
        <v>1152</v>
      </c>
    </row>
    <row r="341" spans="1:7" ht="16.5" x14ac:dyDescent="0.15">
      <c r="A341" s="30" t="s">
        <v>1153</v>
      </c>
      <c r="B341" s="30"/>
      <c r="C341" s="30"/>
      <c r="D341" s="30"/>
      <c r="G341" t="s">
        <v>1154</v>
      </c>
    </row>
    <row r="342" spans="1:7" ht="16.5" x14ac:dyDescent="0.15">
      <c r="A342" s="30" t="s">
        <v>1155</v>
      </c>
      <c r="B342" s="30"/>
      <c r="C342" s="30"/>
      <c r="D342" s="30"/>
      <c r="G342" t="s">
        <v>1156</v>
      </c>
    </row>
    <row r="343" spans="1:7" ht="16.5" x14ac:dyDescent="0.15">
      <c r="A343" s="30" t="s">
        <v>1157</v>
      </c>
      <c r="B343" s="30"/>
      <c r="C343" s="30"/>
      <c r="D343" s="30"/>
      <c r="G343" t="s">
        <v>1158</v>
      </c>
    </row>
    <row r="344" spans="1:7" ht="16.5" x14ac:dyDescent="0.15">
      <c r="A344" s="30" t="s">
        <v>1159</v>
      </c>
      <c r="B344" s="30"/>
      <c r="C344" s="30"/>
      <c r="D344" s="30"/>
      <c r="G344" t="s">
        <v>1160</v>
      </c>
    </row>
    <row r="345" spans="1:7" ht="16.5" x14ac:dyDescent="0.15">
      <c r="A345" s="30" t="s">
        <v>1161</v>
      </c>
      <c r="B345" s="30"/>
      <c r="C345" s="30"/>
      <c r="D345" s="30"/>
      <c r="G345" t="s">
        <v>1162</v>
      </c>
    </row>
    <row r="346" spans="1:7" ht="16.5" x14ac:dyDescent="0.15">
      <c r="A346" s="30" t="s">
        <v>1163</v>
      </c>
      <c r="B346" s="30"/>
      <c r="C346" s="30"/>
      <c r="D346" s="30"/>
      <c r="G346" t="s">
        <v>1164</v>
      </c>
    </row>
    <row r="347" spans="1:7" ht="16.5" x14ac:dyDescent="0.15">
      <c r="A347" s="30" t="s">
        <v>1165</v>
      </c>
      <c r="B347" s="30"/>
      <c r="C347" s="30"/>
      <c r="D347" s="30"/>
      <c r="G347" t="s">
        <v>1166</v>
      </c>
    </row>
    <row r="348" spans="1:7" ht="16.5" x14ac:dyDescent="0.15">
      <c r="A348" s="30" t="s">
        <v>1167</v>
      </c>
      <c r="B348" s="30"/>
      <c r="C348" s="30"/>
      <c r="D348" s="30"/>
      <c r="G348" t="s">
        <v>1168</v>
      </c>
    </row>
    <row r="349" spans="1:7" ht="16.5" x14ac:dyDescent="0.15">
      <c r="A349" s="30" t="s">
        <v>1169</v>
      </c>
      <c r="B349" s="30"/>
      <c r="C349" s="30"/>
      <c r="D349" s="30"/>
      <c r="G349" t="s">
        <v>1170</v>
      </c>
    </row>
    <row r="350" spans="1:7" ht="16.5" x14ac:dyDescent="0.15">
      <c r="A350" s="30" t="s">
        <v>1171</v>
      </c>
      <c r="B350" s="30"/>
      <c r="C350" s="30"/>
      <c r="D350" s="30"/>
      <c r="G350" t="s">
        <v>1172</v>
      </c>
    </row>
    <row r="351" spans="1:7" ht="16.5" x14ac:dyDescent="0.15">
      <c r="A351" s="30" t="s">
        <v>1173</v>
      </c>
      <c r="B351" s="30"/>
      <c r="C351" s="30"/>
      <c r="D351" s="30"/>
      <c r="G351" t="s">
        <v>1174</v>
      </c>
    </row>
    <row r="352" spans="1:7" ht="16.5" x14ac:dyDescent="0.15">
      <c r="A352" s="30" t="s">
        <v>1175</v>
      </c>
      <c r="B352" s="30"/>
      <c r="C352" s="30"/>
      <c r="D352" s="30"/>
      <c r="G352" t="s">
        <v>1176</v>
      </c>
    </row>
    <row r="353" spans="1:7" ht="16.5" x14ac:dyDescent="0.15">
      <c r="A353" s="30" t="s">
        <v>1177</v>
      </c>
      <c r="B353" s="30"/>
      <c r="C353" s="30"/>
      <c r="D353" s="30"/>
      <c r="G353" t="s">
        <v>1178</v>
      </c>
    </row>
    <row r="354" spans="1:7" ht="16.5" x14ac:dyDescent="0.15">
      <c r="A354" s="30" t="s">
        <v>1179</v>
      </c>
      <c r="B354" s="30"/>
      <c r="C354" s="30"/>
      <c r="D354" s="30"/>
      <c r="G354" t="s">
        <v>1180</v>
      </c>
    </row>
    <row r="355" spans="1:7" ht="16.5" x14ac:dyDescent="0.15">
      <c r="A355" s="30" t="s">
        <v>1181</v>
      </c>
      <c r="B355" s="30"/>
      <c r="C355" s="30"/>
      <c r="D355" s="30"/>
      <c r="G355" t="s">
        <v>1182</v>
      </c>
    </row>
    <row r="356" spans="1:7" ht="16.5" x14ac:dyDescent="0.15">
      <c r="A356" s="30" t="s">
        <v>1183</v>
      </c>
      <c r="B356" s="30"/>
      <c r="C356" s="30"/>
      <c r="D356" s="30"/>
      <c r="G356" t="s">
        <v>1142</v>
      </c>
    </row>
    <row r="357" spans="1:7" ht="16.5" x14ac:dyDescent="0.15">
      <c r="A357" s="30" t="s">
        <v>1184</v>
      </c>
      <c r="B357" s="30"/>
      <c r="C357" s="30"/>
      <c r="D357" s="30"/>
      <c r="G357" t="s">
        <v>1185</v>
      </c>
    </row>
    <row r="358" spans="1:7" ht="16.5" x14ac:dyDescent="0.15">
      <c r="A358" s="30" t="s">
        <v>1186</v>
      </c>
      <c r="B358" s="30"/>
      <c r="C358" s="30"/>
      <c r="D358" s="30"/>
      <c r="G358" t="s">
        <v>1187</v>
      </c>
    </row>
    <row r="359" spans="1:7" ht="16.5" x14ac:dyDescent="0.15">
      <c r="A359" s="30" t="s">
        <v>1188</v>
      </c>
      <c r="B359" s="30"/>
      <c r="C359" s="30"/>
      <c r="D359" s="30"/>
      <c r="G359" t="s">
        <v>1189</v>
      </c>
    </row>
    <row r="360" spans="1:7" ht="16.5" x14ac:dyDescent="0.15">
      <c r="A360" s="30" t="s">
        <v>1190</v>
      </c>
      <c r="B360" s="30"/>
      <c r="C360" s="30"/>
      <c r="D360" s="30"/>
      <c r="G360" t="s">
        <v>1191</v>
      </c>
    </row>
    <row r="361" spans="1:7" ht="16.5" x14ac:dyDescent="0.15">
      <c r="A361" s="30" t="s">
        <v>1192</v>
      </c>
      <c r="B361" s="30"/>
      <c r="C361" s="30"/>
      <c r="D361" s="30"/>
      <c r="G361" t="s">
        <v>1193</v>
      </c>
    </row>
    <row r="362" spans="1:7" ht="16.5" x14ac:dyDescent="0.15">
      <c r="A362" s="30" t="s">
        <v>1194</v>
      </c>
      <c r="B362" s="30"/>
      <c r="C362" s="30"/>
      <c r="D362" s="30"/>
      <c r="G362" t="s">
        <v>1195</v>
      </c>
    </row>
    <row r="363" spans="1:7" ht="16.5" x14ac:dyDescent="0.15">
      <c r="A363" s="30" t="s">
        <v>1196</v>
      </c>
      <c r="B363" s="30"/>
      <c r="C363" s="30"/>
      <c r="D363" s="30"/>
      <c r="G363" t="s">
        <v>1197</v>
      </c>
    </row>
    <row r="364" spans="1:7" ht="16.5" x14ac:dyDescent="0.15">
      <c r="A364" s="30" t="s">
        <v>1198</v>
      </c>
      <c r="B364" s="30"/>
      <c r="C364" s="30"/>
      <c r="D364" s="30"/>
      <c r="G364" t="s">
        <v>1199</v>
      </c>
    </row>
    <row r="365" spans="1:7" ht="16.5" x14ac:dyDescent="0.15">
      <c r="A365" s="30" t="s">
        <v>1200</v>
      </c>
      <c r="B365" s="30"/>
      <c r="C365" s="30"/>
      <c r="D365" s="30"/>
      <c r="G365" t="s">
        <v>1201</v>
      </c>
    </row>
    <row r="366" spans="1:7" ht="16.5" x14ac:dyDescent="0.15">
      <c r="A366" s="30" t="s">
        <v>1202</v>
      </c>
      <c r="B366" s="30"/>
      <c r="C366" s="30"/>
      <c r="D366" s="30"/>
      <c r="G366" t="s">
        <v>1203</v>
      </c>
    </row>
    <row r="367" spans="1:7" ht="16.5" x14ac:dyDescent="0.15">
      <c r="A367" s="30" t="s">
        <v>1204</v>
      </c>
      <c r="B367" s="30"/>
      <c r="C367" s="30"/>
      <c r="D367" s="30"/>
      <c r="G367" t="s">
        <v>1205</v>
      </c>
    </row>
    <row r="368" spans="1:7" ht="16.5" x14ac:dyDescent="0.15">
      <c r="A368" s="30" t="s">
        <v>1206</v>
      </c>
      <c r="B368" s="30"/>
      <c r="C368" s="30"/>
      <c r="D368" s="30"/>
      <c r="G368" t="s">
        <v>1207</v>
      </c>
    </row>
    <row r="369" spans="1:7" ht="16.5" x14ac:dyDescent="0.15">
      <c r="A369" s="30" t="s">
        <v>1208</v>
      </c>
      <c r="B369" s="30"/>
      <c r="C369" s="30"/>
      <c r="D369" s="30"/>
      <c r="G369" t="s">
        <v>1209</v>
      </c>
    </row>
    <row r="370" spans="1:7" ht="16.5" x14ac:dyDescent="0.15">
      <c r="A370" s="30" t="s">
        <v>1210</v>
      </c>
      <c r="B370" s="30"/>
      <c r="C370" s="30"/>
      <c r="D370" s="30"/>
      <c r="G370" t="s">
        <v>1211</v>
      </c>
    </row>
    <row r="371" spans="1:7" ht="16.5" x14ac:dyDescent="0.15">
      <c r="A371" s="30" t="s">
        <v>1212</v>
      </c>
      <c r="B371" s="30"/>
      <c r="C371" s="30"/>
      <c r="D371" s="30"/>
      <c r="G371" t="s">
        <v>1213</v>
      </c>
    </row>
    <row r="372" spans="1:7" ht="16.5" x14ac:dyDescent="0.15">
      <c r="A372" s="30" t="s">
        <v>1214</v>
      </c>
      <c r="B372" s="30"/>
      <c r="C372" s="30"/>
      <c r="D372" s="30"/>
      <c r="G372" t="s">
        <v>1215</v>
      </c>
    </row>
    <row r="373" spans="1:7" ht="16.5" x14ac:dyDescent="0.15">
      <c r="A373" s="30" t="s">
        <v>1216</v>
      </c>
      <c r="B373" s="30"/>
      <c r="C373" s="30"/>
      <c r="D373" s="30"/>
      <c r="G373" t="s">
        <v>1217</v>
      </c>
    </row>
    <row r="374" spans="1:7" ht="16.5" x14ac:dyDescent="0.15">
      <c r="A374" s="30" t="s">
        <v>1218</v>
      </c>
      <c r="B374" s="30"/>
      <c r="C374" s="30"/>
      <c r="D374" s="30"/>
      <c r="G374" t="s">
        <v>1219</v>
      </c>
    </row>
    <row r="375" spans="1:7" ht="16.5" x14ac:dyDescent="0.15">
      <c r="A375" s="30" t="s">
        <v>1220</v>
      </c>
      <c r="B375" s="30"/>
      <c r="C375" s="30"/>
      <c r="D375" s="30"/>
      <c r="G375" t="s">
        <v>1221</v>
      </c>
    </row>
    <row r="376" spans="1:7" ht="16.5" x14ac:dyDescent="0.15">
      <c r="A376" s="30" t="s">
        <v>1222</v>
      </c>
      <c r="B376" s="30"/>
      <c r="C376" s="30"/>
      <c r="D376" s="30"/>
      <c r="G376" t="s">
        <v>1223</v>
      </c>
    </row>
    <row r="377" spans="1:7" ht="16.5" x14ac:dyDescent="0.15">
      <c r="A377" s="30" t="s">
        <v>1224</v>
      </c>
      <c r="B377" s="30"/>
      <c r="C377" s="30"/>
      <c r="D377" s="30"/>
      <c r="G377" t="s">
        <v>1225</v>
      </c>
    </row>
    <row r="378" spans="1:7" ht="16.5" x14ac:dyDescent="0.15">
      <c r="A378" s="30" t="s">
        <v>1226</v>
      </c>
      <c r="B378" s="30"/>
      <c r="C378" s="30"/>
      <c r="D378" s="30"/>
      <c r="G378" t="s">
        <v>1227</v>
      </c>
    </row>
    <row r="379" spans="1:7" ht="16.5" x14ac:dyDescent="0.15">
      <c r="A379" s="30" t="s">
        <v>1228</v>
      </c>
      <c r="B379" s="30"/>
      <c r="C379" s="30"/>
      <c r="D379" s="30"/>
      <c r="G379" t="s">
        <v>1229</v>
      </c>
    </row>
    <row r="380" spans="1:7" ht="16.5" x14ac:dyDescent="0.15">
      <c r="A380" s="30" t="s">
        <v>1230</v>
      </c>
      <c r="B380" s="30"/>
      <c r="C380" s="30"/>
      <c r="D380" s="30"/>
      <c r="G380" t="s">
        <v>1231</v>
      </c>
    </row>
    <row r="381" spans="1:7" ht="16.5" x14ac:dyDescent="0.15">
      <c r="A381" s="30" t="s">
        <v>1224</v>
      </c>
      <c r="B381" s="30"/>
      <c r="C381" s="30"/>
      <c r="D381" s="30"/>
      <c r="G381" t="s">
        <v>1232</v>
      </c>
    </row>
    <row r="382" spans="1:7" ht="16.5" x14ac:dyDescent="0.15">
      <c r="A382" s="30" t="s">
        <v>1233</v>
      </c>
      <c r="B382" s="30"/>
      <c r="C382" s="30"/>
      <c r="D382" s="30"/>
      <c r="G382" t="s">
        <v>1234</v>
      </c>
    </row>
    <row r="383" spans="1:7" ht="16.5" x14ac:dyDescent="0.15">
      <c r="A383" s="30" t="s">
        <v>1235</v>
      </c>
      <c r="B383" s="30"/>
      <c r="C383" s="30"/>
      <c r="D383" s="30"/>
      <c r="G383" t="s">
        <v>1236</v>
      </c>
    </row>
    <row r="384" spans="1:7" ht="16.5" x14ac:dyDescent="0.15">
      <c r="A384" s="30" t="s">
        <v>1237</v>
      </c>
      <c r="B384" s="30"/>
      <c r="C384" s="30"/>
      <c r="D384" s="30"/>
      <c r="G384" t="s">
        <v>1238</v>
      </c>
    </row>
    <row r="385" spans="1:7" ht="16.5" x14ac:dyDescent="0.15">
      <c r="A385" s="30" t="s">
        <v>1239</v>
      </c>
      <c r="B385" s="30"/>
      <c r="C385" s="30"/>
      <c r="D385" s="30"/>
      <c r="G385" t="s">
        <v>1189</v>
      </c>
    </row>
    <row r="386" spans="1:7" ht="16.5" x14ac:dyDescent="0.15">
      <c r="A386" s="30" t="s">
        <v>462</v>
      </c>
      <c r="B386" s="30"/>
      <c r="C386" s="30"/>
      <c r="D386" s="30"/>
      <c r="G386" t="s">
        <v>1240</v>
      </c>
    </row>
    <row r="387" spans="1:7" ht="16.5" x14ac:dyDescent="0.15">
      <c r="A387" s="30" t="s">
        <v>1241</v>
      </c>
      <c r="B387" s="30"/>
      <c r="C387" s="30"/>
      <c r="D387" s="30"/>
      <c r="G387" t="s">
        <v>1242</v>
      </c>
    </row>
    <row r="388" spans="1:7" ht="16.5" x14ac:dyDescent="0.15">
      <c r="A388" s="30" t="s">
        <v>1243</v>
      </c>
      <c r="B388" s="30"/>
      <c r="C388" s="30"/>
      <c r="D388" s="30"/>
      <c r="G388" t="s">
        <v>1244</v>
      </c>
    </row>
    <row r="389" spans="1:7" ht="16.5" x14ac:dyDescent="0.15">
      <c r="A389" s="30" t="s">
        <v>1245</v>
      </c>
      <c r="B389" s="30"/>
      <c r="C389" s="30"/>
      <c r="D389" s="30"/>
      <c r="G389" t="s">
        <v>1246</v>
      </c>
    </row>
    <row r="390" spans="1:7" ht="16.5" x14ac:dyDescent="0.15">
      <c r="A390" s="30" t="s">
        <v>1247</v>
      </c>
      <c r="B390" s="30"/>
      <c r="C390" s="30"/>
      <c r="D390" s="30"/>
      <c r="G390" t="s">
        <v>1248</v>
      </c>
    </row>
    <row r="391" spans="1:7" ht="16.5" x14ac:dyDescent="0.15">
      <c r="A391" s="30" t="s">
        <v>1249</v>
      </c>
      <c r="B391" s="30"/>
      <c r="C391" s="30"/>
      <c r="D391" s="30"/>
      <c r="G391" t="s">
        <v>1250</v>
      </c>
    </row>
    <row r="392" spans="1:7" ht="16.5" x14ac:dyDescent="0.15">
      <c r="A392" s="30" t="s">
        <v>1251</v>
      </c>
      <c r="B392" s="30"/>
      <c r="C392" s="30"/>
      <c r="D392" s="30"/>
      <c r="G392" t="s">
        <v>1252</v>
      </c>
    </row>
    <row r="393" spans="1:7" ht="16.5" x14ac:dyDescent="0.15">
      <c r="A393" s="30" t="s">
        <v>1253</v>
      </c>
      <c r="B393" s="30"/>
      <c r="C393" s="30"/>
      <c r="D393" s="30"/>
      <c r="G393" t="s">
        <v>1254</v>
      </c>
    </row>
    <row r="394" spans="1:7" ht="16.5" x14ac:dyDescent="0.15">
      <c r="A394" s="30" t="s">
        <v>1255</v>
      </c>
      <c r="B394" s="30"/>
      <c r="C394" s="30"/>
      <c r="D394" s="30"/>
      <c r="G394" t="s">
        <v>1256</v>
      </c>
    </row>
    <row r="395" spans="1:7" ht="16.5" x14ac:dyDescent="0.15">
      <c r="A395" s="30" t="s">
        <v>1255</v>
      </c>
      <c r="B395" s="30"/>
      <c r="C395" s="30"/>
      <c r="D395" s="30"/>
      <c r="G395" t="s">
        <v>1257</v>
      </c>
    </row>
    <row r="396" spans="1:7" ht="16.5" x14ac:dyDescent="0.15">
      <c r="A396" s="30" t="s">
        <v>1258</v>
      </c>
      <c r="B396" s="30"/>
      <c r="C396" s="30"/>
      <c r="D396" s="30"/>
      <c r="G396" t="s">
        <v>1259</v>
      </c>
    </row>
    <row r="397" spans="1:7" ht="16.5" x14ac:dyDescent="0.15">
      <c r="A397" s="30" t="s">
        <v>1260</v>
      </c>
      <c r="B397" s="30"/>
      <c r="C397" s="30"/>
      <c r="D397" s="30"/>
      <c r="G397" t="s">
        <v>1256</v>
      </c>
    </row>
    <row r="398" spans="1:7" ht="16.5" x14ac:dyDescent="0.15">
      <c r="A398" s="30" t="s">
        <v>1261</v>
      </c>
      <c r="B398" s="30"/>
      <c r="C398" s="30"/>
      <c r="D398" s="30"/>
      <c r="G398" t="s">
        <v>1262</v>
      </c>
    </row>
    <row r="399" spans="1:7" ht="16.5" x14ac:dyDescent="0.15">
      <c r="A399" s="30" t="s">
        <v>1263</v>
      </c>
      <c r="B399" s="30"/>
      <c r="C399" s="30"/>
      <c r="D399" s="30"/>
      <c r="G399" t="s">
        <v>1264</v>
      </c>
    </row>
    <row r="400" spans="1:7" ht="16.5" x14ac:dyDescent="0.15">
      <c r="A400" s="30" t="s">
        <v>1265</v>
      </c>
      <c r="B400" s="30"/>
      <c r="C400" s="30"/>
      <c r="D400" s="30"/>
      <c r="G400" t="s">
        <v>1266</v>
      </c>
    </row>
    <row r="401" spans="1:7" ht="16.5" x14ac:dyDescent="0.15">
      <c r="A401" s="30" t="s">
        <v>1267</v>
      </c>
      <c r="B401" s="30"/>
      <c r="C401" s="30"/>
      <c r="D401" s="30"/>
      <c r="G401" s="33" t="s">
        <v>425</v>
      </c>
    </row>
    <row r="402" spans="1:7" ht="16.5" x14ac:dyDescent="0.15">
      <c r="A402" s="30" t="s">
        <v>1268</v>
      </c>
      <c r="B402" s="30"/>
      <c r="C402" s="30"/>
      <c r="D402" s="30"/>
      <c r="G402" s="33" t="s">
        <v>430</v>
      </c>
    </row>
    <row r="403" spans="1:7" ht="16.5" x14ac:dyDescent="0.15">
      <c r="A403" s="30" t="s">
        <v>1269</v>
      </c>
      <c r="B403" s="30"/>
      <c r="C403" s="30"/>
      <c r="D403" s="30"/>
      <c r="G403" s="33" t="s">
        <v>436</v>
      </c>
    </row>
    <row r="404" spans="1:7" ht="16.5" x14ac:dyDescent="0.15">
      <c r="A404" s="30" t="s">
        <v>1261</v>
      </c>
      <c r="B404" s="30"/>
      <c r="C404" s="30"/>
      <c r="D404" s="30"/>
      <c r="G404" s="33" t="s">
        <v>1270</v>
      </c>
    </row>
    <row r="405" spans="1:7" ht="16.5" x14ac:dyDescent="0.15">
      <c r="A405" s="30" t="s">
        <v>1271</v>
      </c>
      <c r="B405" s="30"/>
      <c r="C405" s="30"/>
      <c r="D405" s="30"/>
      <c r="G405" s="33" t="s">
        <v>1272</v>
      </c>
    </row>
    <row r="406" spans="1:7" ht="16.5" x14ac:dyDescent="0.15">
      <c r="A406" s="30" t="s">
        <v>1273</v>
      </c>
      <c r="B406" s="30"/>
      <c r="C406" s="30"/>
      <c r="D406" s="30"/>
      <c r="G406" s="32" t="s">
        <v>448</v>
      </c>
    </row>
    <row r="407" spans="1:7" ht="16.5" x14ac:dyDescent="0.15">
      <c r="A407" s="30" t="s">
        <v>1273</v>
      </c>
      <c r="B407" s="30"/>
      <c r="C407" s="30"/>
      <c r="D407" s="30"/>
      <c r="G407" s="33" t="s">
        <v>1274</v>
      </c>
    </row>
    <row r="408" spans="1:7" ht="16.5" x14ac:dyDescent="0.15">
      <c r="A408" s="30" t="s">
        <v>1275</v>
      </c>
      <c r="B408" s="30"/>
      <c r="C408" s="30"/>
      <c r="D408" s="30"/>
      <c r="G408" s="33" t="s">
        <v>1276</v>
      </c>
    </row>
    <row r="409" spans="1:7" ht="16.5" x14ac:dyDescent="0.15">
      <c r="A409" s="30" t="s">
        <v>1277</v>
      </c>
      <c r="B409" s="30"/>
      <c r="C409" s="30"/>
      <c r="D409" s="30"/>
      <c r="G409" s="33" t="s">
        <v>1278</v>
      </c>
    </row>
    <row r="410" spans="1:7" ht="16.5" x14ac:dyDescent="0.15">
      <c r="A410" s="30" t="s">
        <v>1279</v>
      </c>
      <c r="B410" s="30"/>
      <c r="C410" s="30"/>
      <c r="D410" s="30"/>
      <c r="G410" s="32" t="s">
        <v>448</v>
      </c>
    </row>
    <row r="411" spans="1:7" ht="16.5" x14ac:dyDescent="0.15">
      <c r="A411" s="30" t="s">
        <v>1280</v>
      </c>
      <c r="B411" s="30"/>
      <c r="C411" s="30"/>
      <c r="D411" s="30"/>
      <c r="G411" s="33" t="s">
        <v>1281</v>
      </c>
    </row>
    <row r="412" spans="1:7" ht="16.5" x14ac:dyDescent="0.15">
      <c r="A412" s="30" t="s">
        <v>1282</v>
      </c>
      <c r="B412" s="30"/>
      <c r="C412" s="30"/>
      <c r="D412" s="30"/>
      <c r="G412" s="33" t="s">
        <v>1283</v>
      </c>
    </row>
    <row r="413" spans="1:7" ht="16.5" x14ac:dyDescent="0.15">
      <c r="A413" s="30" t="s">
        <v>1284</v>
      </c>
      <c r="B413" s="30"/>
      <c r="C413" s="30"/>
      <c r="D413" s="30"/>
      <c r="G413" s="33" t="s">
        <v>1285</v>
      </c>
    </row>
    <row r="414" spans="1:7" ht="16.5" x14ac:dyDescent="0.15">
      <c r="A414" s="30" t="s">
        <v>1286</v>
      </c>
      <c r="B414" s="30"/>
      <c r="C414" s="30"/>
      <c r="D414" s="30"/>
      <c r="G414" s="34" t="s">
        <v>1287</v>
      </c>
    </row>
    <row r="415" spans="1:7" ht="16.5" x14ac:dyDescent="0.15">
      <c r="A415" s="30" t="s">
        <v>1288</v>
      </c>
      <c r="B415" s="30"/>
      <c r="C415" s="30"/>
      <c r="D415" s="30"/>
      <c r="G415" s="33" t="s">
        <v>1289</v>
      </c>
    </row>
    <row r="416" spans="1:7" ht="16.5" x14ac:dyDescent="0.15">
      <c r="A416" s="30" t="s">
        <v>1290</v>
      </c>
      <c r="B416" s="30"/>
      <c r="C416" s="30"/>
      <c r="D416" s="30"/>
      <c r="G416" s="33" t="s">
        <v>1291</v>
      </c>
    </row>
    <row r="417" spans="1:7" ht="16.5" x14ac:dyDescent="0.15">
      <c r="A417" s="30" t="s">
        <v>1292</v>
      </c>
      <c r="B417" s="30"/>
      <c r="C417" s="30"/>
      <c r="D417" s="30"/>
      <c r="G417" s="33" t="s">
        <v>1293</v>
      </c>
    </row>
    <row r="418" spans="1:7" ht="16.5" x14ac:dyDescent="0.15">
      <c r="A418" s="30" t="s">
        <v>1294</v>
      </c>
      <c r="B418" s="30"/>
      <c r="C418" s="30"/>
      <c r="D418" s="30"/>
      <c r="G418" s="33" t="s">
        <v>1295</v>
      </c>
    </row>
    <row r="419" spans="1:7" ht="16.5" x14ac:dyDescent="0.15">
      <c r="A419" s="30" t="s">
        <v>1296</v>
      </c>
      <c r="B419" s="30"/>
      <c r="C419" s="30"/>
      <c r="D419" s="30"/>
      <c r="G419" s="33" t="s">
        <v>1297</v>
      </c>
    </row>
    <row r="420" spans="1:7" ht="16.5" x14ac:dyDescent="0.15">
      <c r="A420" s="30" t="s">
        <v>1298</v>
      </c>
      <c r="B420" s="30"/>
      <c r="C420" s="30"/>
      <c r="D420" s="30"/>
      <c r="G420" s="33" t="s">
        <v>1299</v>
      </c>
    </row>
    <row r="421" spans="1:7" ht="16.5" x14ac:dyDescent="0.15">
      <c r="A421" s="30" t="s">
        <v>563</v>
      </c>
      <c r="B421" s="30"/>
      <c r="C421" s="30"/>
      <c r="D421" s="30"/>
      <c r="G421" s="33" t="s">
        <v>1300</v>
      </c>
    </row>
    <row r="422" spans="1:7" ht="16.5" x14ac:dyDescent="0.15">
      <c r="A422" s="30" t="s">
        <v>1301</v>
      </c>
      <c r="B422" s="30"/>
      <c r="C422" s="30"/>
      <c r="D422" s="30"/>
      <c r="G422" s="33" t="s">
        <v>1302</v>
      </c>
    </row>
    <row r="423" spans="1:7" ht="16.5" x14ac:dyDescent="0.15">
      <c r="A423" s="30" t="s">
        <v>1303</v>
      </c>
      <c r="B423" s="30"/>
      <c r="C423" s="30"/>
      <c r="D423" s="30"/>
      <c r="G423" s="33" t="s">
        <v>1304</v>
      </c>
    </row>
    <row r="424" spans="1:7" ht="16.5" x14ac:dyDescent="0.15">
      <c r="A424" s="30" t="s">
        <v>1305</v>
      </c>
      <c r="B424" s="30"/>
      <c r="C424" s="30"/>
      <c r="D424" s="30"/>
      <c r="G424" s="33" t="s">
        <v>1306</v>
      </c>
    </row>
    <row r="425" spans="1:7" ht="16.5" x14ac:dyDescent="0.15">
      <c r="A425" s="30" t="s">
        <v>1307</v>
      </c>
      <c r="B425" s="30"/>
      <c r="C425" s="30"/>
      <c r="D425" s="30"/>
      <c r="G425" s="33" t="s">
        <v>1308</v>
      </c>
    </row>
    <row r="426" spans="1:7" ht="16.5" x14ac:dyDescent="0.15">
      <c r="A426" s="30" t="s">
        <v>1309</v>
      </c>
      <c r="B426" s="30"/>
      <c r="C426" s="30"/>
      <c r="D426" s="30"/>
      <c r="G426" s="33" t="s">
        <v>1310</v>
      </c>
    </row>
    <row r="427" spans="1:7" ht="16.5" x14ac:dyDescent="0.15">
      <c r="A427" s="30" t="s">
        <v>1311</v>
      </c>
      <c r="B427" s="30"/>
      <c r="C427" s="30"/>
      <c r="D427" s="30"/>
      <c r="G427" s="33" t="s">
        <v>1312</v>
      </c>
    </row>
    <row r="428" spans="1:7" ht="16.5" x14ac:dyDescent="0.15">
      <c r="A428" s="30" t="s">
        <v>1313</v>
      </c>
      <c r="B428" s="30"/>
      <c r="C428" s="30"/>
      <c r="D428" s="30"/>
      <c r="G428" s="33" t="s">
        <v>1314</v>
      </c>
    </row>
    <row r="429" spans="1:7" ht="16.5" x14ac:dyDescent="0.15">
      <c r="A429" s="30" t="s">
        <v>1315</v>
      </c>
      <c r="B429" s="30"/>
      <c r="C429" s="30"/>
      <c r="D429" s="30"/>
      <c r="G429" s="33" t="s">
        <v>1316</v>
      </c>
    </row>
    <row r="430" spans="1:7" ht="16.5" x14ac:dyDescent="0.15">
      <c r="A430" s="30" t="s">
        <v>1317</v>
      </c>
      <c r="B430" s="30"/>
      <c r="C430" s="30"/>
      <c r="D430" s="30"/>
      <c r="G430" s="33" t="s">
        <v>1318</v>
      </c>
    </row>
    <row r="431" spans="1:7" ht="16.5" x14ac:dyDescent="0.15">
      <c r="A431" s="30" t="s">
        <v>1319</v>
      </c>
      <c r="B431" s="30"/>
      <c r="C431" s="30"/>
      <c r="D431" s="30"/>
      <c r="G431" s="33" t="s">
        <v>1320</v>
      </c>
    </row>
    <row r="432" spans="1:7" ht="16.5" x14ac:dyDescent="0.15">
      <c r="A432" s="30" t="s">
        <v>1321</v>
      </c>
      <c r="B432" s="30"/>
      <c r="C432" s="30"/>
      <c r="D432" s="30"/>
      <c r="G432" t="s">
        <v>536</v>
      </c>
    </row>
    <row r="433" spans="1:7" ht="16.5" x14ac:dyDescent="0.15">
      <c r="A433" s="30" t="s">
        <v>1322</v>
      </c>
      <c r="B433" s="30"/>
      <c r="C433" s="30"/>
      <c r="D433" s="30"/>
      <c r="G433" t="s">
        <v>538</v>
      </c>
    </row>
    <row r="434" spans="1:7" ht="16.5" x14ac:dyDescent="0.15">
      <c r="A434" s="30" t="s">
        <v>1323</v>
      </c>
      <c r="B434" s="30"/>
      <c r="C434" s="30"/>
      <c r="D434" s="30"/>
      <c r="G434" t="s">
        <v>540</v>
      </c>
    </row>
    <row r="435" spans="1:7" ht="16.5" x14ac:dyDescent="0.15">
      <c r="A435" s="30" t="s">
        <v>1324</v>
      </c>
      <c r="B435" s="30"/>
      <c r="C435" s="30"/>
      <c r="D435" s="30"/>
      <c r="G435" t="s">
        <v>544</v>
      </c>
    </row>
    <row r="436" spans="1:7" ht="16.5" x14ac:dyDescent="0.15">
      <c r="A436" s="30" t="s">
        <v>1325</v>
      </c>
      <c r="B436" s="30"/>
      <c r="C436" s="30"/>
      <c r="D436" s="30"/>
      <c r="G436" t="s">
        <v>548</v>
      </c>
    </row>
    <row r="437" spans="1:7" ht="16.5" x14ac:dyDescent="0.15">
      <c r="A437" s="30" t="s">
        <v>1326</v>
      </c>
      <c r="B437" s="30"/>
      <c r="C437" s="30"/>
      <c r="D437" s="30"/>
      <c r="G437" t="s">
        <v>551</v>
      </c>
    </row>
    <row r="438" spans="1:7" ht="16.5" x14ac:dyDescent="0.15">
      <c r="A438" s="30" t="s">
        <v>1327</v>
      </c>
      <c r="B438" s="30"/>
      <c r="C438" s="30"/>
      <c r="D438" s="30"/>
      <c r="G438" t="s">
        <v>554</v>
      </c>
    </row>
    <row r="439" spans="1:7" ht="16.5" x14ac:dyDescent="0.15">
      <c r="A439" s="30" t="s">
        <v>1326</v>
      </c>
      <c r="B439" s="30"/>
      <c r="C439" s="30"/>
      <c r="D439" s="30"/>
      <c r="G439" t="s">
        <v>556</v>
      </c>
    </row>
    <row r="440" spans="1:7" ht="16.5" x14ac:dyDescent="0.15">
      <c r="A440" s="30" t="s">
        <v>1328</v>
      </c>
      <c r="B440" s="30"/>
      <c r="C440" s="30"/>
      <c r="D440" s="30"/>
      <c r="G440" t="s">
        <v>559</v>
      </c>
    </row>
    <row r="441" spans="1:7" ht="16.5" x14ac:dyDescent="0.15">
      <c r="A441" s="30" t="s">
        <v>1329</v>
      </c>
      <c r="B441" s="30"/>
      <c r="C441" s="30"/>
      <c r="D441" s="30"/>
      <c r="G441" t="s">
        <v>561</v>
      </c>
    </row>
    <row r="442" spans="1:7" ht="16.5" x14ac:dyDescent="0.15">
      <c r="A442" s="30" t="s">
        <v>1330</v>
      </c>
      <c r="B442" s="30"/>
      <c r="C442" s="30"/>
      <c r="D442" s="30"/>
      <c r="G442" t="s">
        <v>564</v>
      </c>
    </row>
    <row r="443" spans="1:7" ht="16.5" x14ac:dyDescent="0.15">
      <c r="A443" s="30" t="s">
        <v>1331</v>
      </c>
      <c r="B443" s="30"/>
      <c r="C443" s="30"/>
      <c r="D443" s="30"/>
      <c r="G443" t="s">
        <v>566</v>
      </c>
    </row>
    <row r="444" spans="1:7" ht="16.5" x14ac:dyDescent="0.15">
      <c r="A444" s="30" t="s">
        <v>1332</v>
      </c>
      <c r="B444" s="30"/>
      <c r="C444" s="30"/>
      <c r="D444" s="30"/>
      <c r="G444" t="s">
        <v>568</v>
      </c>
    </row>
    <row r="445" spans="1:7" ht="16.5" x14ac:dyDescent="0.15">
      <c r="A445" s="30" t="s">
        <v>1333</v>
      </c>
      <c r="B445" s="30"/>
      <c r="C445" s="30"/>
      <c r="D445" s="30"/>
      <c r="G445" t="s">
        <v>571</v>
      </c>
    </row>
    <row r="446" spans="1:7" ht="16.5" x14ac:dyDescent="0.15">
      <c r="A446" s="30" t="s">
        <v>1334</v>
      </c>
      <c r="B446" s="30"/>
      <c r="C446" s="30"/>
      <c r="D446" s="30"/>
      <c r="G446" t="s">
        <v>574</v>
      </c>
    </row>
    <row r="447" spans="1:7" ht="16.5" x14ac:dyDescent="0.15">
      <c r="A447" s="30" t="s">
        <v>1335</v>
      </c>
      <c r="B447" s="30"/>
      <c r="C447" s="30"/>
      <c r="D447" s="30"/>
      <c r="G447" t="s">
        <v>577</v>
      </c>
    </row>
    <row r="448" spans="1:7" ht="16.5" x14ac:dyDescent="0.15">
      <c r="A448" s="30" t="s">
        <v>1336</v>
      </c>
      <c r="B448" s="30"/>
      <c r="C448" s="30"/>
      <c r="D448" s="30"/>
      <c r="G448" t="s">
        <v>579</v>
      </c>
    </row>
    <row r="449" spans="1:7" ht="16.5" x14ac:dyDescent="0.15">
      <c r="A449" s="30" t="s">
        <v>1337</v>
      </c>
      <c r="B449" s="30"/>
      <c r="C449" s="30"/>
      <c r="D449" s="30"/>
      <c r="G449" t="s">
        <v>582</v>
      </c>
    </row>
    <row r="450" spans="1:7" ht="16.5" x14ac:dyDescent="0.15">
      <c r="A450" s="30" t="s">
        <v>1338</v>
      </c>
      <c r="B450" s="30"/>
      <c r="C450" s="30"/>
      <c r="D450" s="30"/>
      <c r="G450" t="s">
        <v>1339</v>
      </c>
    </row>
    <row r="451" spans="1:7" ht="16.5" x14ac:dyDescent="0.15">
      <c r="A451" s="30" t="s">
        <v>1340</v>
      </c>
      <c r="B451" s="30"/>
      <c r="C451" s="30"/>
      <c r="D451" s="30"/>
      <c r="G451" t="s">
        <v>586</v>
      </c>
    </row>
    <row r="452" spans="1:7" ht="16.5" x14ac:dyDescent="0.15">
      <c r="A452" s="30" t="s">
        <v>1341</v>
      </c>
      <c r="B452" s="30"/>
      <c r="C452" s="30"/>
      <c r="D452" s="30"/>
      <c r="G452" t="s">
        <v>589</v>
      </c>
    </row>
    <row r="453" spans="1:7" ht="16.5" x14ac:dyDescent="0.15">
      <c r="A453" s="30" t="s">
        <v>1342</v>
      </c>
      <c r="B453" s="30"/>
      <c r="C453" s="30"/>
      <c r="D453" s="30"/>
      <c r="G453" t="s">
        <v>591</v>
      </c>
    </row>
    <row r="454" spans="1:7" ht="16.5" x14ac:dyDescent="0.15">
      <c r="A454" s="30" t="s">
        <v>470</v>
      </c>
      <c r="B454" s="30"/>
      <c r="C454" s="30"/>
      <c r="D454" s="30"/>
      <c r="G454" t="s">
        <v>592</v>
      </c>
    </row>
    <row r="455" spans="1:7" ht="16.5" x14ac:dyDescent="0.15">
      <c r="A455" s="30" t="s">
        <v>1343</v>
      </c>
      <c r="B455" s="30"/>
      <c r="C455" s="30"/>
      <c r="D455" s="30"/>
      <c r="G455" t="s">
        <v>595</v>
      </c>
    </row>
    <row r="456" spans="1:7" ht="16.5" x14ac:dyDescent="0.15">
      <c r="A456" s="30" t="s">
        <v>1344</v>
      </c>
      <c r="B456" s="30"/>
      <c r="C456" s="30"/>
      <c r="D456" s="30"/>
      <c r="G456" t="s">
        <v>596</v>
      </c>
    </row>
    <row r="457" spans="1:7" ht="16.5" x14ac:dyDescent="0.15">
      <c r="A457" s="30" t="s">
        <v>1345</v>
      </c>
      <c r="B457" s="30"/>
      <c r="C457" s="30"/>
      <c r="D457" s="30"/>
      <c r="G457" t="s">
        <v>599</v>
      </c>
    </row>
    <row r="458" spans="1:7" ht="16.5" x14ac:dyDescent="0.15">
      <c r="A458" s="30" t="s">
        <v>1346</v>
      </c>
      <c r="B458" s="30"/>
      <c r="C458" s="30"/>
      <c r="D458" s="30"/>
      <c r="G458" t="s">
        <v>601</v>
      </c>
    </row>
    <row r="459" spans="1:7" ht="16.5" x14ac:dyDescent="0.15">
      <c r="A459" s="30" t="s">
        <v>1347</v>
      </c>
      <c r="B459" s="30"/>
      <c r="C459" s="30"/>
      <c r="D459" s="30"/>
      <c r="G459" t="s">
        <v>604</v>
      </c>
    </row>
    <row r="460" spans="1:7" ht="16.5" x14ac:dyDescent="0.15">
      <c r="A460" s="30" t="s">
        <v>1348</v>
      </c>
      <c r="B460" s="30"/>
      <c r="C460" s="30"/>
      <c r="D460" s="30"/>
      <c r="G460" t="s">
        <v>607</v>
      </c>
    </row>
    <row r="461" spans="1:7" ht="16.5" x14ac:dyDescent="0.15">
      <c r="A461" s="30" t="s">
        <v>1349</v>
      </c>
      <c r="B461" s="30"/>
      <c r="C461" s="30"/>
      <c r="D461" s="30"/>
      <c r="G461" t="s">
        <v>610</v>
      </c>
    </row>
    <row r="462" spans="1:7" ht="16.5" x14ac:dyDescent="0.15">
      <c r="A462" s="30" t="s">
        <v>1350</v>
      </c>
      <c r="B462" s="30"/>
      <c r="C462" s="30"/>
      <c r="D462" s="30"/>
      <c r="G462" t="s">
        <v>613</v>
      </c>
    </row>
    <row r="463" spans="1:7" ht="16.5" x14ac:dyDescent="0.15">
      <c r="A463" s="30" t="s">
        <v>1351</v>
      </c>
      <c r="B463" s="30"/>
      <c r="C463" s="30"/>
      <c r="D463" s="30"/>
      <c r="G463" t="s">
        <v>808</v>
      </c>
    </row>
    <row r="464" spans="1:7" ht="16.5" x14ac:dyDescent="0.15">
      <c r="A464" s="30" t="s">
        <v>1352</v>
      </c>
      <c r="B464" s="30"/>
      <c r="C464" s="30"/>
      <c r="D464" s="30"/>
      <c r="G464" t="s">
        <v>810</v>
      </c>
    </row>
    <row r="465" spans="1:7" ht="16.5" x14ac:dyDescent="0.15">
      <c r="A465" s="30" t="s">
        <v>1353</v>
      </c>
      <c r="B465" s="30"/>
      <c r="C465" s="30"/>
      <c r="D465" s="30"/>
      <c r="G465" t="s">
        <v>813</v>
      </c>
    </row>
    <row r="466" spans="1:7" ht="16.5" x14ac:dyDescent="0.15">
      <c r="A466" s="30" t="s">
        <v>1354</v>
      </c>
      <c r="B466" s="30"/>
      <c r="C466" s="30"/>
      <c r="D466" s="30"/>
      <c r="G466" t="s">
        <v>815</v>
      </c>
    </row>
    <row r="467" spans="1:7" ht="16.5" x14ac:dyDescent="0.15">
      <c r="A467" s="30" t="s">
        <v>1355</v>
      </c>
      <c r="B467" s="30"/>
      <c r="C467" s="30"/>
      <c r="D467" s="30"/>
      <c r="G467" t="s">
        <v>819</v>
      </c>
    </row>
    <row r="468" spans="1:7" ht="16.5" x14ac:dyDescent="0.15">
      <c r="A468" s="30" t="s">
        <v>1356</v>
      </c>
      <c r="B468" s="30"/>
      <c r="C468" s="30"/>
      <c r="D468" s="30"/>
      <c r="G468" t="s">
        <v>823</v>
      </c>
    </row>
    <row r="469" spans="1:7" ht="16.5" x14ac:dyDescent="0.15">
      <c r="A469" s="30" t="s">
        <v>475</v>
      </c>
      <c r="B469" s="30"/>
      <c r="C469" s="30"/>
      <c r="D469" s="30"/>
      <c r="G469" t="s">
        <v>827</v>
      </c>
    </row>
    <row r="470" spans="1:7" ht="16.5" x14ac:dyDescent="0.15">
      <c r="A470" s="30" t="s">
        <v>1357</v>
      </c>
      <c r="B470" s="30"/>
      <c r="C470" s="30"/>
      <c r="D470" s="30"/>
      <c r="G470" t="s">
        <v>830</v>
      </c>
    </row>
    <row r="471" spans="1:7" ht="16.5" x14ac:dyDescent="0.15">
      <c r="A471" s="30" t="s">
        <v>1358</v>
      </c>
      <c r="B471" s="30"/>
      <c r="C471" s="30"/>
      <c r="D471" s="30"/>
      <c r="G471" s="31" t="s">
        <v>833</v>
      </c>
    </row>
    <row r="472" spans="1:7" ht="16.5" x14ac:dyDescent="0.15">
      <c r="A472" s="30" t="s">
        <v>1359</v>
      </c>
      <c r="B472" s="30"/>
      <c r="C472" s="30"/>
      <c r="D472" s="30"/>
      <c r="G472" s="31" t="s">
        <v>837</v>
      </c>
    </row>
    <row r="473" spans="1:7" ht="16.5" x14ac:dyDescent="0.15">
      <c r="A473" s="30" t="s">
        <v>1360</v>
      </c>
      <c r="B473" s="30"/>
      <c r="C473" s="30"/>
      <c r="D473" s="30"/>
      <c r="G473" s="31" t="s">
        <v>840</v>
      </c>
    </row>
    <row r="474" spans="1:7" ht="16.5" x14ac:dyDescent="0.15">
      <c r="A474" s="30" t="s">
        <v>1361</v>
      </c>
      <c r="B474" s="30"/>
      <c r="C474" s="30"/>
      <c r="D474" s="30"/>
      <c r="G474" s="31" t="s">
        <v>844</v>
      </c>
    </row>
    <row r="475" spans="1:7" ht="16.5" x14ac:dyDescent="0.15">
      <c r="A475" s="30" t="s">
        <v>1362</v>
      </c>
      <c r="B475" s="30"/>
      <c r="C475" s="30"/>
      <c r="D475" s="30"/>
      <c r="G475" s="31" t="s">
        <v>846</v>
      </c>
    </row>
    <row r="476" spans="1:7" ht="16.5" x14ac:dyDescent="0.15">
      <c r="A476" s="30" t="s">
        <v>1363</v>
      </c>
      <c r="B476" s="30"/>
      <c r="C476" s="30"/>
      <c r="D476" s="30"/>
      <c r="G476" s="31" t="s">
        <v>848</v>
      </c>
    </row>
    <row r="477" spans="1:7" ht="16.5" x14ac:dyDescent="0.15">
      <c r="A477" s="30" t="s">
        <v>357</v>
      </c>
      <c r="B477" s="30"/>
      <c r="C477" s="30"/>
      <c r="D477" s="30"/>
      <c r="G477" s="31" t="s">
        <v>850</v>
      </c>
    </row>
    <row r="478" spans="1:7" ht="16.5" x14ac:dyDescent="0.15">
      <c r="A478" s="30" t="s">
        <v>1364</v>
      </c>
      <c r="B478" s="30"/>
      <c r="C478" s="30"/>
      <c r="D478" s="30"/>
      <c r="G478" s="31" t="s">
        <v>852</v>
      </c>
    </row>
    <row r="479" spans="1:7" ht="16.5" x14ac:dyDescent="0.15">
      <c r="A479" s="30" t="s">
        <v>1365</v>
      </c>
      <c r="B479" s="30"/>
      <c r="C479" s="30"/>
      <c r="D479" s="30"/>
      <c r="G479" s="31" t="s">
        <v>855</v>
      </c>
    </row>
    <row r="480" spans="1:7" ht="16.5" x14ac:dyDescent="0.15">
      <c r="A480" s="30" t="s">
        <v>1366</v>
      </c>
      <c r="B480" s="30"/>
      <c r="C480" s="30"/>
      <c r="D480" s="30"/>
      <c r="G480" s="31" t="s">
        <v>515</v>
      </c>
    </row>
    <row r="481" spans="1:7" ht="16.5" x14ac:dyDescent="0.15">
      <c r="A481" s="30" t="s">
        <v>1367</v>
      </c>
      <c r="B481" s="30"/>
      <c r="C481" s="30"/>
      <c r="D481" s="30"/>
      <c r="G481" s="31" t="s">
        <v>858</v>
      </c>
    </row>
    <row r="482" spans="1:7" ht="16.5" x14ac:dyDescent="0.15">
      <c r="A482" s="30" t="s">
        <v>1368</v>
      </c>
      <c r="B482" s="30"/>
      <c r="C482" s="30"/>
      <c r="D482" s="30"/>
      <c r="G482" s="31" t="s">
        <v>860</v>
      </c>
    </row>
    <row r="483" spans="1:7" ht="16.5" x14ac:dyDescent="0.15">
      <c r="A483" s="30" t="s">
        <v>1369</v>
      </c>
      <c r="B483" s="30"/>
      <c r="C483" s="30"/>
      <c r="D483" s="30"/>
      <c r="G483" s="31" t="s">
        <v>862</v>
      </c>
    </row>
    <row r="484" spans="1:7" ht="16.5" x14ac:dyDescent="0.15">
      <c r="A484" s="30" t="s">
        <v>1370</v>
      </c>
      <c r="B484" s="30"/>
      <c r="C484" s="30"/>
      <c r="D484" s="30"/>
      <c r="G484" s="31" t="s">
        <v>858</v>
      </c>
    </row>
    <row r="485" spans="1:7" ht="16.5" x14ac:dyDescent="0.15">
      <c r="A485" s="30" t="s">
        <v>1371</v>
      </c>
      <c r="B485" s="30"/>
      <c r="C485" s="30"/>
      <c r="D485" s="30"/>
      <c r="G485" s="31" t="s">
        <v>865</v>
      </c>
    </row>
    <row r="486" spans="1:7" ht="16.5" x14ac:dyDescent="0.15">
      <c r="A486" s="30" t="s">
        <v>1372</v>
      </c>
      <c r="B486" s="30"/>
      <c r="C486" s="30"/>
      <c r="D486" s="30"/>
      <c r="G486" s="31" t="s">
        <v>867</v>
      </c>
    </row>
    <row r="487" spans="1:7" ht="16.5" x14ac:dyDescent="0.15">
      <c r="A487" s="30" t="s">
        <v>1373</v>
      </c>
      <c r="B487" s="30"/>
      <c r="C487" s="30"/>
      <c r="D487" s="30"/>
      <c r="G487" s="31" t="s">
        <v>870</v>
      </c>
    </row>
    <row r="488" spans="1:7" ht="16.5" x14ac:dyDescent="0.15">
      <c r="A488" s="30" t="s">
        <v>1374</v>
      </c>
      <c r="B488" s="30"/>
      <c r="C488" s="30"/>
      <c r="D488" s="30"/>
      <c r="G488" s="31" t="s">
        <v>872</v>
      </c>
    </row>
    <row r="489" spans="1:7" ht="16.5" x14ac:dyDescent="0.15">
      <c r="A489" s="30" t="s">
        <v>1375</v>
      </c>
      <c r="B489" s="30"/>
      <c r="C489" s="30"/>
      <c r="D489" s="30"/>
      <c r="G489" s="31" t="s">
        <v>875</v>
      </c>
    </row>
    <row r="490" spans="1:7" ht="16.5" x14ac:dyDescent="0.15">
      <c r="A490" s="30" t="s">
        <v>1376</v>
      </c>
      <c r="B490" s="30"/>
      <c r="C490" s="30"/>
      <c r="D490" s="30"/>
      <c r="G490" s="31" t="s">
        <v>877</v>
      </c>
    </row>
    <row r="491" spans="1:7" ht="16.5" x14ac:dyDescent="0.15">
      <c r="A491" s="30" t="s">
        <v>357</v>
      </c>
      <c r="B491" s="30"/>
      <c r="C491" s="30"/>
      <c r="D491" s="30"/>
      <c r="G491" s="31" t="s">
        <v>880</v>
      </c>
    </row>
    <row r="492" spans="1:7" ht="16.5" x14ac:dyDescent="0.15">
      <c r="A492" s="30" t="s">
        <v>1377</v>
      </c>
      <c r="B492" s="30"/>
      <c r="C492" s="30"/>
      <c r="D492" s="30"/>
      <c r="G492" s="31" t="s">
        <v>883</v>
      </c>
    </row>
    <row r="493" spans="1:7" ht="16.5" x14ac:dyDescent="0.15">
      <c r="A493" s="30" t="s">
        <v>352</v>
      </c>
      <c r="B493" s="30"/>
      <c r="C493" s="30"/>
      <c r="D493" s="30"/>
      <c r="G493" s="31" t="s">
        <v>885</v>
      </c>
    </row>
    <row r="494" spans="1:7" ht="16.5" x14ac:dyDescent="0.15">
      <c r="A494" s="30" t="s">
        <v>1378</v>
      </c>
      <c r="B494" s="30"/>
      <c r="C494" s="30"/>
      <c r="D494" s="30"/>
      <c r="G494" s="31" t="s">
        <v>887</v>
      </c>
    </row>
    <row r="495" spans="1:7" ht="16.5" x14ac:dyDescent="0.15">
      <c r="A495" s="30" t="s">
        <v>1379</v>
      </c>
      <c r="B495" s="30"/>
      <c r="C495" s="30"/>
      <c r="D495" s="30"/>
      <c r="G495" s="31" t="s">
        <v>890</v>
      </c>
    </row>
    <row r="496" spans="1:7" ht="16.5" x14ac:dyDescent="0.15">
      <c r="A496" s="30" t="s">
        <v>1380</v>
      </c>
      <c r="B496" s="30"/>
      <c r="C496" s="30"/>
      <c r="D496" s="30"/>
      <c r="G496" s="31" t="s">
        <v>892</v>
      </c>
    </row>
    <row r="497" spans="1:7" ht="16.5" x14ac:dyDescent="0.15">
      <c r="A497" s="30" t="s">
        <v>1381</v>
      </c>
      <c r="B497" s="30"/>
      <c r="C497" s="30"/>
      <c r="D497" s="30"/>
      <c r="G497" s="31" t="s">
        <v>525</v>
      </c>
    </row>
    <row r="498" spans="1:7" ht="16.5" x14ac:dyDescent="0.15">
      <c r="A498" s="30" t="s">
        <v>1382</v>
      </c>
      <c r="B498" s="30"/>
      <c r="C498" s="30"/>
      <c r="D498" s="30"/>
      <c r="G498" s="31" t="s">
        <v>897</v>
      </c>
    </row>
    <row r="499" spans="1:7" ht="16.5" x14ac:dyDescent="0.15">
      <c r="A499" s="30" t="s">
        <v>1383</v>
      </c>
      <c r="B499" s="30"/>
      <c r="C499" s="30"/>
      <c r="D499" s="30"/>
      <c r="G499" s="31" t="s">
        <v>900</v>
      </c>
    </row>
    <row r="500" spans="1:7" ht="16.5" x14ac:dyDescent="0.15">
      <c r="A500" s="30" t="s">
        <v>1384</v>
      </c>
      <c r="B500" s="30"/>
      <c r="C500" s="30"/>
      <c r="D500" s="30"/>
      <c r="G500" s="31" t="s">
        <v>903</v>
      </c>
    </row>
    <row r="501" spans="1:7" ht="16.5" x14ac:dyDescent="0.15">
      <c r="A501" s="30" t="s">
        <v>419</v>
      </c>
      <c r="B501" s="30"/>
      <c r="C501" s="30"/>
      <c r="D501" s="30"/>
      <c r="G501" s="31" t="s">
        <v>905</v>
      </c>
    </row>
    <row r="502" spans="1:7" ht="16.5" x14ac:dyDescent="0.15">
      <c r="A502" s="30" t="s">
        <v>1385</v>
      </c>
      <c r="B502" s="30"/>
      <c r="C502" s="30"/>
      <c r="D502" s="30"/>
      <c r="G502" s="31" t="s">
        <v>908</v>
      </c>
    </row>
    <row r="503" spans="1:7" ht="16.5" x14ac:dyDescent="0.15">
      <c r="A503" s="30" t="s">
        <v>1386</v>
      </c>
      <c r="B503" s="30"/>
      <c r="C503" s="30"/>
      <c r="D503" s="30"/>
      <c r="G503" s="31" t="s">
        <v>910</v>
      </c>
    </row>
    <row r="504" spans="1:7" ht="16.5" x14ac:dyDescent="0.15">
      <c r="A504" s="30" t="s">
        <v>1387</v>
      </c>
      <c r="B504" s="30"/>
      <c r="C504" s="30"/>
      <c r="D504" s="30"/>
      <c r="G504" s="31" t="s">
        <v>912</v>
      </c>
    </row>
    <row r="505" spans="1:7" ht="16.5" x14ac:dyDescent="0.15">
      <c r="A505" s="30" t="s">
        <v>1388</v>
      </c>
      <c r="B505" s="30"/>
      <c r="C505" s="30"/>
      <c r="D505" s="30"/>
      <c r="G505" s="31" t="s">
        <v>502</v>
      </c>
    </row>
    <row r="506" spans="1:7" ht="16.5" x14ac:dyDescent="0.15">
      <c r="A506" s="30" t="s">
        <v>1389</v>
      </c>
      <c r="B506" s="30"/>
      <c r="C506" s="30"/>
      <c r="D506" s="30"/>
      <c r="G506" s="31" t="s">
        <v>917</v>
      </c>
    </row>
    <row r="507" spans="1:7" ht="16.5" x14ac:dyDescent="0.15">
      <c r="A507" s="30" t="s">
        <v>1390</v>
      </c>
      <c r="B507" s="30"/>
      <c r="C507" s="30"/>
      <c r="D507" s="30"/>
      <c r="G507" s="31" t="s">
        <v>920</v>
      </c>
    </row>
    <row r="508" spans="1:7" ht="16.5" x14ac:dyDescent="0.15">
      <c r="A508" s="30" t="s">
        <v>371</v>
      </c>
      <c r="B508" s="30"/>
      <c r="C508" s="30"/>
      <c r="D508" s="30"/>
      <c r="G508" s="31" t="s">
        <v>922</v>
      </c>
    </row>
    <row r="509" spans="1:7" ht="16.5" x14ac:dyDescent="0.15">
      <c r="A509" s="30" t="s">
        <v>1391</v>
      </c>
      <c r="B509" s="30"/>
      <c r="C509" s="30"/>
      <c r="D509" s="30"/>
      <c r="G509" s="31" t="s">
        <v>925</v>
      </c>
    </row>
    <row r="510" spans="1:7" ht="16.5" x14ac:dyDescent="0.15">
      <c r="A510" s="30" t="s">
        <v>1392</v>
      </c>
      <c r="B510" s="30"/>
      <c r="C510" s="30"/>
      <c r="D510" s="30"/>
      <c r="G510" s="31" t="s">
        <v>928</v>
      </c>
    </row>
    <row r="511" spans="1:7" ht="16.5" x14ac:dyDescent="0.15">
      <c r="A511" s="30" t="s">
        <v>1393</v>
      </c>
      <c r="B511" s="30"/>
      <c r="C511" s="30"/>
      <c r="D511" s="30"/>
      <c r="G511" s="31" t="s">
        <v>931</v>
      </c>
    </row>
    <row r="512" spans="1:7" ht="16.5" x14ac:dyDescent="0.15">
      <c r="A512" s="30" t="s">
        <v>836</v>
      </c>
      <c r="B512" s="30"/>
      <c r="C512" s="30"/>
      <c r="D512" s="30"/>
      <c r="G512" s="31" t="s">
        <v>934</v>
      </c>
    </row>
    <row r="513" spans="1:7" ht="16.5" x14ac:dyDescent="0.15">
      <c r="A513" s="30" t="s">
        <v>1394</v>
      </c>
      <c r="B513" s="30"/>
      <c r="C513" s="30"/>
      <c r="D513" s="30"/>
      <c r="G513" s="31" t="s">
        <v>936</v>
      </c>
    </row>
    <row r="514" spans="1:7" ht="16.5" x14ac:dyDescent="0.15">
      <c r="A514" s="30" t="s">
        <v>1395</v>
      </c>
      <c r="B514" s="30"/>
      <c r="C514" s="30"/>
      <c r="D514" s="30"/>
      <c r="G514" s="31" t="s">
        <v>938</v>
      </c>
    </row>
    <row r="515" spans="1:7" ht="16.5" x14ac:dyDescent="0.15">
      <c r="A515" s="30" t="s">
        <v>843</v>
      </c>
      <c r="B515" s="30"/>
      <c r="C515" s="30"/>
      <c r="D515" s="30"/>
      <c r="G515" s="31" t="s">
        <v>939</v>
      </c>
    </row>
    <row r="516" spans="1:7" ht="16.5" x14ac:dyDescent="0.15">
      <c r="A516" s="30" t="s">
        <v>1396</v>
      </c>
      <c r="B516" s="30"/>
      <c r="C516" s="30"/>
      <c r="D516" s="30"/>
      <c r="G516" s="31" t="s">
        <v>509</v>
      </c>
    </row>
    <row r="517" spans="1:7" ht="16.5" x14ac:dyDescent="0.15">
      <c r="A517" s="30" t="s">
        <v>1397</v>
      </c>
      <c r="B517" s="30"/>
      <c r="C517" s="30"/>
      <c r="D517" s="30"/>
      <c r="G517" s="31" t="s">
        <v>943</v>
      </c>
    </row>
    <row r="518" spans="1:7" ht="16.5" x14ac:dyDescent="0.15">
      <c r="A518" s="30" t="s">
        <v>727</v>
      </c>
      <c r="B518" s="30"/>
      <c r="C518" s="30"/>
      <c r="D518" s="30"/>
      <c r="G518" s="31" t="s">
        <v>946</v>
      </c>
    </row>
    <row r="519" spans="1:7" ht="16.5" x14ac:dyDescent="0.15">
      <c r="A519" s="30" t="s">
        <v>727</v>
      </c>
      <c r="B519" s="30"/>
      <c r="C519" s="30"/>
      <c r="D519" s="30"/>
      <c r="G519" s="31" t="s">
        <v>949</v>
      </c>
    </row>
    <row r="520" spans="1:7" ht="16.5" x14ac:dyDescent="0.15">
      <c r="A520" s="30" t="s">
        <v>1398</v>
      </c>
      <c r="B520" s="30"/>
      <c r="C520" s="30"/>
      <c r="D520" s="30"/>
      <c r="G520" s="31" t="s">
        <v>952</v>
      </c>
    </row>
    <row r="521" spans="1:7" ht="16.5" x14ac:dyDescent="0.15">
      <c r="A521" s="30" t="s">
        <v>1399</v>
      </c>
      <c r="B521" s="30"/>
      <c r="C521" s="30"/>
      <c r="D521" s="30"/>
      <c r="G521" s="31" t="s">
        <v>955</v>
      </c>
    </row>
    <row r="522" spans="1:7" ht="16.5" x14ac:dyDescent="0.15">
      <c r="A522" s="30" t="s">
        <v>1400</v>
      </c>
      <c r="B522" s="30"/>
      <c r="C522" s="30"/>
      <c r="D522" s="30"/>
      <c r="G522" s="31" t="s">
        <v>958</v>
      </c>
    </row>
    <row r="523" spans="1:7" ht="16.5" x14ac:dyDescent="0.15">
      <c r="A523" s="30" t="s">
        <v>1401</v>
      </c>
      <c r="B523" s="30"/>
      <c r="C523" s="30"/>
      <c r="D523" s="30"/>
      <c r="G523" s="31" t="s">
        <v>848</v>
      </c>
    </row>
    <row r="524" spans="1:7" ht="16.5" x14ac:dyDescent="0.15">
      <c r="A524" s="30" t="s">
        <v>1402</v>
      </c>
      <c r="B524" s="30"/>
      <c r="C524" s="30"/>
      <c r="D524" s="30"/>
      <c r="G524" s="31" t="s">
        <v>963</v>
      </c>
    </row>
    <row r="525" spans="1:7" ht="16.5" x14ac:dyDescent="0.15">
      <c r="A525" s="30" t="s">
        <v>1403</v>
      </c>
      <c r="B525" s="30"/>
      <c r="C525" s="30"/>
      <c r="D525" s="30"/>
      <c r="G525" s="31" t="s">
        <v>966</v>
      </c>
    </row>
    <row r="526" spans="1:7" ht="16.5" x14ac:dyDescent="0.15">
      <c r="A526" s="30" t="s">
        <v>1404</v>
      </c>
      <c r="B526" s="30"/>
      <c r="C526" s="30"/>
      <c r="D526" s="30"/>
      <c r="G526" s="31" t="s">
        <v>968</v>
      </c>
    </row>
    <row r="527" spans="1:7" ht="16.5" x14ac:dyDescent="0.15">
      <c r="A527" s="30" t="s">
        <v>1405</v>
      </c>
      <c r="B527" s="30"/>
      <c r="C527" s="30"/>
      <c r="D527" s="30"/>
      <c r="G527" s="31" t="s">
        <v>971</v>
      </c>
    </row>
    <row r="528" spans="1:7" ht="16.5" x14ac:dyDescent="0.15">
      <c r="A528" s="30" t="s">
        <v>1406</v>
      </c>
      <c r="B528" s="30"/>
      <c r="C528" s="30"/>
      <c r="D528" s="30"/>
      <c r="G528" s="31" t="s">
        <v>974</v>
      </c>
    </row>
    <row r="529" spans="1:7" ht="16.5" x14ac:dyDescent="0.15">
      <c r="A529" s="30" t="s">
        <v>1407</v>
      </c>
      <c r="B529" s="30"/>
      <c r="C529" s="30"/>
      <c r="D529" s="30"/>
      <c r="G529" s="31" t="s">
        <v>977</v>
      </c>
    </row>
    <row r="530" spans="1:7" ht="16.5" x14ac:dyDescent="0.15">
      <c r="A530" s="30" t="s">
        <v>1408</v>
      </c>
      <c r="B530" s="30"/>
      <c r="C530" s="30"/>
      <c r="D530" s="30"/>
      <c r="G530" s="31" t="s">
        <v>980</v>
      </c>
    </row>
    <row r="531" spans="1:7" ht="16.5" x14ac:dyDescent="0.15">
      <c r="A531" s="30" t="s">
        <v>1409</v>
      </c>
      <c r="B531" s="30"/>
      <c r="C531" s="30"/>
      <c r="D531" s="30"/>
      <c r="G531" s="31" t="s">
        <v>982</v>
      </c>
    </row>
    <row r="532" spans="1:7" ht="16.5" x14ac:dyDescent="0.15">
      <c r="A532" s="30" t="s">
        <v>1410</v>
      </c>
      <c r="B532" s="30"/>
      <c r="C532" s="30"/>
      <c r="D532" s="30"/>
      <c r="G532" s="31" t="s">
        <v>984</v>
      </c>
    </row>
    <row r="533" spans="1:7" ht="16.5" x14ac:dyDescent="0.15">
      <c r="A533" s="30" t="s">
        <v>1411</v>
      </c>
      <c r="B533" s="30"/>
      <c r="C533" s="30"/>
      <c r="D533" s="30"/>
      <c r="G533" s="31" t="s">
        <v>986</v>
      </c>
    </row>
    <row r="534" spans="1:7" ht="16.5" x14ac:dyDescent="0.15">
      <c r="A534" s="30" t="s">
        <v>1412</v>
      </c>
      <c r="B534" s="30"/>
      <c r="C534" s="30"/>
      <c r="D534" s="30"/>
      <c r="G534" s="31" t="s">
        <v>478</v>
      </c>
    </row>
    <row r="535" spans="1:7" ht="16.5" x14ac:dyDescent="0.15">
      <c r="A535" s="30" t="s">
        <v>1413</v>
      </c>
      <c r="B535" s="30"/>
      <c r="C535" s="30"/>
      <c r="D535" s="30"/>
      <c r="G535" s="31" t="s">
        <v>989</v>
      </c>
    </row>
    <row r="536" spans="1:7" ht="16.5" x14ac:dyDescent="0.15">
      <c r="A536" s="30" t="s">
        <v>1414</v>
      </c>
      <c r="B536" s="30"/>
      <c r="C536" s="30"/>
      <c r="D536" s="30"/>
      <c r="G536" s="31" t="s">
        <v>992</v>
      </c>
    </row>
    <row r="537" spans="1:7" ht="16.5" x14ac:dyDescent="0.15">
      <c r="A537" s="30" t="s">
        <v>1415</v>
      </c>
      <c r="B537" s="30"/>
      <c r="C537" s="30"/>
      <c r="D537" s="30"/>
      <c r="G537" s="31" t="s">
        <v>994</v>
      </c>
    </row>
    <row r="538" spans="1:7" ht="16.5" x14ac:dyDescent="0.15">
      <c r="A538" s="30" t="s">
        <v>1416</v>
      </c>
      <c r="B538" s="30"/>
      <c r="C538" s="30"/>
      <c r="D538" s="30"/>
      <c r="G538" s="31" t="s">
        <v>996</v>
      </c>
    </row>
    <row r="539" spans="1:7" ht="16.5" x14ac:dyDescent="0.15">
      <c r="A539" s="30" t="s">
        <v>1417</v>
      </c>
      <c r="B539" s="30"/>
      <c r="C539" s="30"/>
      <c r="D539" s="30"/>
      <c r="G539" s="31" t="s">
        <v>507</v>
      </c>
    </row>
    <row r="540" spans="1:7" ht="16.5" x14ac:dyDescent="0.15">
      <c r="A540" s="30" t="s">
        <v>1418</v>
      </c>
      <c r="B540" s="30"/>
      <c r="C540" s="30"/>
      <c r="D540" s="30"/>
      <c r="G540" s="31" t="s">
        <v>486</v>
      </c>
    </row>
    <row r="541" spans="1:7" ht="16.5" x14ac:dyDescent="0.15">
      <c r="A541" s="30" t="s">
        <v>1419</v>
      </c>
      <c r="B541" s="30"/>
      <c r="C541" s="30"/>
      <c r="D541" s="30"/>
      <c r="G541" s="31" t="s">
        <v>1000</v>
      </c>
    </row>
    <row r="542" spans="1:7" ht="16.5" x14ac:dyDescent="0.15">
      <c r="A542" s="30" t="s">
        <v>1420</v>
      </c>
      <c r="B542" s="30"/>
      <c r="C542" s="30"/>
      <c r="D542" s="30"/>
      <c r="G542" s="31" t="s">
        <v>493</v>
      </c>
    </row>
    <row r="543" spans="1:7" ht="16.5" x14ac:dyDescent="0.15">
      <c r="A543" s="30" t="s">
        <v>1421</v>
      </c>
      <c r="B543" s="30"/>
      <c r="C543" s="30"/>
      <c r="D543" s="30"/>
      <c r="G543" s="31" t="s">
        <v>1003</v>
      </c>
    </row>
    <row r="544" spans="1:7" ht="16.5" x14ac:dyDescent="0.15">
      <c r="A544" s="30" t="s">
        <v>1422</v>
      </c>
      <c r="B544" s="30"/>
      <c r="C544" s="30"/>
      <c r="D544" s="30"/>
      <c r="G544" s="31" t="s">
        <v>1006</v>
      </c>
    </row>
    <row r="545" spans="1:7" ht="16.5" x14ac:dyDescent="0.15">
      <c r="A545" s="30" t="s">
        <v>1423</v>
      </c>
      <c r="B545" s="30"/>
      <c r="C545" s="30"/>
      <c r="D545" s="30"/>
      <c r="G545" s="31" t="s">
        <v>1008</v>
      </c>
    </row>
    <row r="546" spans="1:7" ht="16.5" x14ac:dyDescent="0.15">
      <c r="A546" s="30" t="s">
        <v>1424</v>
      </c>
      <c r="B546" s="30"/>
      <c r="C546" s="30"/>
      <c r="D546" s="30"/>
      <c r="G546" s="31" t="s">
        <v>1011</v>
      </c>
    </row>
    <row r="547" spans="1:7" ht="16.5" x14ac:dyDescent="0.15">
      <c r="A547" s="30" t="s">
        <v>1425</v>
      </c>
      <c r="B547" s="30"/>
      <c r="C547" s="30"/>
      <c r="D547" s="30"/>
      <c r="G547" s="31" t="s">
        <v>1013</v>
      </c>
    </row>
    <row r="548" spans="1:7" ht="16.5" x14ac:dyDescent="0.15">
      <c r="A548" s="30" t="s">
        <v>1426</v>
      </c>
      <c r="B548" s="30"/>
      <c r="C548" s="30"/>
      <c r="D548" s="30"/>
      <c r="G548" s="31" t="s">
        <v>963</v>
      </c>
    </row>
    <row r="549" spans="1:7" ht="16.5" x14ac:dyDescent="0.15">
      <c r="A549" s="30" t="s">
        <v>1427</v>
      </c>
      <c r="B549" s="30"/>
      <c r="C549" s="30"/>
      <c r="D549" s="30"/>
      <c r="G549" s="31" t="s">
        <v>1017</v>
      </c>
    </row>
    <row r="550" spans="1:7" ht="16.5" x14ac:dyDescent="0.15">
      <c r="A550" s="30" t="s">
        <v>414</v>
      </c>
      <c r="B550" s="30"/>
      <c r="C550" s="30"/>
      <c r="D550" s="30"/>
      <c r="G550" s="31" t="s">
        <v>924</v>
      </c>
    </row>
    <row r="551" spans="1:7" ht="16.5" x14ac:dyDescent="0.15">
      <c r="A551" s="30" t="s">
        <v>1428</v>
      </c>
      <c r="B551" s="30"/>
      <c r="C551" s="30"/>
      <c r="D551" s="30"/>
      <c r="G551" s="31" t="s">
        <v>927</v>
      </c>
    </row>
    <row r="552" spans="1:7" ht="16.5" x14ac:dyDescent="0.15">
      <c r="A552" s="30" t="s">
        <v>1429</v>
      </c>
      <c r="B552" s="30"/>
      <c r="C552" s="30"/>
      <c r="D552" s="30"/>
      <c r="G552" s="31" t="s">
        <v>930</v>
      </c>
    </row>
    <row r="553" spans="1:7" ht="16.5" x14ac:dyDescent="0.15">
      <c r="A553" s="30" t="s">
        <v>866</v>
      </c>
      <c r="B553" s="30"/>
      <c r="C553" s="30"/>
      <c r="D553" s="30"/>
      <c r="G553" s="31" t="s">
        <v>933</v>
      </c>
    </row>
    <row r="554" spans="1:7" ht="16.5" x14ac:dyDescent="0.15">
      <c r="A554" s="30" t="s">
        <v>1430</v>
      </c>
      <c r="B554" s="30"/>
      <c r="C554" s="30"/>
      <c r="D554" s="30"/>
      <c r="G554" s="31" t="s">
        <v>483</v>
      </c>
    </row>
    <row r="555" spans="1:7" ht="16.5" x14ac:dyDescent="0.15">
      <c r="A555" s="30" t="s">
        <v>1431</v>
      </c>
      <c r="B555" s="30"/>
      <c r="C555" s="30"/>
      <c r="D555" s="30"/>
      <c r="G555" s="31" t="s">
        <v>937</v>
      </c>
    </row>
    <row r="556" spans="1:7" ht="16.5" x14ac:dyDescent="0.15">
      <c r="A556" s="30" t="s">
        <v>1432</v>
      </c>
      <c r="B556" s="30"/>
      <c r="C556" s="30"/>
      <c r="D556" s="30"/>
      <c r="G556" s="31" t="s">
        <v>469</v>
      </c>
    </row>
    <row r="557" spans="1:7" ht="16.5" x14ac:dyDescent="0.15">
      <c r="A557" s="30" t="s">
        <v>1433</v>
      </c>
      <c r="B557" s="30"/>
      <c r="C557" s="30"/>
      <c r="D557" s="30"/>
      <c r="G557" s="31" t="s">
        <v>942</v>
      </c>
    </row>
    <row r="558" spans="1:7" ht="16.5" x14ac:dyDescent="0.15">
      <c r="A558" s="30" t="s">
        <v>1434</v>
      </c>
      <c r="B558" s="30"/>
      <c r="C558" s="30"/>
      <c r="D558" s="30"/>
      <c r="G558" s="31" t="s">
        <v>945</v>
      </c>
    </row>
    <row r="559" spans="1:7" ht="16.5" x14ac:dyDescent="0.15">
      <c r="A559" s="30" t="s">
        <v>1435</v>
      </c>
      <c r="B559" s="30"/>
      <c r="C559" s="30"/>
      <c r="D559" s="30"/>
      <c r="G559" s="31" t="s">
        <v>951</v>
      </c>
    </row>
    <row r="560" spans="1:7" ht="16.5" x14ac:dyDescent="0.15">
      <c r="A560" s="30" t="s">
        <v>1436</v>
      </c>
      <c r="B560" s="30"/>
      <c r="C560" s="30"/>
      <c r="D560" s="30"/>
      <c r="G560" s="31" t="s">
        <v>954</v>
      </c>
    </row>
    <row r="561" spans="1:7" ht="16.5" x14ac:dyDescent="0.15">
      <c r="A561" s="30" t="s">
        <v>1437</v>
      </c>
      <c r="B561" s="30"/>
      <c r="C561" s="30"/>
      <c r="D561" s="30"/>
      <c r="G561" s="31" t="s">
        <v>957</v>
      </c>
    </row>
    <row r="562" spans="1:7" ht="16.5" x14ac:dyDescent="0.15">
      <c r="A562" s="30" t="s">
        <v>1438</v>
      </c>
      <c r="B562" s="30"/>
      <c r="C562" s="30"/>
      <c r="D562" s="30"/>
      <c r="G562" s="31" t="s">
        <v>960</v>
      </c>
    </row>
    <row r="563" spans="1:7" ht="16.5" x14ac:dyDescent="0.15">
      <c r="A563" s="30" t="s">
        <v>1439</v>
      </c>
      <c r="B563" s="30"/>
      <c r="C563" s="30"/>
      <c r="D563" s="30"/>
      <c r="G563" s="31" t="s">
        <v>965</v>
      </c>
    </row>
    <row r="564" spans="1:7" ht="16.5" x14ac:dyDescent="0.15">
      <c r="A564" s="30" t="s">
        <v>1440</v>
      </c>
      <c r="B564" s="30"/>
      <c r="C564" s="30"/>
      <c r="D564" s="30"/>
      <c r="G564" s="31" t="s">
        <v>314</v>
      </c>
    </row>
    <row r="565" spans="1:7" ht="16.5" x14ac:dyDescent="0.15">
      <c r="A565" s="30" t="s">
        <v>1441</v>
      </c>
      <c r="B565" s="30"/>
      <c r="C565" s="30"/>
      <c r="D565" s="30"/>
      <c r="G565" s="31" t="s">
        <v>970</v>
      </c>
    </row>
    <row r="566" spans="1:7" ht="16.5" x14ac:dyDescent="0.15">
      <c r="A566" s="30" t="s">
        <v>1442</v>
      </c>
      <c r="B566" s="30"/>
      <c r="C566" s="30"/>
      <c r="D566" s="30"/>
      <c r="G566" s="31" t="s">
        <v>973</v>
      </c>
    </row>
    <row r="567" spans="1:7" ht="16.5" x14ac:dyDescent="0.15">
      <c r="A567" s="30" t="s">
        <v>1443</v>
      </c>
      <c r="B567" s="30"/>
      <c r="C567" s="30"/>
      <c r="D567" s="30"/>
      <c r="G567" s="31" t="s">
        <v>976</v>
      </c>
    </row>
    <row r="568" spans="1:7" ht="16.5" x14ac:dyDescent="0.15">
      <c r="A568" s="30" t="s">
        <v>1444</v>
      </c>
      <c r="B568" s="30"/>
      <c r="C568" s="30"/>
      <c r="D568" s="30"/>
      <c r="G568" s="31" t="s">
        <v>832</v>
      </c>
    </row>
    <row r="569" spans="1:7" ht="16.5" x14ac:dyDescent="0.15">
      <c r="A569" s="30" t="s">
        <v>1445</v>
      </c>
      <c r="B569" s="30"/>
      <c r="C569" s="30"/>
      <c r="D569" s="30"/>
      <c r="G569" s="31" t="s">
        <v>836</v>
      </c>
    </row>
    <row r="570" spans="1:7" ht="16.5" x14ac:dyDescent="0.15">
      <c r="A570" s="30" t="s">
        <v>1446</v>
      </c>
      <c r="B570" s="30"/>
      <c r="C570" s="30"/>
      <c r="D570" s="30"/>
      <c r="G570" s="31" t="s">
        <v>839</v>
      </c>
    </row>
    <row r="571" spans="1:7" ht="16.5" x14ac:dyDescent="0.15">
      <c r="A571" s="30" t="s">
        <v>1447</v>
      </c>
      <c r="B571" s="30"/>
      <c r="C571" s="30"/>
      <c r="D571" s="30"/>
      <c r="G571" s="31" t="s">
        <v>843</v>
      </c>
    </row>
    <row r="572" spans="1:7" ht="16.5" x14ac:dyDescent="0.15">
      <c r="A572" s="30" t="s">
        <v>1448</v>
      </c>
      <c r="B572" s="30"/>
      <c r="C572" s="30"/>
      <c r="D572" s="30"/>
      <c r="G572" s="31" t="s">
        <v>381</v>
      </c>
    </row>
    <row r="573" spans="1:7" ht="16.5" x14ac:dyDescent="0.15">
      <c r="A573" s="30" t="s">
        <v>1449</v>
      </c>
      <c r="B573" s="30"/>
      <c r="C573" s="30"/>
      <c r="D573" s="30"/>
      <c r="G573" s="31" t="s">
        <v>385</v>
      </c>
    </row>
    <row r="574" spans="1:7" ht="16.5" x14ac:dyDescent="0.15">
      <c r="A574" s="30" t="s">
        <v>1450</v>
      </c>
      <c r="B574" s="30"/>
      <c r="C574" s="30"/>
      <c r="D574" s="30"/>
      <c r="G574" s="31" t="s">
        <v>727</v>
      </c>
    </row>
    <row r="575" spans="1:7" ht="16.5" x14ac:dyDescent="0.15">
      <c r="A575" s="30" t="s">
        <v>1451</v>
      </c>
      <c r="B575" s="30"/>
      <c r="C575" s="30"/>
      <c r="D575" s="30"/>
      <c r="G575" s="31" t="s">
        <v>854</v>
      </c>
    </row>
    <row r="576" spans="1:7" ht="16.5" x14ac:dyDescent="0.15">
      <c r="A576" s="30" t="s">
        <v>1452</v>
      </c>
      <c r="B576" s="30"/>
      <c r="C576" s="30"/>
      <c r="D576" s="30"/>
      <c r="G576" s="31" t="s">
        <v>394</v>
      </c>
    </row>
    <row r="577" spans="1:7" ht="16.5" x14ac:dyDescent="0.15">
      <c r="A577" s="30" t="s">
        <v>1453</v>
      </c>
      <c r="B577" s="30"/>
      <c r="C577" s="30"/>
      <c r="D577" s="30"/>
      <c r="G577" s="31" t="s">
        <v>398</v>
      </c>
    </row>
    <row r="578" spans="1:7" ht="16.5" x14ac:dyDescent="0.15">
      <c r="A578" s="30" t="s">
        <v>1454</v>
      </c>
      <c r="B578" s="30"/>
      <c r="C578" s="30"/>
      <c r="D578" s="30"/>
      <c r="G578" s="31" t="s">
        <v>866</v>
      </c>
    </row>
    <row r="579" spans="1:7" ht="16.5" x14ac:dyDescent="0.15">
      <c r="A579" s="30" t="s">
        <v>1455</v>
      </c>
      <c r="B579" s="30"/>
      <c r="C579" s="30"/>
      <c r="D579" s="30"/>
      <c r="G579" s="31" t="s">
        <v>879</v>
      </c>
    </row>
    <row r="580" spans="1:7" ht="16.5" x14ac:dyDescent="0.15">
      <c r="A580" s="30" t="s">
        <v>1456</v>
      </c>
      <c r="B580" s="30"/>
      <c r="C580" s="30"/>
      <c r="D580" s="30"/>
      <c r="G580" s="31" t="s">
        <v>882</v>
      </c>
    </row>
    <row r="581" spans="1:7" ht="16.5" x14ac:dyDescent="0.15">
      <c r="A581" s="30" t="s">
        <v>1457</v>
      </c>
      <c r="B581" s="30"/>
      <c r="C581" s="30"/>
      <c r="D581" s="30"/>
      <c r="G581" s="31" t="s">
        <v>884</v>
      </c>
    </row>
    <row r="582" spans="1:7" ht="16.5" x14ac:dyDescent="0.15">
      <c r="A582" s="30" t="s">
        <v>1458</v>
      </c>
      <c r="B582" s="30"/>
      <c r="C582" s="30"/>
      <c r="D582" s="30"/>
      <c r="G582" s="31" t="s">
        <v>428</v>
      </c>
    </row>
    <row r="583" spans="1:7" ht="16.5" x14ac:dyDescent="0.15">
      <c r="A583" s="30" t="s">
        <v>1459</v>
      </c>
      <c r="B583" s="30"/>
      <c r="C583" s="30"/>
      <c r="D583" s="30"/>
      <c r="G583" s="31" t="s">
        <v>889</v>
      </c>
    </row>
    <row r="584" spans="1:7" ht="16.5" x14ac:dyDescent="0.15">
      <c r="A584" s="30" t="s">
        <v>1460</v>
      </c>
      <c r="B584" s="30"/>
      <c r="C584" s="30"/>
      <c r="D584" s="30"/>
      <c r="G584" s="31" t="s">
        <v>442</v>
      </c>
    </row>
    <row r="585" spans="1:7" ht="16.5" x14ac:dyDescent="0.15">
      <c r="A585" s="30" t="s">
        <v>1461</v>
      </c>
      <c r="B585" s="30"/>
      <c r="C585" s="30"/>
      <c r="D585" s="30"/>
      <c r="G585" s="31" t="s">
        <v>894</v>
      </c>
    </row>
    <row r="586" spans="1:7" ht="16.5" x14ac:dyDescent="0.15">
      <c r="A586" s="30" t="s">
        <v>1462</v>
      </c>
      <c r="B586" s="30"/>
      <c r="C586" s="30"/>
      <c r="D586" s="30"/>
      <c r="G586" s="31" t="s">
        <v>896</v>
      </c>
    </row>
    <row r="587" spans="1:7" ht="16.5" x14ac:dyDescent="0.15">
      <c r="A587" s="30" t="s">
        <v>1463</v>
      </c>
      <c r="B587" s="30"/>
      <c r="C587" s="30"/>
      <c r="D587" s="30"/>
      <c r="G587" s="31" t="s">
        <v>899</v>
      </c>
    </row>
    <row r="588" spans="1:7" ht="16.5" x14ac:dyDescent="0.15">
      <c r="A588" s="30" t="s">
        <v>1464</v>
      </c>
      <c r="B588" s="30"/>
      <c r="C588" s="30"/>
      <c r="D588" s="30"/>
      <c r="G588" s="31" t="s">
        <v>902</v>
      </c>
    </row>
    <row r="589" spans="1:7" ht="16.5" x14ac:dyDescent="0.15">
      <c r="A589" s="30" t="s">
        <v>1465</v>
      </c>
      <c r="B589" s="30"/>
      <c r="C589" s="30"/>
      <c r="D589" s="30"/>
      <c r="G589" s="31" t="s">
        <v>904</v>
      </c>
    </row>
    <row r="590" spans="1:7" ht="16.5" x14ac:dyDescent="0.15">
      <c r="A590" s="30" t="s">
        <v>1466</v>
      </c>
      <c r="B590" s="30"/>
      <c r="C590" s="30"/>
      <c r="D590" s="30"/>
      <c r="G590" s="31" t="s">
        <v>907</v>
      </c>
    </row>
    <row r="591" spans="1:7" ht="16.5" x14ac:dyDescent="0.15">
      <c r="A591" s="30" t="s">
        <v>1467</v>
      </c>
      <c r="B591" s="30"/>
      <c r="C591" s="30"/>
      <c r="D591" s="30"/>
      <c r="G591" s="31" t="s">
        <v>911</v>
      </c>
    </row>
    <row r="592" spans="1:7" ht="16.5" x14ac:dyDescent="0.15">
      <c r="A592" s="30" t="s">
        <v>1468</v>
      </c>
      <c r="B592" s="30"/>
      <c r="C592" s="30"/>
      <c r="D592" s="30"/>
      <c r="G592" s="31" t="s">
        <v>914</v>
      </c>
    </row>
    <row r="593" spans="1:7" ht="16.5" x14ac:dyDescent="0.15">
      <c r="A593" s="30" t="s">
        <v>1469</v>
      </c>
      <c r="B593" s="30"/>
      <c r="C593" s="30"/>
      <c r="D593" s="30"/>
      <c r="G593" s="31" t="s">
        <v>916</v>
      </c>
    </row>
    <row r="594" spans="1:7" ht="16.5" x14ac:dyDescent="0.15">
      <c r="A594" s="30" t="s">
        <v>896</v>
      </c>
      <c r="B594" s="30"/>
      <c r="C594" s="30"/>
      <c r="D594" s="30"/>
      <c r="G594" s="31" t="s">
        <v>919</v>
      </c>
    </row>
    <row r="595" spans="1:7" ht="16.5" x14ac:dyDescent="0.15">
      <c r="A595" s="30" t="s">
        <v>1470</v>
      </c>
      <c r="B595" s="30"/>
      <c r="C595" s="30"/>
      <c r="D595" s="30"/>
      <c r="G595" s="31" t="s">
        <v>921</v>
      </c>
    </row>
    <row r="596" spans="1:7" ht="16.5" x14ac:dyDescent="0.15">
      <c r="A596" s="30" t="s">
        <v>1471</v>
      </c>
      <c r="B596" s="30"/>
      <c r="C596" s="30"/>
      <c r="D596" s="30"/>
      <c r="G596" s="31" t="s">
        <v>316</v>
      </c>
    </row>
    <row r="597" spans="1:7" ht="16.5" x14ac:dyDescent="0.15">
      <c r="A597" s="30" t="s">
        <v>1472</v>
      </c>
      <c r="B597" s="30"/>
      <c r="C597" s="30"/>
      <c r="D597" s="30"/>
      <c r="G597" s="31" t="s">
        <v>558</v>
      </c>
    </row>
    <row r="598" spans="1:7" ht="16.5" x14ac:dyDescent="0.15">
      <c r="A598" s="30" t="s">
        <v>1473</v>
      </c>
      <c r="B598" s="30"/>
      <c r="C598" s="30"/>
      <c r="D598" s="30"/>
      <c r="G598" s="31" t="s">
        <v>324</v>
      </c>
    </row>
    <row r="599" spans="1:7" ht="16.5" x14ac:dyDescent="0.15">
      <c r="A599" s="30" t="s">
        <v>1474</v>
      </c>
      <c r="B599" s="30"/>
      <c r="C599" s="30"/>
      <c r="D599" s="30"/>
      <c r="G599" s="31" t="s">
        <v>563</v>
      </c>
    </row>
    <row r="600" spans="1:7" ht="16.5" x14ac:dyDescent="0.15">
      <c r="A600" s="30" t="s">
        <v>1475</v>
      </c>
      <c r="B600" s="30"/>
      <c r="C600" s="30"/>
      <c r="D600" s="30"/>
      <c r="G600" s="31" t="s">
        <v>328</v>
      </c>
    </row>
    <row r="601" spans="1:7" ht="16.5" x14ac:dyDescent="0.15">
      <c r="A601" s="30" t="s">
        <v>1476</v>
      </c>
      <c r="B601" s="30"/>
      <c r="C601" s="30"/>
      <c r="D601" s="30"/>
      <c r="G601" s="31" t="s">
        <v>570</v>
      </c>
    </row>
    <row r="602" spans="1:7" ht="16.5" x14ac:dyDescent="0.15">
      <c r="A602" s="30" t="s">
        <v>1477</v>
      </c>
      <c r="B602" s="30"/>
      <c r="C602" s="30"/>
      <c r="D602" s="30"/>
      <c r="G602" s="31" t="s">
        <v>576</v>
      </c>
    </row>
    <row r="603" spans="1:7" ht="16.5" x14ac:dyDescent="0.15">
      <c r="A603" s="30" t="s">
        <v>1478</v>
      </c>
      <c r="B603" s="30"/>
      <c r="C603" s="30"/>
      <c r="D603" s="30"/>
      <c r="G603" s="31" t="s">
        <v>581</v>
      </c>
    </row>
    <row r="604" spans="1:7" ht="16.5" x14ac:dyDescent="0.15">
      <c r="A604" s="30" t="s">
        <v>1479</v>
      </c>
      <c r="B604" s="30"/>
      <c r="C604" s="30"/>
      <c r="D604" s="30"/>
      <c r="G604" s="31" t="s">
        <v>452</v>
      </c>
    </row>
    <row r="605" spans="1:7" ht="16.5" x14ac:dyDescent="0.15">
      <c r="A605" s="30" t="s">
        <v>1480</v>
      </c>
      <c r="B605" s="30"/>
      <c r="C605" s="30"/>
      <c r="D605" s="30"/>
      <c r="G605" s="31" t="s">
        <v>588</v>
      </c>
    </row>
    <row r="606" spans="1:7" ht="16.5" x14ac:dyDescent="0.15">
      <c r="A606" s="30" t="s">
        <v>911</v>
      </c>
      <c r="B606" s="30"/>
      <c r="C606" s="30"/>
      <c r="D606" s="30"/>
      <c r="G606" s="31" t="s">
        <v>258</v>
      </c>
    </row>
    <row r="607" spans="1:7" ht="16.5" x14ac:dyDescent="0.15">
      <c r="A607" s="30" t="s">
        <v>1481</v>
      </c>
      <c r="B607" s="30"/>
      <c r="C607" s="30"/>
      <c r="D607" s="30"/>
      <c r="G607" s="31" t="s">
        <v>594</v>
      </c>
    </row>
    <row r="608" spans="1:7" ht="16.5" x14ac:dyDescent="0.15">
      <c r="A608" s="30" t="s">
        <v>1482</v>
      </c>
      <c r="B608" s="30"/>
      <c r="C608" s="30"/>
      <c r="D608" s="30"/>
      <c r="G608" s="31" t="s">
        <v>348</v>
      </c>
    </row>
    <row r="609" spans="1:7" ht="16.5" x14ac:dyDescent="0.15">
      <c r="A609" s="30" t="s">
        <v>1483</v>
      </c>
      <c r="B609" s="30"/>
      <c r="C609" s="30"/>
      <c r="D609" s="30"/>
      <c r="G609" s="31" t="s">
        <v>598</v>
      </c>
    </row>
    <row r="610" spans="1:7" ht="16.5" x14ac:dyDescent="0.15">
      <c r="A610" s="30" t="s">
        <v>1484</v>
      </c>
      <c r="B610" s="30"/>
      <c r="C610" s="30"/>
      <c r="D610" s="30"/>
      <c r="G610" s="31" t="s">
        <v>600</v>
      </c>
    </row>
    <row r="611" spans="1:7" ht="16.5" x14ac:dyDescent="0.15">
      <c r="A611" s="30" t="s">
        <v>1485</v>
      </c>
      <c r="B611" s="30"/>
      <c r="C611" s="30"/>
      <c r="D611" s="30"/>
      <c r="G611" s="31" t="s">
        <v>603</v>
      </c>
    </row>
    <row r="612" spans="1:7" ht="16.5" x14ac:dyDescent="0.15">
      <c r="A612" s="30" t="s">
        <v>1486</v>
      </c>
      <c r="B612" s="30"/>
      <c r="C612" s="30"/>
      <c r="D612" s="30"/>
      <c r="G612" s="31" t="s">
        <v>606</v>
      </c>
    </row>
    <row r="613" spans="1:7" ht="16.5" x14ac:dyDescent="0.15">
      <c r="A613" s="30" t="s">
        <v>919</v>
      </c>
      <c r="B613" s="30"/>
      <c r="C613" s="30"/>
      <c r="D613" s="30"/>
      <c r="G613" s="31" t="s">
        <v>609</v>
      </c>
    </row>
    <row r="614" spans="1:7" ht="16.5" x14ac:dyDescent="0.15">
      <c r="A614" s="30" t="s">
        <v>1487</v>
      </c>
      <c r="B614" s="30"/>
      <c r="C614" s="30"/>
      <c r="D614" s="30"/>
      <c r="G614" s="31" t="s">
        <v>612</v>
      </c>
    </row>
    <row r="615" spans="1:7" ht="16.5" x14ac:dyDescent="0.15">
      <c r="A615" s="30" t="s">
        <v>924</v>
      </c>
      <c r="B615" s="30"/>
      <c r="C615" s="30"/>
      <c r="D615" s="30"/>
      <c r="G615" s="31" t="s">
        <v>352</v>
      </c>
    </row>
    <row r="616" spans="1:7" ht="16.5" x14ac:dyDescent="0.15">
      <c r="A616" s="30" t="s">
        <v>1488</v>
      </c>
      <c r="B616" s="30"/>
      <c r="C616" s="30"/>
      <c r="D616" s="30"/>
      <c r="G616" s="31" t="s">
        <v>357</v>
      </c>
    </row>
    <row r="617" spans="1:7" ht="16.5" x14ac:dyDescent="0.15">
      <c r="A617" s="30" t="s">
        <v>1489</v>
      </c>
      <c r="B617" s="30"/>
      <c r="C617" s="30"/>
      <c r="D617" s="30"/>
      <c r="G617" s="31" t="s">
        <v>177</v>
      </c>
    </row>
    <row r="618" spans="1:7" ht="16.5" x14ac:dyDescent="0.15">
      <c r="A618" s="30" t="s">
        <v>1490</v>
      </c>
      <c r="B618" s="30"/>
      <c r="C618" s="30"/>
      <c r="D618" s="30"/>
      <c r="G618" s="31" t="s">
        <v>182</v>
      </c>
    </row>
    <row r="619" spans="1:7" ht="16.5" x14ac:dyDescent="0.15">
      <c r="A619" s="30" t="s">
        <v>1491</v>
      </c>
      <c r="B619" s="30"/>
      <c r="C619" s="30"/>
      <c r="D619" s="30"/>
      <c r="G619" s="31" t="s">
        <v>191</v>
      </c>
    </row>
    <row r="620" spans="1:7" ht="16.5" x14ac:dyDescent="0.15">
      <c r="A620" s="30" t="s">
        <v>1492</v>
      </c>
      <c r="B620" s="30"/>
      <c r="C620" s="30"/>
      <c r="D620" s="30"/>
      <c r="G620" s="31" t="s">
        <v>194</v>
      </c>
    </row>
    <row r="621" spans="1:7" ht="16.5" x14ac:dyDescent="0.15">
      <c r="A621" s="30" t="s">
        <v>1493</v>
      </c>
      <c r="B621" s="30"/>
      <c r="C621" s="30"/>
      <c r="D621" s="30"/>
      <c r="G621" s="31" t="s">
        <v>201</v>
      </c>
    </row>
    <row r="622" spans="1:7" ht="16.5" x14ac:dyDescent="0.15">
      <c r="A622" s="30" t="s">
        <v>1494</v>
      </c>
      <c r="B622" s="30"/>
      <c r="C622" s="30"/>
      <c r="D622" s="30"/>
      <c r="G622" s="31" t="s">
        <v>208</v>
      </c>
    </row>
    <row r="623" spans="1:7" ht="16.5" x14ac:dyDescent="0.15">
      <c r="A623" s="30" t="s">
        <v>1495</v>
      </c>
      <c r="B623" s="30"/>
      <c r="C623" s="30"/>
      <c r="D623" s="30"/>
      <c r="G623" s="31" t="s">
        <v>219</v>
      </c>
    </row>
    <row r="624" spans="1:7" ht="16.5" x14ac:dyDescent="0.15">
      <c r="A624" s="30" t="s">
        <v>483</v>
      </c>
      <c r="B624" s="30"/>
      <c r="C624" s="30"/>
      <c r="D624" s="30"/>
      <c r="G624" s="31" t="s">
        <v>222</v>
      </c>
    </row>
    <row r="625" spans="1:7" ht="16.5" x14ac:dyDescent="0.15">
      <c r="A625" s="30" t="s">
        <v>1496</v>
      </c>
      <c r="B625" s="30"/>
      <c r="C625" s="30"/>
      <c r="D625" s="30"/>
      <c r="G625" s="31" t="s">
        <v>231</v>
      </c>
    </row>
    <row r="626" spans="1:7" ht="16.5" x14ac:dyDescent="0.15">
      <c r="A626" s="30" t="s">
        <v>1464</v>
      </c>
      <c r="B626" s="30"/>
      <c r="C626" s="30"/>
      <c r="D626" s="30"/>
      <c r="G626" s="31" t="s">
        <v>237</v>
      </c>
    </row>
    <row r="627" spans="1:7" ht="16.5" x14ac:dyDescent="0.15">
      <c r="A627" s="30" t="s">
        <v>1497</v>
      </c>
      <c r="B627" s="30"/>
      <c r="C627" s="30"/>
      <c r="D627" s="30"/>
      <c r="G627" s="31" t="s">
        <v>246</v>
      </c>
    </row>
    <row r="628" spans="1:7" ht="16.5" x14ac:dyDescent="0.15">
      <c r="A628" s="30" t="s">
        <v>1498</v>
      </c>
      <c r="B628" s="30"/>
      <c r="C628" s="30"/>
      <c r="D628" s="30"/>
      <c r="G628" s="31" t="s">
        <v>249</v>
      </c>
    </row>
    <row r="629" spans="1:7" ht="16.5" x14ac:dyDescent="0.15">
      <c r="A629" s="30" t="s">
        <v>1499</v>
      </c>
      <c r="B629" s="30"/>
      <c r="C629" s="30"/>
      <c r="D629" s="30"/>
      <c r="G629" s="31" t="s">
        <v>255</v>
      </c>
    </row>
    <row r="630" spans="1:7" ht="16.5" x14ac:dyDescent="0.15">
      <c r="A630" s="30" t="s">
        <v>1500</v>
      </c>
      <c r="B630" s="30"/>
      <c r="C630" s="30"/>
      <c r="D630" s="30"/>
      <c r="G630" s="31" t="s">
        <v>263</v>
      </c>
    </row>
    <row r="631" spans="1:7" ht="16.5" x14ac:dyDescent="0.15">
      <c r="A631" s="30" t="s">
        <v>1501</v>
      </c>
      <c r="B631" s="30"/>
      <c r="C631" s="30"/>
      <c r="D631" s="30"/>
      <c r="G631" s="31" t="s">
        <v>267</v>
      </c>
    </row>
    <row r="632" spans="1:7" ht="16.5" x14ac:dyDescent="0.15">
      <c r="A632" s="30" t="s">
        <v>1502</v>
      </c>
      <c r="B632" s="30"/>
      <c r="C632" s="30"/>
      <c r="D632" s="30"/>
      <c r="G632" s="31" t="s">
        <v>274</v>
      </c>
    </row>
    <row r="633" spans="1:7" ht="16.5" x14ac:dyDescent="0.15">
      <c r="A633" s="30" t="s">
        <v>1503</v>
      </c>
      <c r="B633" s="30"/>
      <c r="C633" s="30"/>
      <c r="D633" s="30"/>
      <c r="G633" s="31" t="s">
        <v>277</v>
      </c>
    </row>
    <row r="634" spans="1:7" ht="16.5" x14ac:dyDescent="0.15">
      <c r="A634" s="30" t="s">
        <v>1504</v>
      </c>
      <c r="B634" s="30"/>
      <c r="C634" s="30"/>
      <c r="D634" s="30"/>
      <c r="G634" s="31" t="s">
        <v>511</v>
      </c>
    </row>
    <row r="635" spans="1:7" ht="16.5" x14ac:dyDescent="0.15">
      <c r="A635" s="30" t="s">
        <v>1505</v>
      </c>
      <c r="B635" s="30"/>
      <c r="C635" s="30"/>
      <c r="D635" s="30"/>
      <c r="G635" s="31" t="s">
        <v>283</v>
      </c>
    </row>
    <row r="636" spans="1:7" ht="16.5" x14ac:dyDescent="0.15">
      <c r="A636" s="30" t="s">
        <v>1506</v>
      </c>
      <c r="B636" s="30"/>
      <c r="C636" s="30"/>
      <c r="D636" s="30"/>
      <c r="G636" s="31" t="s">
        <v>287</v>
      </c>
    </row>
    <row r="637" spans="1:7" ht="16.5" x14ac:dyDescent="0.15">
      <c r="A637" s="30" t="s">
        <v>1507</v>
      </c>
      <c r="B637" s="30"/>
      <c r="C637" s="30"/>
      <c r="D637" s="30"/>
      <c r="G637" s="31" t="s">
        <v>292</v>
      </c>
    </row>
    <row r="638" spans="1:7" ht="16.5" x14ac:dyDescent="0.15">
      <c r="A638" s="30" t="s">
        <v>1508</v>
      </c>
      <c r="B638" s="30"/>
      <c r="C638" s="30"/>
      <c r="D638" s="30"/>
      <c r="G638" s="31" t="s">
        <v>297</v>
      </c>
    </row>
    <row r="639" spans="1:7" ht="16.5" x14ac:dyDescent="0.15">
      <c r="A639" s="30" t="s">
        <v>1509</v>
      </c>
      <c r="B639" s="30"/>
      <c r="C639" s="30"/>
      <c r="D639" s="30"/>
      <c r="G639" s="31" t="s">
        <v>301</v>
      </c>
    </row>
    <row r="640" spans="1:7" ht="16.5" x14ac:dyDescent="0.15">
      <c r="A640" s="30" t="s">
        <v>1510</v>
      </c>
      <c r="B640" s="30"/>
      <c r="C640" s="30"/>
      <c r="D640" s="30"/>
      <c r="G640" s="31" t="s">
        <v>305</v>
      </c>
    </row>
    <row r="641" spans="1:7" ht="16.5" x14ac:dyDescent="0.15">
      <c r="A641" s="30" t="s">
        <v>1511</v>
      </c>
      <c r="B641" s="30"/>
      <c r="C641" s="30"/>
      <c r="D641" s="30"/>
      <c r="G641" s="31" t="s">
        <v>725</v>
      </c>
    </row>
    <row r="642" spans="1:7" ht="16.5" x14ac:dyDescent="0.15">
      <c r="A642" s="30" t="s">
        <v>1512</v>
      </c>
      <c r="B642" s="30"/>
      <c r="C642" s="30"/>
      <c r="D642" s="30"/>
      <c r="G642" s="31" t="s">
        <v>727</v>
      </c>
    </row>
    <row r="643" spans="1:7" ht="16.5" x14ac:dyDescent="0.15">
      <c r="A643" s="30" t="s">
        <v>1513</v>
      </c>
      <c r="B643" s="30"/>
      <c r="C643" s="30"/>
      <c r="D643" s="30"/>
      <c r="G643" s="31" t="s">
        <v>317</v>
      </c>
    </row>
    <row r="644" spans="1:7" ht="16.5" x14ac:dyDescent="0.15">
      <c r="A644" s="30" t="s">
        <v>1514</v>
      </c>
      <c r="B644" s="30"/>
      <c r="C644" s="30"/>
      <c r="D644" s="30"/>
      <c r="G644" s="31" t="s">
        <v>207</v>
      </c>
    </row>
    <row r="645" spans="1:7" ht="16.5" x14ac:dyDescent="0.15">
      <c r="A645" s="30" t="s">
        <v>1515</v>
      </c>
      <c r="B645" s="30"/>
      <c r="C645" s="30"/>
      <c r="D645" s="30"/>
      <c r="G645" s="31" t="s">
        <v>326</v>
      </c>
    </row>
    <row r="646" spans="1:7" ht="16.5" x14ac:dyDescent="0.15">
      <c r="A646" s="30" t="s">
        <v>1511</v>
      </c>
      <c r="B646" s="30"/>
      <c r="C646" s="30"/>
      <c r="D646" s="30"/>
      <c r="G646" s="31" t="s">
        <v>329</v>
      </c>
    </row>
    <row r="647" spans="1:7" ht="16.5" x14ac:dyDescent="0.15">
      <c r="A647" s="30" t="s">
        <v>1516</v>
      </c>
      <c r="B647" s="30"/>
      <c r="C647" s="30"/>
      <c r="D647" s="30"/>
      <c r="G647" s="31" t="s">
        <v>218</v>
      </c>
    </row>
    <row r="648" spans="1:7" ht="16.5" x14ac:dyDescent="0.15">
      <c r="A648" s="30" t="s">
        <v>1517</v>
      </c>
      <c r="B648" s="30"/>
      <c r="C648" s="30"/>
      <c r="D648" s="30"/>
      <c r="G648" s="31" t="s">
        <v>221</v>
      </c>
    </row>
    <row r="649" spans="1:7" ht="16.5" x14ac:dyDescent="0.15">
      <c r="A649" s="30" t="s">
        <v>1493</v>
      </c>
      <c r="B649" s="30"/>
      <c r="C649" s="30"/>
      <c r="D649" s="30"/>
      <c r="G649" s="31" t="s">
        <v>349</v>
      </c>
    </row>
    <row r="650" spans="1:7" ht="16.5" x14ac:dyDescent="0.15">
      <c r="A650" s="30" t="s">
        <v>1518</v>
      </c>
      <c r="B650" s="30"/>
      <c r="C650" s="30"/>
      <c r="D650" s="30"/>
      <c r="G650" s="31" t="s">
        <v>358</v>
      </c>
    </row>
    <row r="651" spans="1:7" ht="16.5" x14ac:dyDescent="0.15">
      <c r="A651" s="30" t="s">
        <v>1519</v>
      </c>
      <c r="B651" s="30"/>
      <c r="C651" s="30"/>
      <c r="D651" s="30"/>
      <c r="G651" s="31" t="s">
        <v>362</v>
      </c>
    </row>
    <row r="652" spans="1:7" ht="16.5" x14ac:dyDescent="0.15">
      <c r="A652" s="30" t="s">
        <v>1520</v>
      </c>
      <c r="B652" s="30"/>
      <c r="C652" s="30"/>
      <c r="D652" s="30"/>
      <c r="G652" s="31" t="s">
        <v>367</v>
      </c>
    </row>
    <row r="653" spans="1:7" ht="16.5" x14ac:dyDescent="0.15">
      <c r="A653" s="30" t="s">
        <v>1521</v>
      </c>
      <c r="B653" s="30"/>
      <c r="C653" s="30"/>
      <c r="D653" s="30"/>
      <c r="G653" s="31" t="s">
        <v>372</v>
      </c>
    </row>
    <row r="654" spans="1:7" ht="16.5" x14ac:dyDescent="0.15">
      <c r="A654" s="30" t="s">
        <v>1522</v>
      </c>
      <c r="B654" s="30"/>
      <c r="C654" s="30"/>
      <c r="D654" s="30"/>
      <c r="G654" s="31" t="s">
        <v>377</v>
      </c>
    </row>
    <row r="655" spans="1:7" ht="16.5" x14ac:dyDescent="0.15">
      <c r="A655" s="30" t="s">
        <v>1523</v>
      </c>
      <c r="B655" s="30"/>
      <c r="C655" s="30"/>
      <c r="D655" s="30"/>
      <c r="G655" s="31" t="s">
        <v>224</v>
      </c>
    </row>
    <row r="656" spans="1:7" ht="16.5" x14ac:dyDescent="0.15">
      <c r="A656" s="30" t="s">
        <v>1521</v>
      </c>
      <c r="B656" s="30"/>
      <c r="C656" s="30"/>
      <c r="D656" s="30"/>
      <c r="G656" s="31" t="s">
        <v>386</v>
      </c>
    </row>
    <row r="657" spans="1:7" ht="16.5" x14ac:dyDescent="0.15">
      <c r="A657" s="30" t="s">
        <v>1524</v>
      </c>
      <c r="B657" s="30"/>
      <c r="C657" s="30"/>
      <c r="D657" s="30"/>
      <c r="G657" s="31" t="s">
        <v>391</v>
      </c>
    </row>
    <row r="658" spans="1:7" ht="16.5" x14ac:dyDescent="0.15">
      <c r="A658" s="30" t="s">
        <v>1525</v>
      </c>
      <c r="B658" s="30"/>
      <c r="C658" s="30"/>
      <c r="D658" s="30"/>
      <c r="G658" s="31" t="s">
        <v>395</v>
      </c>
    </row>
    <row r="659" spans="1:7" ht="16.5" x14ac:dyDescent="0.15">
      <c r="A659" s="30" t="s">
        <v>984</v>
      </c>
      <c r="B659" s="30"/>
      <c r="C659" s="30"/>
      <c r="D659" s="30"/>
      <c r="G659" s="31" t="s">
        <v>399</v>
      </c>
    </row>
    <row r="660" spans="1:7" ht="16.5" x14ac:dyDescent="0.15">
      <c r="A660" s="30" t="s">
        <v>1526</v>
      </c>
      <c r="B660" s="30"/>
      <c r="C660" s="30"/>
      <c r="D660" s="30"/>
    </row>
    <row r="661" spans="1:7" ht="16.5" x14ac:dyDescent="0.15">
      <c r="A661" s="30" t="s">
        <v>1527</v>
      </c>
      <c r="B661" s="30"/>
      <c r="C661" s="30"/>
      <c r="D661" s="30"/>
    </row>
    <row r="662" spans="1:7" ht="16.5" x14ac:dyDescent="0.15">
      <c r="A662" s="30" t="s">
        <v>1528</v>
      </c>
      <c r="B662" s="30"/>
      <c r="C662" s="30"/>
      <c r="D662" s="30"/>
    </row>
    <row r="663" spans="1:7" ht="16.5" x14ac:dyDescent="0.15">
      <c r="A663" s="30" t="s">
        <v>1529</v>
      </c>
      <c r="B663" s="30"/>
      <c r="C663" s="30"/>
      <c r="D663" s="30"/>
    </row>
    <row r="664" spans="1:7" ht="16.5" x14ac:dyDescent="0.15">
      <c r="A664" s="30" t="s">
        <v>1530</v>
      </c>
      <c r="B664" s="30"/>
      <c r="C664" s="30"/>
      <c r="D664" s="30"/>
    </row>
    <row r="665" spans="1:7" ht="16.5" x14ac:dyDescent="0.15">
      <c r="A665" s="30" t="s">
        <v>1531</v>
      </c>
      <c r="B665" s="30"/>
      <c r="C665" s="30"/>
      <c r="D665" s="30"/>
    </row>
    <row r="666" spans="1:7" ht="16.5" x14ac:dyDescent="0.15">
      <c r="A666" s="30" t="s">
        <v>1532</v>
      </c>
      <c r="B666" s="30"/>
      <c r="C666" s="30"/>
      <c r="D666" s="30"/>
    </row>
    <row r="667" spans="1:7" ht="16.5" x14ac:dyDescent="0.15">
      <c r="A667" s="30" t="s">
        <v>1533</v>
      </c>
      <c r="B667" s="30"/>
      <c r="C667" s="30"/>
      <c r="D667" s="30"/>
    </row>
    <row r="668" spans="1:7" ht="16.5" x14ac:dyDescent="0.15">
      <c r="A668" s="30" t="s">
        <v>1534</v>
      </c>
      <c r="B668" s="30"/>
      <c r="C668" s="30"/>
      <c r="D668" s="30"/>
    </row>
    <row r="669" spans="1:7" ht="16.5" x14ac:dyDescent="0.15">
      <c r="A669" s="30" t="s">
        <v>1535</v>
      </c>
      <c r="B669" s="30"/>
      <c r="C669" s="30"/>
      <c r="D669" s="30"/>
    </row>
    <row r="670" spans="1:7" ht="16.5" x14ac:dyDescent="0.15">
      <c r="A670" s="30" t="s">
        <v>1536</v>
      </c>
      <c r="B670" s="30"/>
      <c r="C670" s="30"/>
      <c r="D670" s="30"/>
    </row>
    <row r="671" spans="1:7" ht="16.5" x14ac:dyDescent="0.15">
      <c r="A671" s="30" t="s">
        <v>1537</v>
      </c>
      <c r="B671" s="30"/>
      <c r="C671" s="30"/>
      <c r="D671" s="30"/>
    </row>
    <row r="672" spans="1:7" ht="16.5" x14ac:dyDescent="0.15">
      <c r="A672" s="30" t="s">
        <v>1536</v>
      </c>
      <c r="B672" s="30"/>
      <c r="C672" s="30"/>
      <c r="D672" s="30"/>
    </row>
    <row r="673" spans="1:4" ht="16.5" x14ac:dyDescent="0.15">
      <c r="A673" s="30" t="s">
        <v>1538</v>
      </c>
      <c r="B673" s="30"/>
      <c r="C673" s="30"/>
      <c r="D673" s="30"/>
    </row>
    <row r="674" spans="1:4" ht="16.5" x14ac:dyDescent="0.15">
      <c r="A674" s="30" t="s">
        <v>1539</v>
      </c>
      <c r="B674" s="30"/>
      <c r="C674" s="30"/>
      <c r="D674" s="30"/>
    </row>
    <row r="675" spans="1:4" ht="16.5" x14ac:dyDescent="0.15">
      <c r="A675" s="30" t="s">
        <v>1540</v>
      </c>
      <c r="B675" s="30"/>
      <c r="C675" s="30"/>
      <c r="D675" s="30"/>
    </row>
    <row r="676" spans="1:4" ht="16.5" x14ac:dyDescent="0.15">
      <c r="A676" s="30" t="s">
        <v>507</v>
      </c>
      <c r="B676" s="30"/>
      <c r="C676" s="30"/>
      <c r="D676" s="30"/>
    </row>
    <row r="677" spans="1:4" ht="16.5" x14ac:dyDescent="0.15">
      <c r="A677" s="30" t="s">
        <v>1541</v>
      </c>
      <c r="B677" s="30"/>
      <c r="C677" s="30"/>
      <c r="D677" s="30"/>
    </row>
    <row r="678" spans="1:4" ht="16.5" x14ac:dyDescent="0.15">
      <c r="A678" s="30" t="s">
        <v>1542</v>
      </c>
      <c r="B678" s="30"/>
      <c r="C678" s="30"/>
      <c r="D678" s="30"/>
    </row>
    <row r="679" spans="1:4" ht="16.5" x14ac:dyDescent="0.15">
      <c r="A679" s="30" t="s">
        <v>1543</v>
      </c>
      <c r="B679" s="30"/>
      <c r="C679" s="30"/>
      <c r="D679" s="30"/>
    </row>
    <row r="680" spans="1:4" ht="16.5" x14ac:dyDescent="0.15">
      <c r="A680" s="30" t="s">
        <v>1544</v>
      </c>
      <c r="B680" s="30"/>
      <c r="C680" s="30"/>
      <c r="D680" s="30"/>
    </row>
    <row r="681" spans="1:4" ht="16.5" x14ac:dyDescent="0.15">
      <c r="A681" s="30" t="s">
        <v>1545</v>
      </c>
      <c r="B681" s="30"/>
      <c r="C681" s="30"/>
      <c r="D681" s="30"/>
    </row>
    <row r="682" spans="1:4" ht="16.5" x14ac:dyDescent="0.15">
      <c r="A682" s="30" t="s">
        <v>1546</v>
      </c>
      <c r="B682" s="30"/>
      <c r="C682" s="30"/>
      <c r="D682" s="30"/>
    </row>
    <row r="683" spans="1:4" ht="16.5" x14ac:dyDescent="0.15">
      <c r="A683" s="30" t="s">
        <v>1547</v>
      </c>
      <c r="B683" s="30"/>
      <c r="C683" s="30"/>
      <c r="D683" s="30"/>
    </row>
    <row r="684" spans="1:4" ht="16.5" x14ac:dyDescent="0.15">
      <c r="A684" s="36" t="s">
        <v>1548</v>
      </c>
      <c r="B684" s="30"/>
      <c r="C684" s="30"/>
      <c r="D684" s="30"/>
    </row>
    <row r="685" spans="1:4" ht="16.5" x14ac:dyDescent="0.15">
      <c r="A685" s="30" t="s">
        <v>1549</v>
      </c>
      <c r="B685" s="30"/>
      <c r="C685" s="30"/>
      <c r="D685" s="30"/>
    </row>
    <row r="686" spans="1:4" ht="16.5" x14ac:dyDescent="0.15">
      <c r="A686" s="36" t="s">
        <v>1550</v>
      </c>
      <c r="B686" s="30"/>
      <c r="C686" s="30"/>
      <c r="D686" s="30"/>
    </row>
    <row r="687" spans="1:4" ht="16.5" x14ac:dyDescent="0.15">
      <c r="A687" s="30" t="s">
        <v>1551</v>
      </c>
      <c r="B687" s="30"/>
      <c r="C687" s="30"/>
      <c r="D687" s="30"/>
    </row>
    <row r="688" spans="1:4" ht="16.5" x14ac:dyDescent="0.15">
      <c r="A688" s="36" t="s">
        <v>1552</v>
      </c>
      <c r="B688" s="30"/>
      <c r="C688" s="30"/>
      <c r="D688" s="30"/>
    </row>
    <row r="689" spans="1:4" ht="16.5" x14ac:dyDescent="0.15">
      <c r="A689" s="30" t="s">
        <v>1553</v>
      </c>
      <c r="B689" s="30"/>
      <c r="C689" s="30"/>
      <c r="D689" s="30"/>
    </row>
    <row r="690" spans="1:4" ht="16.5" x14ac:dyDescent="0.15">
      <c r="A690" s="30" t="s">
        <v>1554</v>
      </c>
      <c r="B690" s="30"/>
      <c r="C690" s="30"/>
      <c r="D690" s="30"/>
    </row>
    <row r="691" spans="1:4" ht="16.5" x14ac:dyDescent="0.15">
      <c r="A691" s="30" t="s">
        <v>1555</v>
      </c>
      <c r="B691" s="30"/>
      <c r="C691" s="30"/>
      <c r="D691" s="30"/>
    </row>
    <row r="692" spans="1:4" ht="16.5" x14ac:dyDescent="0.15">
      <c r="A692" s="30" t="s">
        <v>1353</v>
      </c>
      <c r="B692" s="30"/>
      <c r="C692" s="30"/>
      <c r="D692" s="30"/>
    </row>
    <row r="693" spans="1:4" ht="16.5" x14ac:dyDescent="0.15">
      <c r="A693" s="30" t="s">
        <v>1556</v>
      </c>
      <c r="B693" s="30"/>
      <c r="C693" s="30"/>
      <c r="D693" s="30"/>
    </row>
    <row r="694" spans="1:4" ht="16.5" x14ac:dyDescent="0.15">
      <c r="A694" s="30" t="s">
        <v>1557</v>
      </c>
      <c r="B694" s="30"/>
      <c r="C694" s="30"/>
      <c r="D694" s="30"/>
    </row>
    <row r="695" spans="1:4" ht="16.5" x14ac:dyDescent="0.15">
      <c r="A695" s="30" t="s">
        <v>1558</v>
      </c>
      <c r="B695" s="30"/>
      <c r="C695" s="30"/>
      <c r="D695" s="30"/>
    </row>
    <row r="696" spans="1:4" ht="16.5" x14ac:dyDescent="0.15">
      <c r="A696" s="30" t="s">
        <v>1559</v>
      </c>
      <c r="B696" s="30"/>
      <c r="C696" s="30"/>
      <c r="D696" s="30"/>
    </row>
    <row r="697" spans="1:4" ht="16.5" x14ac:dyDescent="0.15">
      <c r="A697" s="30" t="s">
        <v>1560</v>
      </c>
      <c r="B697" s="30"/>
      <c r="C697" s="30"/>
      <c r="D697" s="30"/>
    </row>
    <row r="698" spans="1:4" ht="16.5" x14ac:dyDescent="0.15">
      <c r="A698" s="30" t="s">
        <v>1561</v>
      </c>
      <c r="B698" s="30"/>
      <c r="C698" s="30"/>
      <c r="D698" s="30"/>
    </row>
    <row r="699" spans="1:4" ht="16.5" x14ac:dyDescent="0.15">
      <c r="A699" s="30" t="s">
        <v>1562</v>
      </c>
      <c r="B699" s="30"/>
      <c r="C699" s="30"/>
      <c r="D699" s="30"/>
    </row>
    <row r="700" spans="1:4" ht="16.5" x14ac:dyDescent="0.15">
      <c r="A700" s="30" t="s">
        <v>1563</v>
      </c>
      <c r="B700" s="30"/>
      <c r="C700" s="30"/>
      <c r="D700" s="30"/>
    </row>
    <row r="701" spans="1:4" ht="16.5" x14ac:dyDescent="0.15">
      <c r="A701" s="30" t="s">
        <v>1564</v>
      </c>
      <c r="B701" s="30"/>
      <c r="C701" s="30"/>
      <c r="D701" s="30"/>
    </row>
    <row r="702" spans="1:4" ht="16.5" x14ac:dyDescent="0.15">
      <c r="A702" s="30" t="s">
        <v>1565</v>
      </c>
      <c r="B702" s="30"/>
      <c r="C702" s="30"/>
      <c r="D702" s="30"/>
    </row>
    <row r="703" spans="1:4" ht="16.5" x14ac:dyDescent="0.15">
      <c r="A703" s="30" t="s">
        <v>1566</v>
      </c>
      <c r="B703" s="30"/>
      <c r="C703" s="30"/>
      <c r="D703" s="30"/>
    </row>
    <row r="704" spans="1:4" ht="16.5" x14ac:dyDescent="0.15">
      <c r="A704" s="30" t="s">
        <v>1006</v>
      </c>
      <c r="B704" s="30"/>
      <c r="C704" s="30"/>
      <c r="D704" s="30"/>
    </row>
    <row r="705" spans="1:4" ht="16.5" x14ac:dyDescent="0.15">
      <c r="A705" s="30" t="s">
        <v>1567</v>
      </c>
      <c r="B705" s="30"/>
      <c r="C705" s="30"/>
      <c r="D705" s="30"/>
    </row>
    <row r="706" spans="1:4" ht="16.5" x14ac:dyDescent="0.15">
      <c r="A706" s="30" t="s">
        <v>1568</v>
      </c>
      <c r="B706" s="30"/>
      <c r="C706" s="30"/>
      <c r="D706" s="30"/>
    </row>
    <row r="707" spans="1:4" ht="16.5" x14ac:dyDescent="0.15">
      <c r="A707" s="30" t="s">
        <v>1569</v>
      </c>
      <c r="B707" s="30"/>
      <c r="C707" s="30"/>
      <c r="D707" s="30"/>
    </row>
    <row r="708" spans="1:4" ht="16.5" x14ac:dyDescent="0.15">
      <c r="A708" s="30" t="s">
        <v>1570</v>
      </c>
      <c r="B708" s="30"/>
      <c r="C708" s="30"/>
      <c r="D708" s="30"/>
    </row>
    <row r="709" spans="1:4" ht="16.5" x14ac:dyDescent="0.15">
      <c r="A709" s="30" t="s">
        <v>1571</v>
      </c>
      <c r="B709" s="30"/>
      <c r="C709" s="30"/>
      <c r="D709" s="30"/>
    </row>
    <row r="710" spans="1:4" ht="16.5" x14ac:dyDescent="0.15">
      <c r="A710" s="30" t="s">
        <v>1572</v>
      </c>
      <c r="B710" s="30"/>
      <c r="C710" s="30"/>
      <c r="D710" s="30"/>
    </row>
    <row r="711" spans="1:4" ht="16.5" x14ac:dyDescent="0.15">
      <c r="A711" s="30" t="s">
        <v>1573</v>
      </c>
      <c r="B711" s="30"/>
      <c r="C711" s="30"/>
      <c r="D711" s="30"/>
    </row>
    <row r="712" spans="1:4" ht="16.5" x14ac:dyDescent="0.15">
      <c r="A712" s="30" t="s">
        <v>1574</v>
      </c>
      <c r="B712" s="30"/>
      <c r="C712" s="30"/>
      <c r="D712" s="30"/>
    </row>
    <row r="713" spans="1:4" ht="16.5" x14ac:dyDescent="0.15">
      <c r="A713" s="30" t="s">
        <v>1575</v>
      </c>
      <c r="B713" s="30"/>
      <c r="C713" s="30"/>
      <c r="D713" s="30"/>
    </row>
    <row r="714" spans="1:4" ht="16.5" x14ac:dyDescent="0.15">
      <c r="A714" s="30" t="s">
        <v>1576</v>
      </c>
      <c r="B714" s="30"/>
      <c r="C714" s="30"/>
      <c r="D714" s="30"/>
    </row>
    <row r="715" spans="1:4" ht="16.5" x14ac:dyDescent="0.15">
      <c r="A715" s="30" t="s">
        <v>1577</v>
      </c>
      <c r="B715" s="30"/>
      <c r="C715" s="30"/>
      <c r="D715" s="30"/>
    </row>
    <row r="716" spans="1:4" ht="16.5" x14ac:dyDescent="0.15">
      <c r="A716" s="30" t="s">
        <v>1578</v>
      </c>
      <c r="B716" s="30"/>
      <c r="C716" s="30"/>
      <c r="D716" s="30"/>
    </row>
    <row r="717" spans="1:4" ht="16.5" x14ac:dyDescent="0.15">
      <c r="A717" s="30" t="s">
        <v>1579</v>
      </c>
      <c r="B717" s="30"/>
      <c r="C717" s="30"/>
      <c r="D717" s="30"/>
    </row>
    <row r="718" spans="1:4" ht="16.5" x14ac:dyDescent="0.15">
      <c r="A718" s="30" t="s">
        <v>1580</v>
      </c>
      <c r="B718" s="30"/>
      <c r="C718" s="30"/>
      <c r="D718" s="30"/>
    </row>
    <row r="719" spans="1:4" ht="16.5" x14ac:dyDescent="0.15">
      <c r="A719" s="30" t="s">
        <v>1581</v>
      </c>
      <c r="B719" s="30"/>
      <c r="C719" s="30"/>
      <c r="D719" s="30"/>
    </row>
    <row r="720" spans="1:4" ht="16.5" x14ac:dyDescent="0.15">
      <c r="A720" s="30" t="s">
        <v>1582</v>
      </c>
      <c r="B720" s="30"/>
      <c r="C720" s="30"/>
      <c r="D720" s="30"/>
    </row>
    <row r="721" spans="1:4" ht="16.5" x14ac:dyDescent="0.15">
      <c r="A721" s="30" t="s">
        <v>1583</v>
      </c>
      <c r="B721" s="30"/>
      <c r="C721" s="30"/>
      <c r="D721" s="30"/>
    </row>
    <row r="722" spans="1:4" ht="16.5" x14ac:dyDescent="0.15">
      <c r="A722" s="30" t="s">
        <v>1584</v>
      </c>
      <c r="B722" s="30"/>
      <c r="C722" s="30"/>
      <c r="D722" s="30"/>
    </row>
    <row r="723" spans="1:4" ht="16.5" x14ac:dyDescent="0.15">
      <c r="A723" s="30" t="s">
        <v>1585</v>
      </c>
      <c r="B723" s="30"/>
      <c r="C723" s="30"/>
      <c r="D723" s="30"/>
    </row>
    <row r="724" spans="1:4" ht="16.5" x14ac:dyDescent="0.15">
      <c r="A724" s="30" t="s">
        <v>1586</v>
      </c>
      <c r="B724" s="30"/>
      <c r="C724" s="30"/>
      <c r="D724" s="30"/>
    </row>
    <row r="725" spans="1:4" ht="16.5" x14ac:dyDescent="0.15">
      <c r="A725" s="30" t="s">
        <v>1587</v>
      </c>
      <c r="B725" s="30"/>
      <c r="C725" s="30"/>
      <c r="D725" s="30"/>
    </row>
    <row r="726" spans="1:4" ht="16.5" x14ac:dyDescent="0.15">
      <c r="A726" s="30" t="s">
        <v>1588</v>
      </c>
      <c r="B726" s="30"/>
      <c r="C726" s="30"/>
      <c r="D726" s="30"/>
    </row>
    <row r="727" spans="1:4" ht="16.5" x14ac:dyDescent="0.15">
      <c r="A727" s="30" t="s">
        <v>1589</v>
      </c>
      <c r="B727" s="30"/>
      <c r="C727" s="30"/>
      <c r="D727" s="30"/>
    </row>
    <row r="728" spans="1:4" ht="16.5" x14ac:dyDescent="0.15">
      <c r="A728" s="30" t="s">
        <v>1590</v>
      </c>
      <c r="B728" s="30"/>
      <c r="C728" s="30"/>
      <c r="D728" s="30"/>
    </row>
    <row r="729" spans="1:4" ht="16.5" x14ac:dyDescent="0.15">
      <c r="A729" s="30" t="s">
        <v>1591</v>
      </c>
      <c r="B729" s="30"/>
      <c r="C729" s="30"/>
      <c r="D729" s="30"/>
    </row>
    <row r="730" spans="1:4" ht="16.5" x14ac:dyDescent="0.15">
      <c r="A730" s="30" t="s">
        <v>1592</v>
      </c>
      <c r="B730" s="30"/>
      <c r="C730" s="30"/>
      <c r="D730" s="30"/>
    </row>
    <row r="731" spans="1:4" ht="16.5" x14ac:dyDescent="0.15">
      <c r="A731" s="30" t="s">
        <v>1593</v>
      </c>
      <c r="B731" s="30"/>
      <c r="C731" s="30"/>
      <c r="D731" s="30"/>
    </row>
    <row r="732" spans="1:4" ht="16.5" x14ac:dyDescent="0.15">
      <c r="A732" s="30" t="s">
        <v>1594</v>
      </c>
      <c r="B732" s="30"/>
      <c r="C732" s="30"/>
      <c r="D732" s="30"/>
    </row>
    <row r="733" spans="1:4" ht="16.5" x14ac:dyDescent="0.15">
      <c r="A733" s="30" t="s">
        <v>1595</v>
      </c>
      <c r="B733" s="30"/>
      <c r="C733" s="30"/>
      <c r="D733" s="30"/>
    </row>
    <row r="734" spans="1:4" ht="16.5" x14ac:dyDescent="0.15">
      <c r="A734" s="30" t="s">
        <v>1596</v>
      </c>
      <c r="B734" s="30"/>
      <c r="C734" s="30"/>
      <c r="D734" s="30"/>
    </row>
    <row r="735" spans="1:4" ht="16.5" x14ac:dyDescent="0.15">
      <c r="A735" s="30" t="s">
        <v>1597</v>
      </c>
      <c r="B735" s="30"/>
      <c r="C735" s="30"/>
      <c r="D735" s="30"/>
    </row>
    <row r="736" spans="1:4" ht="16.5" x14ac:dyDescent="0.15">
      <c r="A736" s="30" t="s">
        <v>1598</v>
      </c>
      <c r="B736" s="30"/>
      <c r="C736" s="30"/>
      <c r="D736" s="30"/>
    </row>
    <row r="737" spans="1:4" ht="16.5" x14ac:dyDescent="0.15">
      <c r="A737" s="30" t="s">
        <v>1599</v>
      </c>
      <c r="B737" s="30"/>
      <c r="C737" s="30"/>
      <c r="D737" s="30"/>
    </row>
    <row r="738" spans="1:4" ht="16.5" x14ac:dyDescent="0.15">
      <c r="A738" s="30" t="s">
        <v>1600</v>
      </c>
      <c r="B738" s="30"/>
      <c r="C738" s="30"/>
      <c r="D738" s="30"/>
    </row>
    <row r="739" spans="1:4" ht="16.5" x14ac:dyDescent="0.15">
      <c r="A739" s="30" t="s">
        <v>1601</v>
      </c>
      <c r="B739" s="30"/>
      <c r="C739" s="30"/>
      <c r="D739" s="30"/>
    </row>
    <row r="740" spans="1:4" ht="16.5" x14ac:dyDescent="0.15">
      <c r="A740" s="30" t="s">
        <v>1602</v>
      </c>
      <c r="B740" s="30"/>
      <c r="C740" s="30"/>
      <c r="D740" s="30"/>
    </row>
    <row r="741" spans="1:4" ht="16.5" x14ac:dyDescent="0.15">
      <c r="A741" s="30" t="s">
        <v>1602</v>
      </c>
      <c r="B741" s="30"/>
      <c r="C741" s="30"/>
      <c r="D741" s="30"/>
    </row>
    <row r="742" spans="1:4" ht="16.5" x14ac:dyDescent="0.15">
      <c r="A742" s="30" t="s">
        <v>1603</v>
      </c>
      <c r="B742" s="30"/>
      <c r="C742" s="30"/>
      <c r="D742" s="30"/>
    </row>
    <row r="743" spans="1:4" ht="16.5" x14ac:dyDescent="0.15">
      <c r="A743" s="30" t="s">
        <v>1604</v>
      </c>
      <c r="B743" s="30"/>
      <c r="C743" s="30"/>
      <c r="D743" s="30"/>
    </row>
    <row r="744" spans="1:4" ht="16.5" x14ac:dyDescent="0.15">
      <c r="A744" s="30" t="s">
        <v>1605</v>
      </c>
      <c r="B744" s="30"/>
      <c r="C744" s="30"/>
      <c r="D744" s="30"/>
    </row>
    <row r="745" spans="1:4" ht="16.5" x14ac:dyDescent="0.15">
      <c r="A745" s="30" t="s">
        <v>1606</v>
      </c>
      <c r="B745" s="30"/>
      <c r="C745" s="30"/>
      <c r="D745" s="30"/>
    </row>
    <row r="746" spans="1:4" ht="16.5" x14ac:dyDescent="0.15">
      <c r="A746" s="30" t="s">
        <v>1607</v>
      </c>
      <c r="B746" s="30"/>
      <c r="C746" s="30"/>
      <c r="D746" s="30"/>
    </row>
    <row r="747" spans="1:4" ht="16.5" x14ac:dyDescent="0.15">
      <c r="A747" s="30" t="s">
        <v>1606</v>
      </c>
      <c r="B747" s="30"/>
      <c r="C747" s="30"/>
      <c r="D747" s="30"/>
    </row>
    <row r="748" spans="1:4" ht="16.5" x14ac:dyDescent="0.15">
      <c r="A748" s="30" t="s">
        <v>1608</v>
      </c>
      <c r="B748" s="30"/>
      <c r="C748" s="30"/>
      <c r="D748" s="30"/>
    </row>
    <row r="749" spans="1:4" ht="16.5" x14ac:dyDescent="0.15">
      <c r="A749" s="30" t="s">
        <v>1609</v>
      </c>
      <c r="B749" s="30"/>
      <c r="C749" s="30"/>
      <c r="D749" s="30"/>
    </row>
    <row r="750" spans="1:4" ht="16.5" x14ac:dyDescent="0.15">
      <c r="A750" s="30" t="s">
        <v>1610</v>
      </c>
      <c r="B750" s="30"/>
      <c r="C750" s="30"/>
      <c r="D750" s="30"/>
    </row>
    <row r="751" spans="1:4" ht="16.5" x14ac:dyDescent="0.15">
      <c r="A751" s="30" t="s">
        <v>1611</v>
      </c>
      <c r="B751" s="30"/>
      <c r="C751" s="30"/>
      <c r="D751" s="30"/>
    </row>
    <row r="752" spans="1:4" ht="16.5" x14ac:dyDescent="0.15">
      <c r="A752" s="30" t="s">
        <v>1612</v>
      </c>
      <c r="B752" s="30"/>
      <c r="C752" s="30"/>
      <c r="D752" s="30"/>
    </row>
    <row r="753" spans="1:4" ht="16.5" x14ac:dyDescent="0.15">
      <c r="A753" s="30" t="s">
        <v>1613</v>
      </c>
      <c r="B753" s="30"/>
      <c r="C753" s="30"/>
      <c r="D753" s="30"/>
    </row>
    <row r="754" spans="1:4" ht="16.5" x14ac:dyDescent="0.15">
      <c r="A754" s="30" t="s">
        <v>1614</v>
      </c>
      <c r="B754" s="30"/>
      <c r="C754" s="30"/>
      <c r="D754" s="30"/>
    </row>
    <row r="755" spans="1:4" ht="16.5" x14ac:dyDescent="0.15">
      <c r="A755" s="30" t="s">
        <v>1615</v>
      </c>
      <c r="B755" s="30"/>
      <c r="C755" s="30"/>
      <c r="D755" s="30"/>
    </row>
    <row r="756" spans="1:4" ht="16.5" x14ac:dyDescent="0.15">
      <c r="A756" s="30" t="s">
        <v>1616</v>
      </c>
      <c r="B756" s="30"/>
      <c r="C756" s="30"/>
      <c r="D756" s="30"/>
    </row>
    <row r="757" spans="1:4" ht="16.5" x14ac:dyDescent="0.15">
      <c r="A757" s="30" t="s">
        <v>1617</v>
      </c>
      <c r="B757" s="30"/>
      <c r="C757" s="30"/>
      <c r="D757" s="30"/>
    </row>
    <row r="758" spans="1:4" ht="16.5" x14ac:dyDescent="0.15">
      <c r="A758" s="30" t="s">
        <v>1618</v>
      </c>
      <c r="B758" s="30"/>
      <c r="C758" s="30"/>
      <c r="D758" s="30"/>
    </row>
    <row r="759" spans="1:4" ht="16.5" x14ac:dyDescent="0.15">
      <c r="A759" s="30" t="s">
        <v>1619</v>
      </c>
      <c r="B759" s="30"/>
      <c r="C759" s="30"/>
      <c r="D759" s="30"/>
    </row>
    <row r="760" spans="1:4" ht="16.5" x14ac:dyDescent="0.15">
      <c r="A760" s="30" t="s">
        <v>1620</v>
      </c>
      <c r="B760" s="30"/>
      <c r="C760" s="30"/>
      <c r="D760" s="30"/>
    </row>
    <row r="761" spans="1:4" ht="16.5" x14ac:dyDescent="0.15">
      <c r="A761" s="30" t="s">
        <v>1621</v>
      </c>
      <c r="B761" s="30"/>
      <c r="C761" s="30"/>
      <c r="D761" s="30"/>
    </row>
    <row r="762" spans="1:4" ht="16.5" x14ac:dyDescent="0.15">
      <c r="A762" s="30" t="s">
        <v>1622</v>
      </c>
      <c r="B762" s="30"/>
      <c r="C762" s="30"/>
      <c r="D762" s="30"/>
    </row>
    <row r="763" spans="1:4" ht="16.5" x14ac:dyDescent="0.15">
      <c r="A763" s="30" t="s">
        <v>1623</v>
      </c>
      <c r="B763" s="30"/>
      <c r="C763" s="30"/>
      <c r="D763" s="30"/>
    </row>
    <row r="764" spans="1:4" ht="16.5" x14ac:dyDescent="0.15">
      <c r="A764" s="30" t="s">
        <v>1624</v>
      </c>
      <c r="B764" s="30"/>
      <c r="C764" s="30"/>
      <c r="D764" s="30"/>
    </row>
    <row r="765" spans="1:4" ht="16.5" x14ac:dyDescent="0.15">
      <c r="A765" s="30" t="s">
        <v>1625</v>
      </c>
      <c r="B765" s="30"/>
      <c r="C765" s="30"/>
      <c r="D765" s="30"/>
    </row>
    <row r="766" spans="1:4" ht="16.5" x14ac:dyDescent="0.15">
      <c r="A766" s="30" t="s">
        <v>1626</v>
      </c>
      <c r="B766" s="30"/>
      <c r="C766" s="30"/>
      <c r="D766" s="30"/>
    </row>
    <row r="767" spans="1:4" ht="16.5" x14ac:dyDescent="0.15">
      <c r="A767" s="30" t="s">
        <v>1627</v>
      </c>
      <c r="B767" s="30"/>
      <c r="C767" s="30"/>
      <c r="D767" s="30"/>
    </row>
    <row r="768" spans="1:4" ht="16.5" x14ac:dyDescent="0.15">
      <c r="A768" s="30" t="s">
        <v>1628</v>
      </c>
      <c r="B768" s="30"/>
      <c r="C768" s="30"/>
      <c r="D768" s="30"/>
    </row>
    <row r="769" spans="1:4" ht="16.5" x14ac:dyDescent="0.15">
      <c r="A769" s="30" t="s">
        <v>1629</v>
      </c>
      <c r="B769" s="30"/>
      <c r="C769" s="30"/>
      <c r="D769" s="30"/>
    </row>
    <row r="770" spans="1:4" ht="16.5" x14ac:dyDescent="0.15">
      <c r="A770" s="30" t="s">
        <v>1630</v>
      </c>
      <c r="B770" s="30"/>
      <c r="C770" s="30"/>
      <c r="D770" s="30"/>
    </row>
    <row r="771" spans="1:4" ht="16.5" x14ac:dyDescent="0.15">
      <c r="A771" s="30" t="s">
        <v>1631</v>
      </c>
      <c r="B771" s="30"/>
      <c r="C771" s="30"/>
      <c r="D771" s="30"/>
    </row>
    <row r="772" spans="1:4" ht="16.5" x14ac:dyDescent="0.15">
      <c r="A772" s="30" t="s">
        <v>1632</v>
      </c>
      <c r="B772" s="30"/>
      <c r="C772" s="30"/>
      <c r="D772" s="30"/>
    </row>
    <row r="773" spans="1:4" ht="16.5" x14ac:dyDescent="0.15">
      <c r="A773" s="30" t="s">
        <v>1630</v>
      </c>
      <c r="B773" s="30"/>
      <c r="C773" s="30"/>
      <c r="D773" s="30"/>
    </row>
    <row r="774" spans="1:4" ht="16.5" x14ac:dyDescent="0.15">
      <c r="A774" s="30" t="s">
        <v>1633</v>
      </c>
      <c r="B774" s="30"/>
      <c r="C774" s="30"/>
      <c r="D774" s="30"/>
    </row>
    <row r="775" spans="1:4" ht="16.5" x14ac:dyDescent="0.15">
      <c r="A775" s="30" t="s">
        <v>1634</v>
      </c>
      <c r="B775" s="30"/>
      <c r="C775" s="30"/>
      <c r="D775" s="30"/>
    </row>
    <row r="776" spans="1:4" ht="16.5" x14ac:dyDescent="0.15">
      <c r="A776" s="30" t="s">
        <v>1635</v>
      </c>
      <c r="B776" s="30"/>
      <c r="C776" s="30"/>
      <c r="D776" s="30"/>
    </row>
    <row r="777" spans="1:4" ht="16.5" x14ac:dyDescent="0.15">
      <c r="A777" s="30" t="s">
        <v>1636</v>
      </c>
      <c r="B777" s="30"/>
      <c r="C777" s="30"/>
      <c r="D777" s="30"/>
    </row>
    <row r="778" spans="1:4" ht="16.5" x14ac:dyDescent="0.15">
      <c r="A778" s="30" t="s">
        <v>1637</v>
      </c>
      <c r="B778" s="30"/>
      <c r="C778" s="30"/>
      <c r="D778" s="30"/>
    </row>
    <row r="779" spans="1:4" ht="16.5" x14ac:dyDescent="0.15">
      <c r="A779" s="30" t="s">
        <v>1638</v>
      </c>
      <c r="B779" s="30"/>
      <c r="C779" s="30"/>
      <c r="D779" s="30"/>
    </row>
    <row r="780" spans="1:4" ht="16.5" x14ac:dyDescent="0.15">
      <c r="A780" s="30" t="s">
        <v>1639</v>
      </c>
      <c r="B780" s="30"/>
      <c r="C780" s="30"/>
      <c r="D780" s="30"/>
    </row>
    <row r="781" spans="1:4" ht="16.5" x14ac:dyDescent="0.15">
      <c r="A781" s="30" t="s">
        <v>1640</v>
      </c>
      <c r="B781" s="30"/>
      <c r="C781" s="30"/>
      <c r="D781" s="30"/>
    </row>
    <row r="782" spans="1:4" ht="16.5" x14ac:dyDescent="0.15">
      <c r="A782" s="30" t="s">
        <v>512</v>
      </c>
      <c r="B782" s="30"/>
      <c r="C782" s="30"/>
      <c r="D782" s="30"/>
    </row>
    <row r="783" spans="1:4" ht="16.5" x14ac:dyDescent="0.15">
      <c r="A783" s="30" t="s">
        <v>1641</v>
      </c>
      <c r="B783" s="30"/>
      <c r="C783" s="30"/>
      <c r="D783" s="30"/>
    </row>
    <row r="784" spans="1:4" ht="16.5" x14ac:dyDescent="0.15">
      <c r="A784" s="30" t="s">
        <v>1642</v>
      </c>
      <c r="B784" s="30"/>
      <c r="C784" s="30"/>
      <c r="D784" s="30"/>
    </row>
    <row r="785" spans="1:4" ht="16.5" x14ac:dyDescent="0.15">
      <c r="A785" s="30" t="s">
        <v>1643</v>
      </c>
      <c r="B785" s="30"/>
      <c r="C785" s="30"/>
      <c r="D785" s="30"/>
    </row>
    <row r="786" spans="1:4" ht="16.5" x14ac:dyDescent="0.15">
      <c r="A786" s="30" t="s">
        <v>1644</v>
      </c>
      <c r="B786" s="30"/>
      <c r="C786" s="30"/>
      <c r="D786" s="30"/>
    </row>
    <row r="787" spans="1:4" ht="16.5" x14ac:dyDescent="0.15">
      <c r="A787" s="30" t="s">
        <v>1645</v>
      </c>
      <c r="B787" s="30"/>
      <c r="C787" s="30"/>
      <c r="D787" s="30"/>
    </row>
    <row r="788" spans="1:4" ht="16.5" x14ac:dyDescent="0.15">
      <c r="A788" s="30" t="s">
        <v>1646</v>
      </c>
      <c r="B788" s="30"/>
      <c r="C788" s="30"/>
      <c r="D788" s="30"/>
    </row>
    <row r="789" spans="1:4" ht="16.5" x14ac:dyDescent="0.15">
      <c r="A789" s="30" t="s">
        <v>1647</v>
      </c>
      <c r="B789" s="30"/>
      <c r="C789" s="30"/>
      <c r="D789" s="30"/>
    </row>
    <row r="790" spans="1:4" ht="16.5" x14ac:dyDescent="0.15">
      <c r="A790" s="30" t="s">
        <v>1648</v>
      </c>
      <c r="B790" s="30"/>
      <c r="C790" s="30"/>
      <c r="D790" s="30"/>
    </row>
    <row r="791" spans="1:4" ht="16.5" x14ac:dyDescent="0.15">
      <c r="A791" s="30" t="s">
        <v>1649</v>
      </c>
      <c r="B791" s="30"/>
      <c r="C791" s="30"/>
      <c r="D791" s="30"/>
    </row>
    <row r="792" spans="1:4" ht="16.5" x14ac:dyDescent="0.15">
      <c r="A792" s="30" t="s">
        <v>1650</v>
      </c>
      <c r="B792" s="30"/>
      <c r="C792" s="30"/>
      <c r="D792" s="30"/>
    </row>
    <row r="793" spans="1:4" ht="16.5" x14ac:dyDescent="0.15">
      <c r="A793" s="30" t="s">
        <v>1651</v>
      </c>
      <c r="B793" s="30"/>
      <c r="C793" s="30"/>
      <c r="D793" s="30"/>
    </row>
    <row r="794" spans="1:4" ht="16.5" x14ac:dyDescent="0.15">
      <c r="A794" s="30" t="s">
        <v>1652</v>
      </c>
      <c r="B794" s="30"/>
      <c r="C794" s="30"/>
      <c r="D794" s="30"/>
    </row>
    <row r="795" spans="1:4" ht="16.5" x14ac:dyDescent="0.15">
      <c r="A795" s="30" t="s">
        <v>1653</v>
      </c>
      <c r="B795" s="30"/>
      <c r="C795" s="30"/>
      <c r="D795" s="30"/>
    </row>
    <row r="796" spans="1:4" ht="16.5" x14ac:dyDescent="0.15">
      <c r="A796" s="30" t="s">
        <v>1654</v>
      </c>
      <c r="B796" s="30"/>
      <c r="C796" s="30"/>
      <c r="D796" s="30"/>
    </row>
    <row r="797" spans="1:4" ht="16.5" x14ac:dyDescent="0.15">
      <c r="A797" s="30" t="s">
        <v>1655</v>
      </c>
      <c r="B797" s="30"/>
      <c r="C797" s="30"/>
      <c r="D797" s="30"/>
    </row>
    <row r="798" spans="1:4" ht="16.5" x14ac:dyDescent="0.15">
      <c r="A798" s="30" t="s">
        <v>1656</v>
      </c>
      <c r="B798" s="30"/>
      <c r="C798" s="30"/>
      <c r="D798" s="30"/>
    </row>
    <row r="799" spans="1:4" ht="16.5" x14ac:dyDescent="0.15">
      <c r="A799" s="30" t="s">
        <v>1657</v>
      </c>
      <c r="B799" s="30"/>
      <c r="C799" s="30"/>
      <c r="D799" s="30"/>
    </row>
    <row r="800" spans="1:4" ht="16.5" x14ac:dyDescent="0.15">
      <c r="A800" s="30" t="s">
        <v>1658</v>
      </c>
      <c r="B800" s="30"/>
      <c r="C800" s="30"/>
      <c r="D800" s="30"/>
    </row>
    <row r="801" spans="1:4" ht="16.5" x14ac:dyDescent="0.15">
      <c r="A801" s="30" t="s">
        <v>1659</v>
      </c>
      <c r="B801" s="30"/>
      <c r="C801" s="30"/>
      <c r="D801" s="30"/>
    </row>
    <row r="802" spans="1:4" ht="16.5" x14ac:dyDescent="0.15">
      <c r="A802" s="30" t="s">
        <v>1660</v>
      </c>
      <c r="B802" s="30"/>
      <c r="C802" s="30"/>
      <c r="D802" s="30"/>
    </row>
    <row r="803" spans="1:4" ht="16.5" x14ac:dyDescent="0.15">
      <c r="A803" s="30" t="s">
        <v>1661</v>
      </c>
      <c r="B803" s="30"/>
      <c r="C803" s="30"/>
      <c r="D803" s="30"/>
    </row>
    <row r="804" spans="1:4" ht="16.5" x14ac:dyDescent="0.15">
      <c r="A804" s="30" t="s">
        <v>1662</v>
      </c>
      <c r="B804" s="30"/>
      <c r="C804" s="30"/>
      <c r="D804" s="30"/>
    </row>
    <row r="805" spans="1:4" ht="16.5" x14ac:dyDescent="0.15">
      <c r="A805" s="30" t="s">
        <v>1663</v>
      </c>
      <c r="B805" s="30"/>
      <c r="C805" s="30"/>
      <c r="D805" s="30"/>
    </row>
    <row r="806" spans="1:4" ht="16.5" x14ac:dyDescent="0.15">
      <c r="A806" s="30" t="s">
        <v>1664</v>
      </c>
      <c r="B806" s="30"/>
      <c r="C806" s="30"/>
      <c r="D806" s="30"/>
    </row>
    <row r="807" spans="1:4" ht="16.5" x14ac:dyDescent="0.15">
      <c r="A807" s="30" t="s">
        <v>1665</v>
      </c>
      <c r="B807" s="30"/>
      <c r="C807" s="30"/>
      <c r="D807" s="30"/>
    </row>
    <row r="808" spans="1:4" ht="16.5" x14ac:dyDescent="0.15">
      <c r="A808" s="30" t="s">
        <v>1666</v>
      </c>
      <c r="B808" s="30"/>
      <c r="C808" s="30"/>
      <c r="D808" s="30"/>
    </row>
    <row r="809" spans="1:4" ht="16.5" x14ac:dyDescent="0.15">
      <c r="A809" s="30" t="s">
        <v>1667</v>
      </c>
      <c r="B809" s="30"/>
      <c r="C809" s="30"/>
      <c r="D809" s="30"/>
    </row>
    <row r="810" spans="1:4" ht="16.5" x14ac:dyDescent="0.15">
      <c r="A810" s="30" t="s">
        <v>1668</v>
      </c>
      <c r="B810" s="30"/>
      <c r="C810" s="30"/>
      <c r="D810" s="30"/>
    </row>
    <row r="811" spans="1:4" ht="16.5" x14ac:dyDescent="0.15">
      <c r="A811" s="30" t="s">
        <v>1669</v>
      </c>
      <c r="B811" s="30"/>
      <c r="C811" s="30"/>
      <c r="D811" s="30"/>
    </row>
    <row r="812" spans="1:4" ht="16.5" x14ac:dyDescent="0.15">
      <c r="A812" s="30" t="s">
        <v>1670</v>
      </c>
      <c r="B812" s="30"/>
      <c r="C812" s="30"/>
      <c r="D812" s="30"/>
    </row>
    <row r="813" spans="1:4" ht="16.5" x14ac:dyDescent="0.15">
      <c r="A813" s="30" t="s">
        <v>1671</v>
      </c>
      <c r="B813" s="30"/>
      <c r="C813" s="30"/>
      <c r="D813" s="30"/>
    </row>
    <row r="814" spans="1:4" ht="16.5" x14ac:dyDescent="0.15">
      <c r="A814" s="30" t="s">
        <v>1672</v>
      </c>
      <c r="B814" s="30"/>
      <c r="C814" s="30"/>
      <c r="D814" s="30"/>
    </row>
    <row r="815" spans="1:4" ht="16.5" x14ac:dyDescent="0.15">
      <c r="A815" s="30" t="s">
        <v>1673</v>
      </c>
      <c r="B815" s="30"/>
      <c r="C815" s="30"/>
      <c r="D815" s="30"/>
    </row>
    <row r="816" spans="1:4" ht="16.5" x14ac:dyDescent="0.15">
      <c r="A816" s="30" t="s">
        <v>1674</v>
      </c>
      <c r="B816" s="30"/>
      <c r="C816" s="30"/>
      <c r="D816" s="30"/>
    </row>
    <row r="817" spans="1:4" ht="16.5" x14ac:dyDescent="0.15">
      <c r="A817" s="30" t="s">
        <v>1675</v>
      </c>
      <c r="B817" s="30"/>
      <c r="C817" s="30"/>
      <c r="D817" s="30"/>
    </row>
    <row r="818" spans="1:4" ht="16.5" x14ac:dyDescent="0.15">
      <c r="A818" s="30" t="s">
        <v>1676</v>
      </c>
      <c r="B818" s="30"/>
      <c r="C818" s="30"/>
      <c r="D818" s="30"/>
    </row>
    <row r="819" spans="1:4" ht="16.5" x14ac:dyDescent="0.15">
      <c r="A819" s="30" t="s">
        <v>1677</v>
      </c>
      <c r="B819" s="30"/>
      <c r="C819" s="30"/>
      <c r="D819" s="30"/>
    </row>
    <row r="820" spans="1:4" ht="16.5" x14ac:dyDescent="0.15">
      <c r="A820" s="30" t="s">
        <v>1678</v>
      </c>
      <c r="B820" s="30"/>
      <c r="C820" s="30"/>
      <c r="D820" s="30"/>
    </row>
    <row r="821" spans="1:4" ht="16.5" x14ac:dyDescent="0.15">
      <c r="A821" s="30" t="s">
        <v>1679</v>
      </c>
      <c r="B821" s="30"/>
      <c r="C821" s="30"/>
      <c r="D821" s="30"/>
    </row>
    <row r="822" spans="1:4" ht="16.5" x14ac:dyDescent="0.15">
      <c r="A822" s="30" t="s">
        <v>1680</v>
      </c>
      <c r="B822" s="30"/>
      <c r="C822" s="30"/>
      <c r="D822" s="30"/>
    </row>
    <row r="823" spans="1:4" ht="16.5" x14ac:dyDescent="0.15">
      <c r="A823" s="30" t="s">
        <v>1681</v>
      </c>
      <c r="B823" s="30"/>
      <c r="C823" s="30"/>
      <c r="D823" s="30"/>
    </row>
    <row r="824" spans="1:4" ht="16.5" x14ac:dyDescent="0.15">
      <c r="A824" s="30" t="s">
        <v>1682</v>
      </c>
      <c r="B824" s="30"/>
      <c r="C824" s="30"/>
      <c r="D824" s="30"/>
    </row>
    <row r="825" spans="1:4" ht="16.5" x14ac:dyDescent="0.15">
      <c r="A825" s="30" t="s">
        <v>1683</v>
      </c>
      <c r="B825" s="30"/>
      <c r="C825" s="30"/>
      <c r="D825" s="30"/>
    </row>
    <row r="826" spans="1:4" ht="16.5" x14ac:dyDescent="0.15">
      <c r="A826" s="30" t="s">
        <v>1684</v>
      </c>
      <c r="B826" s="30"/>
      <c r="C826" s="30"/>
      <c r="D826" s="30"/>
    </row>
    <row r="827" spans="1:4" ht="16.5" x14ac:dyDescent="0.15">
      <c r="A827" s="30" t="s">
        <v>1685</v>
      </c>
      <c r="B827" s="30"/>
      <c r="C827" s="30"/>
      <c r="D827" s="30"/>
    </row>
    <row r="828" spans="1:4" ht="16.5" x14ac:dyDescent="0.15">
      <c r="A828" s="30" t="s">
        <v>1686</v>
      </c>
      <c r="B828" s="30"/>
      <c r="C828" s="30"/>
      <c r="D828" s="30"/>
    </row>
    <row r="829" spans="1:4" ht="16.5" x14ac:dyDescent="0.15">
      <c r="A829" s="30" t="s">
        <v>1687</v>
      </c>
      <c r="B829" s="30"/>
      <c r="C829" s="30"/>
      <c r="D829" s="30"/>
    </row>
    <row r="830" spans="1:4" ht="16.5" x14ac:dyDescent="0.15">
      <c r="A830" s="30" t="s">
        <v>1688</v>
      </c>
      <c r="B830" s="30"/>
      <c r="C830" s="30"/>
      <c r="D830" s="30"/>
    </row>
    <row r="831" spans="1:4" ht="16.5" x14ac:dyDescent="0.15">
      <c r="A831" s="30" t="s">
        <v>1689</v>
      </c>
      <c r="B831" s="30"/>
      <c r="C831" s="30"/>
      <c r="D831" s="30"/>
    </row>
    <row r="832" spans="1:4" ht="16.5" x14ac:dyDescent="0.15">
      <c r="A832" s="30" t="s">
        <v>1690</v>
      </c>
      <c r="B832" s="30"/>
      <c r="C832" s="30"/>
      <c r="D832" s="30"/>
    </row>
    <row r="833" spans="1:4" ht="16.5" x14ac:dyDescent="0.15">
      <c r="A833" s="30" t="s">
        <v>1691</v>
      </c>
      <c r="B833" s="30"/>
      <c r="C833" s="30"/>
      <c r="D833" s="30"/>
    </row>
    <row r="834" spans="1:4" ht="16.5" x14ac:dyDescent="0.15">
      <c r="A834" s="30" t="s">
        <v>1692</v>
      </c>
      <c r="B834" s="30"/>
      <c r="C834" s="30"/>
      <c r="D834" s="30"/>
    </row>
    <row r="835" spans="1:4" ht="16.5" x14ac:dyDescent="0.15">
      <c r="A835" s="30" t="s">
        <v>1693</v>
      </c>
      <c r="B835" s="30"/>
      <c r="C835" s="30"/>
      <c r="D835" s="30"/>
    </row>
    <row r="836" spans="1:4" ht="16.5" x14ac:dyDescent="0.15">
      <c r="A836" s="30" t="s">
        <v>1694</v>
      </c>
      <c r="B836" s="30"/>
      <c r="C836" s="30"/>
      <c r="D836" s="30"/>
    </row>
    <row r="837" spans="1:4" ht="16.5" x14ac:dyDescent="0.15">
      <c r="A837" s="30" t="s">
        <v>1692</v>
      </c>
      <c r="B837" s="30"/>
      <c r="C837" s="30"/>
      <c r="D837" s="30"/>
    </row>
    <row r="838" spans="1:4" ht="16.5" x14ac:dyDescent="0.15">
      <c r="A838" s="30" t="s">
        <v>1693</v>
      </c>
      <c r="B838" s="30"/>
      <c r="C838" s="30"/>
      <c r="D838" s="30"/>
    </row>
    <row r="839" spans="1:4" ht="16.5" x14ac:dyDescent="0.15">
      <c r="A839" s="30" t="s">
        <v>1695</v>
      </c>
      <c r="B839" s="30"/>
      <c r="C839" s="30"/>
      <c r="D839" s="30"/>
    </row>
    <row r="840" spans="1:4" ht="16.5" x14ac:dyDescent="0.15">
      <c r="A840" s="30" t="s">
        <v>1696</v>
      </c>
      <c r="B840" s="30"/>
      <c r="C840" s="30"/>
      <c r="D840" s="30"/>
    </row>
    <row r="841" spans="1:4" ht="16.5" x14ac:dyDescent="0.15">
      <c r="A841" s="30" t="s">
        <v>1697</v>
      </c>
      <c r="B841" s="30"/>
      <c r="C841" s="30"/>
      <c r="D841" s="30"/>
    </row>
    <row r="842" spans="1:4" ht="16.5" x14ac:dyDescent="0.15">
      <c r="A842" s="30" t="s">
        <v>1698</v>
      </c>
      <c r="B842" s="30"/>
      <c r="C842" s="30"/>
      <c r="D842" s="30"/>
    </row>
    <row r="843" spans="1:4" ht="16.5" x14ac:dyDescent="0.15">
      <c r="A843" s="30" t="s">
        <v>1699</v>
      </c>
      <c r="B843" s="30"/>
      <c r="C843" s="30"/>
      <c r="D843" s="30"/>
    </row>
    <row r="844" spans="1:4" ht="16.5" x14ac:dyDescent="0.15">
      <c r="A844" s="30" t="s">
        <v>1700</v>
      </c>
      <c r="B844" s="30"/>
      <c r="C844" s="30"/>
      <c r="D844" s="30"/>
    </row>
    <row r="845" spans="1:4" ht="16.5" x14ac:dyDescent="0.15">
      <c r="A845" s="30" t="s">
        <v>1701</v>
      </c>
      <c r="B845" s="30"/>
      <c r="C845" s="30"/>
      <c r="D845" s="30"/>
    </row>
    <row r="846" spans="1:4" ht="16.5" x14ac:dyDescent="0.15">
      <c r="A846" s="30" t="s">
        <v>1702</v>
      </c>
      <c r="B846" s="30"/>
      <c r="C846" s="30"/>
      <c r="D846" s="30"/>
    </row>
    <row r="847" spans="1:4" ht="16.5" x14ac:dyDescent="0.15">
      <c r="A847" s="30" t="s">
        <v>1703</v>
      </c>
      <c r="B847" s="30"/>
      <c r="C847" s="30"/>
      <c r="D847" s="30"/>
    </row>
    <row r="848" spans="1:4" ht="16.5" x14ac:dyDescent="0.15">
      <c r="A848" s="30" t="s">
        <v>1704</v>
      </c>
      <c r="B848" s="30"/>
      <c r="C848" s="30"/>
      <c r="D848" s="30"/>
    </row>
    <row r="849" spans="1:4" ht="16.5" x14ac:dyDescent="0.15">
      <c r="A849" s="30" t="s">
        <v>1705</v>
      </c>
      <c r="B849" s="30"/>
      <c r="C849" s="30"/>
      <c r="D849" s="30"/>
    </row>
    <row r="850" spans="1:4" ht="16.5" x14ac:dyDescent="0.15">
      <c r="A850" s="30" t="s">
        <v>1706</v>
      </c>
      <c r="B850" s="30"/>
      <c r="C850" s="30"/>
      <c r="D850" s="30"/>
    </row>
    <row r="851" spans="1:4" ht="16.5" x14ac:dyDescent="0.15">
      <c r="A851" s="30" t="s">
        <v>1707</v>
      </c>
      <c r="B851" s="30"/>
      <c r="C851" s="30"/>
      <c r="D851" s="30"/>
    </row>
    <row r="852" spans="1:4" ht="16.5" x14ac:dyDescent="0.15">
      <c r="A852" s="30" t="s">
        <v>1708</v>
      </c>
      <c r="B852" s="30"/>
      <c r="C852" s="30"/>
      <c r="D852" s="30"/>
    </row>
    <row r="853" spans="1:4" ht="16.5" x14ac:dyDescent="0.15">
      <c r="A853" s="30" t="s">
        <v>1709</v>
      </c>
      <c r="B853" s="30"/>
      <c r="C853" s="30"/>
      <c r="D853" s="30"/>
    </row>
    <row r="854" spans="1:4" ht="16.5" x14ac:dyDescent="0.15">
      <c r="A854" s="30" t="s">
        <v>1710</v>
      </c>
      <c r="B854" s="30"/>
      <c r="C854" s="30"/>
      <c r="D854" s="30"/>
    </row>
    <row r="855" spans="1:4" ht="16.5" x14ac:dyDescent="0.15">
      <c r="A855" s="30" t="s">
        <v>1711</v>
      </c>
      <c r="B855" s="30"/>
      <c r="C855" s="30"/>
      <c r="D855" s="30"/>
    </row>
    <row r="856" spans="1:4" ht="16.5" x14ac:dyDescent="0.15">
      <c r="A856" s="30" t="s">
        <v>1712</v>
      </c>
      <c r="B856" s="30"/>
      <c r="C856" s="30"/>
      <c r="D856" s="30"/>
    </row>
    <row r="857" spans="1:4" ht="16.5" x14ac:dyDescent="0.15">
      <c r="A857" s="30" t="s">
        <v>1713</v>
      </c>
      <c r="B857" s="30"/>
      <c r="C857" s="30"/>
      <c r="D857" s="30"/>
    </row>
    <row r="858" spans="1:4" ht="16.5" x14ac:dyDescent="0.15">
      <c r="A858" s="30" t="s">
        <v>858</v>
      </c>
      <c r="B858" s="30"/>
      <c r="C858" s="30"/>
      <c r="D858" s="30"/>
    </row>
    <row r="859" spans="1:4" ht="16.5" x14ac:dyDescent="0.15">
      <c r="A859" s="30" t="s">
        <v>860</v>
      </c>
      <c r="B859" s="30"/>
      <c r="C859" s="30"/>
      <c r="D859" s="30"/>
    </row>
    <row r="860" spans="1:4" ht="16.5" x14ac:dyDescent="0.15">
      <c r="A860" s="30" t="s">
        <v>1714</v>
      </c>
      <c r="B860" s="30"/>
      <c r="C860" s="30"/>
      <c r="D860" s="30"/>
    </row>
    <row r="861" spans="1:4" ht="16.5" x14ac:dyDescent="0.15">
      <c r="A861" s="30" t="s">
        <v>1715</v>
      </c>
      <c r="B861" s="30"/>
      <c r="C861" s="30"/>
      <c r="D861" s="30"/>
    </row>
    <row r="862" spans="1:4" ht="16.5" x14ac:dyDescent="0.15">
      <c r="A862" s="30" t="s">
        <v>1716</v>
      </c>
      <c r="B862" s="30"/>
      <c r="C862" s="30"/>
      <c r="D862" s="30"/>
    </row>
    <row r="863" spans="1:4" ht="16.5" x14ac:dyDescent="0.15">
      <c r="A863" s="30" t="s">
        <v>1717</v>
      </c>
      <c r="B863" s="30"/>
      <c r="C863" s="30"/>
      <c r="D863" s="30"/>
    </row>
    <row r="864" spans="1:4" ht="16.5" x14ac:dyDescent="0.15">
      <c r="A864" s="30" t="s">
        <v>1718</v>
      </c>
      <c r="B864" s="30"/>
      <c r="C864" s="30"/>
      <c r="D864" s="30"/>
    </row>
    <row r="865" spans="1:4" ht="16.5" x14ac:dyDescent="0.15">
      <c r="A865" s="30" t="s">
        <v>1719</v>
      </c>
      <c r="B865" s="30"/>
      <c r="C865" s="30"/>
      <c r="D865" s="30"/>
    </row>
    <row r="866" spans="1:4" ht="16.5" x14ac:dyDescent="0.15">
      <c r="A866" s="30" t="s">
        <v>1720</v>
      </c>
      <c r="B866" s="30"/>
      <c r="C866" s="30"/>
      <c r="D866" s="30"/>
    </row>
    <row r="867" spans="1:4" ht="16.5" x14ac:dyDescent="0.15">
      <c r="A867" s="30" t="s">
        <v>1721</v>
      </c>
      <c r="B867" s="30"/>
      <c r="C867" s="30"/>
      <c r="D867" s="30"/>
    </row>
    <row r="868" spans="1:4" ht="16.5" x14ac:dyDescent="0.15">
      <c r="A868" s="30" t="s">
        <v>1722</v>
      </c>
      <c r="B868" s="30"/>
      <c r="C868" s="30"/>
      <c r="D868" s="30"/>
    </row>
    <row r="869" spans="1:4" ht="16.5" x14ac:dyDescent="0.15">
      <c r="A869" s="30" t="s">
        <v>1723</v>
      </c>
      <c r="B869" s="30"/>
      <c r="C869" s="30"/>
      <c r="D869" s="30"/>
    </row>
    <row r="870" spans="1:4" ht="16.5" x14ac:dyDescent="0.15">
      <c r="A870" s="30" t="s">
        <v>1724</v>
      </c>
      <c r="B870" s="30"/>
      <c r="C870" s="30"/>
      <c r="D870" s="30"/>
    </row>
    <row r="871" spans="1:4" ht="16.5" x14ac:dyDescent="0.15">
      <c r="A871" s="30" t="s">
        <v>1725</v>
      </c>
      <c r="B871" s="30"/>
      <c r="C871" s="30"/>
      <c r="D871" s="30"/>
    </row>
    <row r="872" spans="1:4" ht="16.5" x14ac:dyDescent="0.15">
      <c r="A872" s="30" t="s">
        <v>1726</v>
      </c>
      <c r="B872" s="30"/>
      <c r="C872" s="30"/>
      <c r="D872" s="30"/>
    </row>
    <row r="873" spans="1:4" ht="16.5" x14ac:dyDescent="0.15">
      <c r="A873" s="30" t="s">
        <v>1727</v>
      </c>
      <c r="B873" s="30"/>
      <c r="C873" s="30"/>
      <c r="D873" s="30"/>
    </row>
    <row r="874" spans="1:4" ht="16.5" x14ac:dyDescent="0.15">
      <c r="A874" s="30" t="s">
        <v>1728</v>
      </c>
      <c r="B874" s="30"/>
      <c r="C874" s="30"/>
      <c r="D874" s="30"/>
    </row>
    <row r="875" spans="1:4" ht="16.5" x14ac:dyDescent="0.15">
      <c r="A875" s="30" t="s">
        <v>1729</v>
      </c>
      <c r="B875" s="30"/>
      <c r="C875" s="30"/>
      <c r="D875" s="30"/>
    </row>
    <row r="876" spans="1:4" ht="16.5" x14ac:dyDescent="0.15">
      <c r="A876" s="30" t="s">
        <v>1730</v>
      </c>
      <c r="B876" s="30"/>
      <c r="C876" s="30"/>
      <c r="D876" s="30"/>
    </row>
    <row r="877" spans="1:4" ht="16.5" x14ac:dyDescent="0.15">
      <c r="A877" s="30" t="s">
        <v>1731</v>
      </c>
      <c r="B877" s="30"/>
      <c r="C877" s="30"/>
      <c r="D877" s="30"/>
    </row>
    <row r="878" spans="1:4" ht="16.5" x14ac:dyDescent="0.15">
      <c r="A878" s="30" t="s">
        <v>1732</v>
      </c>
      <c r="B878" s="30"/>
      <c r="C878" s="30"/>
      <c r="D878" s="30"/>
    </row>
    <row r="879" spans="1:4" ht="16.5" x14ac:dyDescent="0.15">
      <c r="A879" s="30" t="s">
        <v>1733</v>
      </c>
      <c r="B879" s="30"/>
      <c r="C879" s="30"/>
      <c r="D879" s="30"/>
    </row>
    <row r="880" spans="1:4" ht="16.5" x14ac:dyDescent="0.15">
      <c r="A880" s="30" t="s">
        <v>1734</v>
      </c>
      <c r="B880" s="30"/>
      <c r="C880" s="30"/>
      <c r="D880" s="30"/>
    </row>
    <row r="881" spans="1:4" ht="16.5" x14ac:dyDescent="0.15">
      <c r="A881" s="30" t="s">
        <v>1735</v>
      </c>
      <c r="B881" s="30"/>
      <c r="C881" s="30"/>
      <c r="D881" s="30"/>
    </row>
    <row r="882" spans="1:4" ht="16.5" x14ac:dyDescent="0.15">
      <c r="A882" s="30" t="s">
        <v>1736</v>
      </c>
      <c r="B882" s="30"/>
      <c r="C882" s="30"/>
      <c r="D882" s="30"/>
    </row>
    <row r="883" spans="1:4" ht="16.5" x14ac:dyDescent="0.15">
      <c r="A883" s="30" t="s">
        <v>1737</v>
      </c>
      <c r="B883" s="30"/>
      <c r="C883" s="30"/>
      <c r="D883" s="30"/>
    </row>
    <row r="884" spans="1:4" ht="16.5" x14ac:dyDescent="0.15">
      <c r="A884" s="30" t="s">
        <v>1738</v>
      </c>
      <c r="B884" s="30"/>
      <c r="C884" s="30"/>
      <c r="D884" s="30"/>
    </row>
    <row r="885" spans="1:4" ht="16.5" x14ac:dyDescent="0.15">
      <c r="A885" s="30" t="s">
        <v>523</v>
      </c>
      <c r="B885" s="30"/>
      <c r="C885" s="30"/>
      <c r="D885" s="30"/>
    </row>
    <row r="886" spans="1:4" ht="16.5" x14ac:dyDescent="0.15">
      <c r="A886" s="30" t="s">
        <v>1739</v>
      </c>
      <c r="B886" s="30"/>
      <c r="C886" s="30"/>
      <c r="D886" s="30"/>
    </row>
    <row r="887" spans="1:4" ht="16.5" x14ac:dyDescent="0.15">
      <c r="A887" s="30" t="s">
        <v>1740</v>
      </c>
      <c r="B887" s="30"/>
      <c r="C887" s="30"/>
      <c r="D887" s="30"/>
    </row>
    <row r="888" spans="1:4" ht="16.5" x14ac:dyDescent="0.15">
      <c r="A888" s="30" t="s">
        <v>1741</v>
      </c>
      <c r="B888" s="30"/>
      <c r="C888" s="30"/>
      <c r="D888" s="30"/>
    </row>
    <row r="889" spans="1:4" ht="16.5" x14ac:dyDescent="0.15">
      <c r="A889" s="30" t="s">
        <v>1742</v>
      </c>
      <c r="B889" s="30"/>
      <c r="C889" s="30"/>
      <c r="D889" s="30"/>
    </row>
    <row r="890" spans="1:4" ht="16.5" x14ac:dyDescent="0.15">
      <c r="A890" s="30" t="s">
        <v>1743</v>
      </c>
      <c r="B890" s="30"/>
      <c r="C890" s="30"/>
      <c r="D890" s="30"/>
    </row>
    <row r="891" spans="1:4" ht="16.5" x14ac:dyDescent="0.15">
      <c r="A891" s="30" t="s">
        <v>1744</v>
      </c>
      <c r="B891" s="30"/>
      <c r="C891" s="30"/>
      <c r="D891" s="30"/>
    </row>
    <row r="892" spans="1:4" ht="16.5" x14ac:dyDescent="0.15">
      <c r="A892" s="30" t="s">
        <v>1745</v>
      </c>
      <c r="B892" s="30"/>
      <c r="C892" s="30"/>
      <c r="D892" s="30"/>
    </row>
    <row r="893" spans="1:4" ht="16.5" x14ac:dyDescent="0.15">
      <c r="A893" s="30" t="s">
        <v>1746</v>
      </c>
      <c r="B893" s="30"/>
      <c r="C893" s="30"/>
      <c r="D893" s="30"/>
    </row>
    <row r="894" spans="1:4" ht="16.5" x14ac:dyDescent="0.15">
      <c r="A894" s="30" t="s">
        <v>1747</v>
      </c>
      <c r="B894" s="30"/>
      <c r="C894" s="30"/>
      <c r="D894" s="30"/>
    </row>
    <row r="895" spans="1:4" ht="16.5" x14ac:dyDescent="0.15">
      <c r="A895" s="30" t="s">
        <v>1748</v>
      </c>
      <c r="B895" s="30"/>
      <c r="C895" s="30"/>
      <c r="D895" s="30"/>
    </row>
    <row r="896" spans="1:4" ht="16.5" x14ac:dyDescent="0.15">
      <c r="A896" s="30" t="s">
        <v>1749</v>
      </c>
      <c r="B896" s="30"/>
      <c r="C896" s="30"/>
      <c r="D896" s="30"/>
    </row>
    <row r="897" spans="1:4" ht="16.5" x14ac:dyDescent="0.15">
      <c r="A897" s="30" t="s">
        <v>1750</v>
      </c>
      <c r="B897" s="30"/>
      <c r="C897" s="30"/>
      <c r="D897" s="30"/>
    </row>
    <row r="898" spans="1:4" ht="16.5" x14ac:dyDescent="0.15">
      <c r="A898" s="30" t="s">
        <v>1751</v>
      </c>
      <c r="B898" s="30"/>
      <c r="C898" s="30"/>
      <c r="D898" s="30"/>
    </row>
    <row r="899" spans="1:4" ht="16.5" x14ac:dyDescent="0.15">
      <c r="A899" s="30" t="s">
        <v>1752</v>
      </c>
      <c r="B899" s="30"/>
      <c r="C899" s="30"/>
      <c r="D899" s="30"/>
    </row>
    <row r="900" spans="1:4" ht="16.5" x14ac:dyDescent="0.15">
      <c r="A900" s="30" t="s">
        <v>1753</v>
      </c>
      <c r="B900" s="30"/>
      <c r="C900" s="30"/>
      <c r="D900" s="30"/>
    </row>
    <row r="901" spans="1:4" ht="16.5" x14ac:dyDescent="0.15">
      <c r="A901" s="30" t="s">
        <v>1754</v>
      </c>
      <c r="B901" s="30"/>
      <c r="C901" s="30"/>
      <c r="D901" s="30"/>
    </row>
    <row r="902" spans="1:4" ht="16.5" x14ac:dyDescent="0.15">
      <c r="A902" s="30" t="s">
        <v>1721</v>
      </c>
      <c r="B902" s="30"/>
      <c r="C902" s="30"/>
      <c r="D902" s="30"/>
    </row>
    <row r="903" spans="1:4" ht="16.5" x14ac:dyDescent="0.15">
      <c r="A903" s="30" t="s">
        <v>1755</v>
      </c>
      <c r="B903" s="30"/>
      <c r="C903" s="30"/>
      <c r="D903" s="30"/>
    </row>
    <row r="904" spans="1:4" ht="16.5" x14ac:dyDescent="0.15">
      <c r="A904" s="30" t="s">
        <v>1756</v>
      </c>
      <c r="B904" s="30"/>
      <c r="C904" s="30"/>
      <c r="D904" s="30"/>
    </row>
    <row r="905" spans="1:4" ht="16.5" x14ac:dyDescent="0.15">
      <c r="A905" s="30" t="s">
        <v>1757</v>
      </c>
      <c r="B905" s="30"/>
      <c r="C905" s="30"/>
      <c r="D905" s="30"/>
    </row>
    <row r="906" spans="1:4" ht="16.5" x14ac:dyDescent="0.15">
      <c r="A906" s="30" t="s">
        <v>1758</v>
      </c>
      <c r="B906" s="30"/>
      <c r="C906" s="30"/>
      <c r="D906" s="30"/>
    </row>
    <row r="907" spans="1:4" ht="16.5" x14ac:dyDescent="0.15">
      <c r="A907" s="30" t="s">
        <v>1759</v>
      </c>
      <c r="B907" s="30"/>
      <c r="C907" s="30"/>
      <c r="D907" s="30"/>
    </row>
    <row r="908" spans="1:4" ht="16.5" x14ac:dyDescent="0.15">
      <c r="A908" s="30" t="s">
        <v>1760</v>
      </c>
      <c r="B908" s="30"/>
      <c r="C908" s="30"/>
      <c r="D908" s="30"/>
    </row>
    <row r="909" spans="1:4" ht="16.5" x14ac:dyDescent="0.15">
      <c r="A909" s="30" t="s">
        <v>1761</v>
      </c>
      <c r="B909" s="30"/>
      <c r="C909" s="30"/>
      <c r="D909" s="30"/>
    </row>
    <row r="910" spans="1:4" ht="16.5" x14ac:dyDescent="0.15">
      <c r="A910" s="30" t="s">
        <v>1762</v>
      </c>
      <c r="B910" s="30"/>
      <c r="C910" s="30"/>
      <c r="D910" s="30"/>
    </row>
    <row r="911" spans="1:4" ht="16.5" x14ac:dyDescent="0.15">
      <c r="A911" s="30" t="s">
        <v>1763</v>
      </c>
      <c r="B911" s="30"/>
      <c r="C911" s="30"/>
      <c r="D911" s="30"/>
    </row>
    <row r="912" spans="1:4" ht="16.5" x14ac:dyDescent="0.15">
      <c r="A912" s="30" t="s">
        <v>1764</v>
      </c>
      <c r="B912" s="30"/>
      <c r="C912" s="30"/>
      <c r="D912" s="30"/>
    </row>
    <row r="913" spans="1:4" ht="16.5" x14ac:dyDescent="0.15">
      <c r="A913" s="30" t="s">
        <v>1765</v>
      </c>
      <c r="B913" s="30"/>
      <c r="C913" s="30"/>
      <c r="D913" s="30"/>
    </row>
    <row r="914" spans="1:4" ht="16.5" x14ac:dyDescent="0.15">
      <c r="A914" s="30" t="s">
        <v>1766</v>
      </c>
      <c r="B914" s="30"/>
      <c r="C914" s="30"/>
      <c r="D914" s="30"/>
    </row>
    <row r="915" spans="1:4" ht="16.5" x14ac:dyDescent="0.15">
      <c r="A915" s="30" t="s">
        <v>1767</v>
      </c>
      <c r="B915" s="30"/>
      <c r="C915" s="30"/>
      <c r="D915" s="30"/>
    </row>
    <row r="916" spans="1:4" ht="16.5" x14ac:dyDescent="0.15">
      <c r="A916" s="30" t="s">
        <v>1768</v>
      </c>
      <c r="B916" s="30"/>
      <c r="C916" s="30"/>
      <c r="D916" s="30"/>
    </row>
    <row r="917" spans="1:4" ht="16.5" x14ac:dyDescent="0.15">
      <c r="A917" s="30" t="s">
        <v>1769</v>
      </c>
      <c r="B917" s="30"/>
      <c r="C917" s="30"/>
      <c r="D917" s="30"/>
    </row>
    <row r="918" spans="1:4" ht="16.5" x14ac:dyDescent="0.15">
      <c r="A918" s="30" t="s">
        <v>1770</v>
      </c>
      <c r="B918" s="30"/>
      <c r="C918" s="30"/>
      <c r="D918" s="30"/>
    </row>
    <row r="919" spans="1:4" ht="16.5" x14ac:dyDescent="0.15">
      <c r="A919" s="30" t="s">
        <v>1771</v>
      </c>
      <c r="B919" s="30"/>
      <c r="C919" s="30"/>
      <c r="D919" s="30"/>
    </row>
    <row r="920" spans="1:4" ht="16.5" x14ac:dyDescent="0.15">
      <c r="A920" s="30" t="s">
        <v>1772</v>
      </c>
      <c r="B920" s="30"/>
      <c r="C920" s="30"/>
      <c r="D920" s="30"/>
    </row>
    <row r="921" spans="1:4" ht="16.5" x14ac:dyDescent="0.15">
      <c r="A921" s="30" t="s">
        <v>1773</v>
      </c>
      <c r="B921" s="30"/>
      <c r="C921" s="30"/>
      <c r="D921" s="30"/>
    </row>
    <row r="922" spans="1:4" ht="16.5" x14ac:dyDescent="0.15">
      <c r="A922" s="30" t="s">
        <v>1774</v>
      </c>
      <c r="B922" s="30"/>
      <c r="C922" s="30"/>
      <c r="D922" s="30"/>
    </row>
    <row r="923" spans="1:4" ht="16.5" x14ac:dyDescent="0.15">
      <c r="A923" s="30" t="s">
        <v>1775</v>
      </c>
      <c r="B923" s="30"/>
      <c r="C923" s="30"/>
      <c r="D923" s="30"/>
    </row>
    <row r="924" spans="1:4" ht="16.5" x14ac:dyDescent="0.15">
      <c r="A924" s="30" t="s">
        <v>1776</v>
      </c>
      <c r="B924" s="30"/>
      <c r="C924" s="30"/>
      <c r="D924" s="30"/>
    </row>
    <row r="925" spans="1:4" ht="16.5" x14ac:dyDescent="0.15">
      <c r="A925" s="30" t="s">
        <v>1777</v>
      </c>
      <c r="B925" s="30"/>
      <c r="C925" s="30"/>
      <c r="D925" s="30"/>
    </row>
    <row r="926" spans="1:4" ht="16.5" x14ac:dyDescent="0.15">
      <c r="A926" s="30" t="s">
        <v>1778</v>
      </c>
      <c r="B926" s="30"/>
      <c r="C926" s="30"/>
      <c r="D926" s="30"/>
    </row>
    <row r="927" spans="1:4" ht="16.5" x14ac:dyDescent="0.15">
      <c r="A927" s="30" t="s">
        <v>1779</v>
      </c>
      <c r="B927" s="30"/>
      <c r="C927" s="30"/>
      <c r="D927" s="30"/>
    </row>
    <row r="928" spans="1:4" ht="16.5" x14ac:dyDescent="0.15">
      <c r="A928" s="30" t="s">
        <v>1780</v>
      </c>
      <c r="B928" s="30"/>
      <c r="C928" s="30"/>
      <c r="D928" s="30"/>
    </row>
    <row r="929" spans="1:4" ht="16.5" x14ac:dyDescent="0.15">
      <c r="A929" s="30" t="s">
        <v>1781</v>
      </c>
      <c r="B929" s="30"/>
      <c r="C929" s="30"/>
      <c r="D929" s="30"/>
    </row>
    <row r="930" spans="1:4" ht="16.5" x14ac:dyDescent="0.15">
      <c r="A930" s="30" t="s">
        <v>1782</v>
      </c>
      <c r="B930" s="30"/>
      <c r="C930" s="30"/>
      <c r="D930" s="30"/>
    </row>
    <row r="931" spans="1:4" ht="16.5" x14ac:dyDescent="0.15">
      <c r="A931" s="30" t="s">
        <v>1783</v>
      </c>
      <c r="B931" s="30"/>
      <c r="C931" s="30"/>
      <c r="D931" s="30"/>
    </row>
    <row r="932" spans="1:4" ht="16.5" x14ac:dyDescent="0.15">
      <c r="A932" s="30" t="s">
        <v>1784</v>
      </c>
      <c r="B932" s="30"/>
      <c r="C932" s="30"/>
      <c r="D932" s="30"/>
    </row>
    <row r="933" spans="1:4" ht="16.5" x14ac:dyDescent="0.15">
      <c r="A933" s="30" t="s">
        <v>1785</v>
      </c>
      <c r="B933" s="30"/>
      <c r="C933" s="30"/>
      <c r="D933" s="30"/>
    </row>
    <row r="934" spans="1:4" ht="16.5" x14ac:dyDescent="0.15">
      <c r="A934" s="30" t="s">
        <v>1786</v>
      </c>
      <c r="B934" s="30"/>
      <c r="C934" s="30"/>
      <c r="D934" s="30"/>
    </row>
    <row r="935" spans="1:4" ht="16.5" x14ac:dyDescent="0.15">
      <c r="A935" s="30" t="s">
        <v>1787</v>
      </c>
      <c r="B935" s="30"/>
      <c r="C935" s="30"/>
      <c r="D935" s="30"/>
    </row>
    <row r="936" spans="1:4" ht="16.5" x14ac:dyDescent="0.15">
      <c r="A936" s="30" t="s">
        <v>1788</v>
      </c>
      <c r="B936" s="30"/>
      <c r="C936" s="30"/>
      <c r="D936" s="30"/>
    </row>
    <row r="937" spans="1:4" ht="16.5" x14ac:dyDescent="0.15">
      <c r="A937" s="30" t="s">
        <v>1789</v>
      </c>
      <c r="B937" s="30"/>
      <c r="C937" s="30"/>
      <c r="D937" s="30"/>
    </row>
    <row r="938" spans="1:4" ht="16.5" x14ac:dyDescent="0.15">
      <c r="A938" s="30" t="s">
        <v>1790</v>
      </c>
      <c r="B938" s="30"/>
      <c r="C938" s="30"/>
      <c r="D938" s="30"/>
    </row>
    <row r="939" spans="1:4" ht="16.5" x14ac:dyDescent="0.15">
      <c r="A939" s="30" t="s">
        <v>1791</v>
      </c>
      <c r="B939" s="30"/>
      <c r="C939" s="30"/>
      <c r="D939" s="30"/>
    </row>
    <row r="940" spans="1:4" ht="16.5" x14ac:dyDescent="0.15">
      <c r="A940" s="30" t="s">
        <v>1792</v>
      </c>
      <c r="B940" s="30"/>
      <c r="C940" s="30"/>
      <c r="D940" s="30"/>
    </row>
    <row r="941" spans="1:4" ht="16.5" x14ac:dyDescent="0.15">
      <c r="A941" s="30" t="s">
        <v>1793</v>
      </c>
      <c r="B941" s="30"/>
      <c r="C941" s="30"/>
      <c r="D941" s="30"/>
    </row>
    <row r="942" spans="1:4" ht="16.5" x14ac:dyDescent="0.15">
      <c r="A942" s="30" t="s">
        <v>1794</v>
      </c>
      <c r="B942" s="30"/>
      <c r="C942" s="30"/>
      <c r="D942" s="30"/>
    </row>
    <row r="943" spans="1:4" ht="16.5" x14ac:dyDescent="0.15">
      <c r="A943" s="30" t="s">
        <v>1795</v>
      </c>
      <c r="B943" s="30"/>
      <c r="C943" s="30"/>
      <c r="D943" s="30"/>
    </row>
    <row r="944" spans="1:4" ht="16.5" x14ac:dyDescent="0.15">
      <c r="A944" s="30" t="s">
        <v>1796</v>
      </c>
      <c r="B944" s="30"/>
      <c r="C944" s="30"/>
      <c r="D944" s="30"/>
    </row>
    <row r="945" spans="1:4" ht="16.5" x14ac:dyDescent="0.15">
      <c r="A945" s="30" t="s">
        <v>1797</v>
      </c>
      <c r="B945" s="30"/>
      <c r="C945" s="30"/>
      <c r="D945" s="30"/>
    </row>
    <row r="946" spans="1:4" ht="16.5" x14ac:dyDescent="0.15">
      <c r="A946" s="30" t="s">
        <v>1798</v>
      </c>
      <c r="B946" s="30"/>
      <c r="C946" s="30"/>
      <c r="D946" s="30"/>
    </row>
    <row r="947" spans="1:4" ht="16.5" x14ac:dyDescent="0.15">
      <c r="A947" s="30" t="s">
        <v>1799</v>
      </c>
      <c r="B947" s="30"/>
      <c r="C947" s="30"/>
      <c r="D947" s="30"/>
    </row>
    <row r="948" spans="1:4" ht="16.5" x14ac:dyDescent="0.15">
      <c r="A948" s="30" t="s">
        <v>1800</v>
      </c>
      <c r="B948" s="30"/>
      <c r="C948" s="30"/>
      <c r="D948" s="30"/>
    </row>
    <row r="949" spans="1:4" ht="16.5" x14ac:dyDescent="0.15">
      <c r="A949" s="30" t="s">
        <v>1801</v>
      </c>
      <c r="B949" s="30"/>
      <c r="C949" s="30"/>
      <c r="D949" s="30"/>
    </row>
    <row r="950" spans="1:4" ht="16.5" x14ac:dyDescent="0.15">
      <c r="A950" s="30" t="s">
        <v>1802</v>
      </c>
      <c r="B950" s="30"/>
      <c r="C950" s="30"/>
      <c r="D950" s="30"/>
    </row>
    <row r="951" spans="1:4" ht="16.5" x14ac:dyDescent="0.15">
      <c r="A951" s="30" t="s">
        <v>1803</v>
      </c>
      <c r="B951" s="30"/>
      <c r="C951" s="30"/>
      <c r="D951" s="30"/>
    </row>
    <row r="952" spans="1:4" ht="16.5" x14ac:dyDescent="0.15">
      <c r="A952" s="30" t="s">
        <v>1804</v>
      </c>
      <c r="B952" s="30"/>
      <c r="C952" s="30"/>
      <c r="D952" s="30"/>
    </row>
    <row r="953" spans="1:4" ht="16.5" x14ac:dyDescent="0.15">
      <c r="A953" s="30" t="s">
        <v>1805</v>
      </c>
      <c r="B953" s="30"/>
      <c r="C953" s="30"/>
      <c r="D953" s="30"/>
    </row>
    <row r="954" spans="1:4" ht="16.5" x14ac:dyDescent="0.15">
      <c r="A954" s="30" t="s">
        <v>802</v>
      </c>
      <c r="B954" s="30"/>
      <c r="C954" s="30"/>
      <c r="D954" s="30"/>
    </row>
    <row r="955" spans="1:4" ht="16.5" x14ac:dyDescent="0.15">
      <c r="A955" s="30" t="s">
        <v>1806</v>
      </c>
      <c r="B955" s="30"/>
      <c r="C955" s="30"/>
      <c r="D955" s="30"/>
    </row>
    <row r="956" spans="1:4" ht="16.5" x14ac:dyDescent="0.15">
      <c r="A956" s="30" t="s">
        <v>1807</v>
      </c>
      <c r="B956" s="30"/>
      <c r="C956" s="30"/>
      <c r="D956" s="30"/>
    </row>
    <row r="957" spans="1:4" ht="16.5" x14ac:dyDescent="0.15">
      <c r="A957" s="30" t="s">
        <v>1808</v>
      </c>
      <c r="B957" s="30"/>
      <c r="C957" s="30"/>
      <c r="D957" s="30"/>
    </row>
    <row r="958" spans="1:4" ht="16.5" x14ac:dyDescent="0.15">
      <c r="A958" s="30" t="s">
        <v>1809</v>
      </c>
      <c r="B958" s="30"/>
      <c r="C958" s="30"/>
      <c r="D958" s="30"/>
    </row>
    <row r="959" spans="1:4" ht="16.5" x14ac:dyDescent="0.15">
      <c r="A959" s="30" t="s">
        <v>1810</v>
      </c>
      <c r="B959" s="30"/>
      <c r="C959" s="30"/>
      <c r="D959" s="30"/>
    </row>
    <row r="960" spans="1:4" ht="16.5" x14ac:dyDescent="0.15">
      <c r="A960" s="30" t="s">
        <v>1811</v>
      </c>
      <c r="B960" s="30"/>
      <c r="C960" s="30"/>
      <c r="D960" s="30"/>
    </row>
    <row r="961" spans="1:4" ht="16.5" x14ac:dyDescent="0.15">
      <c r="A961" s="30" t="s">
        <v>1812</v>
      </c>
      <c r="B961" s="30"/>
      <c r="C961" s="30"/>
      <c r="D961" s="30"/>
    </row>
    <row r="962" spans="1:4" ht="16.5" x14ac:dyDescent="0.15">
      <c r="A962" s="30" t="s">
        <v>1813</v>
      </c>
      <c r="B962" s="30"/>
      <c r="C962" s="30"/>
      <c r="D962" s="30"/>
    </row>
    <row r="963" spans="1:4" ht="16.5" x14ac:dyDescent="0.15">
      <c r="A963" s="30" t="s">
        <v>1814</v>
      </c>
      <c r="B963" s="30"/>
      <c r="C963" s="30"/>
      <c r="D963" s="30"/>
    </row>
    <row r="964" spans="1:4" ht="16.5" x14ac:dyDescent="0.15">
      <c r="A964" s="30" t="s">
        <v>1815</v>
      </c>
      <c r="B964" s="30"/>
      <c r="C964" s="30"/>
      <c r="D964" s="30"/>
    </row>
    <row r="965" spans="1:4" ht="16.5" x14ac:dyDescent="0.15">
      <c r="A965" s="30" t="s">
        <v>1816</v>
      </c>
      <c r="B965" s="30"/>
      <c r="C965" s="30"/>
      <c r="D965" s="30"/>
    </row>
    <row r="966" spans="1:4" ht="16.5" x14ac:dyDescent="0.15">
      <c r="A966" s="30" t="s">
        <v>1817</v>
      </c>
      <c r="B966" s="30"/>
      <c r="C966" s="30"/>
      <c r="D966" s="30"/>
    </row>
    <row r="967" spans="1:4" ht="16.5" x14ac:dyDescent="0.15">
      <c r="A967" s="30" t="s">
        <v>1818</v>
      </c>
      <c r="B967" s="30"/>
      <c r="C967" s="30"/>
      <c r="D967" s="30"/>
    </row>
    <row r="968" spans="1:4" ht="16.5" x14ac:dyDescent="0.15">
      <c r="A968" s="30" t="s">
        <v>1819</v>
      </c>
      <c r="B968" s="30"/>
      <c r="C968" s="30"/>
      <c r="D968" s="30"/>
    </row>
    <row r="969" spans="1:4" ht="16.5" x14ac:dyDescent="0.15">
      <c r="A969" s="30" t="s">
        <v>1820</v>
      </c>
      <c r="B969" s="30"/>
      <c r="C969" s="30"/>
      <c r="D969" s="30"/>
    </row>
    <row r="970" spans="1:4" ht="16.5" x14ac:dyDescent="0.15">
      <c r="A970" s="30" t="s">
        <v>1821</v>
      </c>
      <c r="B970" s="30"/>
      <c r="C970" s="30"/>
      <c r="D970" s="30"/>
    </row>
    <row r="971" spans="1:4" ht="16.5" x14ac:dyDescent="0.15">
      <c r="A971" s="30" t="s">
        <v>1797</v>
      </c>
      <c r="B971" s="30"/>
      <c r="C971" s="30"/>
      <c r="D971" s="30"/>
    </row>
    <row r="972" spans="1:4" ht="16.5" x14ac:dyDescent="0.15">
      <c r="A972" s="30" t="s">
        <v>1822</v>
      </c>
      <c r="B972" s="30"/>
      <c r="C972" s="30"/>
      <c r="D972" s="30"/>
    </row>
    <row r="973" spans="1:4" ht="16.5" x14ac:dyDescent="0.15">
      <c r="A973" s="30" t="s">
        <v>1823</v>
      </c>
      <c r="B973" s="30"/>
      <c r="C973" s="30"/>
      <c r="D973" s="30"/>
    </row>
    <row r="974" spans="1:4" ht="16.5" x14ac:dyDescent="0.15">
      <c r="A974" s="30" t="s">
        <v>1824</v>
      </c>
      <c r="B974" s="30"/>
      <c r="C974" s="30"/>
      <c r="D974" s="30"/>
    </row>
    <row r="975" spans="1:4" ht="16.5" x14ac:dyDescent="0.15">
      <c r="A975" s="30" t="s">
        <v>1825</v>
      </c>
      <c r="B975" s="30"/>
      <c r="C975" s="30"/>
      <c r="D975" s="30"/>
    </row>
    <row r="976" spans="1:4" ht="16.5" x14ac:dyDescent="0.15">
      <c r="A976" s="30" t="s">
        <v>1826</v>
      </c>
      <c r="B976" s="30"/>
      <c r="C976" s="30"/>
      <c r="D976" s="30"/>
    </row>
    <row r="977" spans="1:986" ht="16.5" x14ac:dyDescent="0.15">
      <c r="A977" s="30" t="s">
        <v>1827</v>
      </c>
      <c r="B977" s="30"/>
      <c r="C977" s="30"/>
      <c r="D977" s="30"/>
    </row>
    <row r="978" spans="1:986" ht="16.5" x14ac:dyDescent="0.15">
      <c r="A978" s="30" t="s">
        <v>1828</v>
      </c>
      <c r="B978" s="30"/>
      <c r="C978" s="30"/>
      <c r="D978" s="30"/>
    </row>
    <row r="979" spans="1:986" ht="16.5" x14ac:dyDescent="0.15">
      <c r="A979" s="30" t="s">
        <v>1829</v>
      </c>
      <c r="B979" s="30"/>
      <c r="C979" s="30"/>
      <c r="D979" s="30"/>
    </row>
    <row r="980" spans="1:986" ht="16.5" x14ac:dyDescent="0.15">
      <c r="A980" s="30" t="s">
        <v>1830</v>
      </c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30"/>
      <c r="AO980" s="30"/>
      <c r="AP980" s="30"/>
      <c r="AQ980" s="30"/>
      <c r="AR980" s="30"/>
      <c r="AS980" s="30"/>
      <c r="AT980" s="30"/>
      <c r="AU980" s="30"/>
      <c r="AV980" s="30"/>
      <c r="AW980" s="30"/>
      <c r="AX980" s="30"/>
      <c r="AY980" s="30"/>
      <c r="AZ980" s="30"/>
      <c r="BA980" s="30"/>
      <c r="BB980" s="30"/>
      <c r="BC980" s="30"/>
      <c r="BD980" s="30"/>
      <c r="BE980" s="30"/>
      <c r="BF980" s="30"/>
      <c r="BG980" s="30"/>
      <c r="BH980" s="30"/>
      <c r="BI980" s="30"/>
      <c r="BJ980" s="30"/>
      <c r="BK980" s="30"/>
      <c r="BL980" s="30"/>
      <c r="BM980" s="30"/>
      <c r="BN980" s="30"/>
      <c r="BO980" s="30"/>
      <c r="BP980" s="30"/>
      <c r="BQ980" s="30"/>
      <c r="BR980" s="30"/>
      <c r="BS980" s="30"/>
      <c r="BT980" s="30"/>
      <c r="BU980" s="30"/>
      <c r="BV980" s="30"/>
      <c r="BW980" s="30"/>
      <c r="BX980" s="30"/>
      <c r="BY980" s="30"/>
      <c r="BZ980" s="30"/>
      <c r="CA980" s="30"/>
      <c r="CB980" s="30"/>
      <c r="CC980" s="30"/>
      <c r="CD980" s="30"/>
      <c r="CE980" s="30"/>
      <c r="CF980" s="30"/>
      <c r="CG980" s="30"/>
      <c r="CH980" s="30"/>
      <c r="CI980" s="30"/>
      <c r="CJ980" s="30"/>
      <c r="CK980" s="30"/>
      <c r="CL980" s="30"/>
      <c r="CM980" s="30"/>
      <c r="CN980" s="30"/>
      <c r="CO980" s="30"/>
      <c r="CP980" s="30"/>
      <c r="CQ980" s="30"/>
      <c r="CR980" s="30"/>
      <c r="CS980" s="30"/>
      <c r="CT980" s="30"/>
      <c r="CU980" s="30"/>
      <c r="CV980" s="30"/>
      <c r="CW980" s="30"/>
      <c r="CX980" s="30"/>
      <c r="CY980" s="30"/>
      <c r="CZ980" s="30"/>
      <c r="DA980" s="30"/>
      <c r="DB980" s="30"/>
      <c r="DC980" s="30"/>
      <c r="DD980" s="30"/>
      <c r="DE980" s="30"/>
      <c r="DF980" s="30"/>
      <c r="DG980" s="30"/>
      <c r="DH980" s="30"/>
      <c r="DI980" s="30"/>
      <c r="DJ980" s="30"/>
      <c r="DK980" s="30"/>
      <c r="DL980" s="30"/>
      <c r="DM980" s="30"/>
      <c r="DN980" s="30"/>
      <c r="DO980" s="30"/>
      <c r="DP980" s="30"/>
      <c r="DQ980" s="30"/>
      <c r="DR980" s="30"/>
      <c r="DS980" s="30"/>
      <c r="DT980" s="30"/>
      <c r="DU980" s="30"/>
      <c r="DV980" s="30"/>
      <c r="DW980" s="30"/>
      <c r="DX980" s="30"/>
      <c r="DY980" s="30"/>
      <c r="DZ980" s="30"/>
      <c r="EA980" s="30"/>
      <c r="EB980" s="30"/>
      <c r="EC980" s="30"/>
      <c r="ED980" s="30"/>
      <c r="EE980" s="30"/>
      <c r="EF980" s="30"/>
      <c r="EG980" s="30"/>
      <c r="EH980" s="30"/>
      <c r="EI980" s="30"/>
      <c r="EJ980" s="30"/>
      <c r="EK980" s="30"/>
      <c r="EL980" s="30"/>
      <c r="EM980" s="30"/>
      <c r="EN980" s="30"/>
      <c r="EO980" s="30"/>
      <c r="EP980" s="30"/>
      <c r="EQ980" s="30"/>
      <c r="ER980" s="30"/>
      <c r="ES980" s="30"/>
      <c r="ET980" s="30"/>
      <c r="EU980" s="30"/>
      <c r="EV980" s="30"/>
      <c r="EW980" s="30"/>
      <c r="EX980" s="30"/>
      <c r="EY980" s="30"/>
      <c r="EZ980" s="30"/>
      <c r="FA980" s="30"/>
      <c r="FB980" s="30"/>
      <c r="FC980" s="30"/>
      <c r="FD980" s="30"/>
      <c r="FE980" s="30"/>
      <c r="FF980" s="30"/>
      <c r="FG980" s="30"/>
      <c r="FH980" s="30"/>
      <c r="FI980" s="30"/>
      <c r="FJ980" s="30"/>
      <c r="FK980" s="30"/>
      <c r="FL980" s="30"/>
      <c r="FM980" s="30"/>
      <c r="FN980" s="30"/>
      <c r="FO980" s="30"/>
      <c r="FP980" s="30"/>
      <c r="FQ980" s="30"/>
      <c r="FR980" s="30"/>
      <c r="FS980" s="30"/>
      <c r="FT980" s="30"/>
      <c r="FU980" s="30"/>
      <c r="FV980" s="30"/>
      <c r="FW980" s="30"/>
      <c r="FX980" s="30"/>
      <c r="FY980" s="30"/>
      <c r="FZ980" s="30"/>
      <c r="GA980" s="30"/>
      <c r="GB980" s="30"/>
      <c r="GC980" s="30"/>
      <c r="GD980" s="30"/>
      <c r="GE980" s="30"/>
      <c r="GF980" s="30"/>
      <c r="GG980" s="30"/>
      <c r="GH980" s="30"/>
      <c r="GI980" s="30"/>
      <c r="GJ980" s="30"/>
      <c r="GK980" s="30"/>
      <c r="GL980" s="30"/>
      <c r="GM980" s="30"/>
      <c r="GN980" s="30"/>
      <c r="GO980" s="30"/>
      <c r="GP980" s="30"/>
      <c r="GQ980" s="30"/>
      <c r="GR980" s="30"/>
      <c r="GS980" s="30"/>
      <c r="GT980" s="30"/>
      <c r="GU980" s="30"/>
      <c r="GV980" s="30"/>
      <c r="GW980" s="30"/>
      <c r="GX980" s="30"/>
      <c r="GY980" s="30"/>
      <c r="GZ980" s="30"/>
      <c r="HA980" s="30"/>
      <c r="HB980" s="30"/>
      <c r="HC980" s="30"/>
      <c r="HD980" s="30"/>
      <c r="HE980" s="30"/>
      <c r="HF980" s="30"/>
      <c r="HG980" s="30"/>
      <c r="HH980" s="30"/>
      <c r="HI980" s="30"/>
      <c r="HJ980" s="30"/>
      <c r="HK980" s="30"/>
      <c r="HL980" s="30"/>
      <c r="HM980" s="30"/>
      <c r="HN980" s="30"/>
      <c r="HO980" s="30"/>
      <c r="HP980" s="30"/>
      <c r="HQ980" s="30"/>
      <c r="HR980" s="30"/>
      <c r="HS980" s="30"/>
      <c r="HT980" s="30"/>
      <c r="HU980" s="30"/>
      <c r="HV980" s="30"/>
      <c r="HW980" s="30"/>
      <c r="HX980" s="30"/>
      <c r="HY980" s="30"/>
      <c r="HZ980" s="30"/>
      <c r="IA980" s="30"/>
      <c r="IB980" s="30"/>
      <c r="IC980" s="30"/>
      <c r="ID980" s="30"/>
      <c r="IE980" s="30"/>
      <c r="IF980" s="30"/>
      <c r="IG980" s="30"/>
      <c r="IH980" s="30"/>
      <c r="II980" s="30"/>
      <c r="IJ980" s="30"/>
      <c r="IK980" s="30"/>
      <c r="IL980" s="30"/>
      <c r="IM980" s="30"/>
      <c r="IN980" s="30"/>
      <c r="IO980" s="30"/>
      <c r="IP980" s="30"/>
      <c r="IQ980" s="30"/>
      <c r="IR980" s="30"/>
      <c r="IS980" s="30"/>
      <c r="IT980" s="30"/>
      <c r="IU980" s="30"/>
      <c r="IV980" s="30"/>
      <c r="IW980" s="30"/>
      <c r="IX980" s="30"/>
      <c r="IY980" s="30"/>
      <c r="IZ980" s="30"/>
      <c r="JA980" s="30"/>
      <c r="JB980" s="30"/>
      <c r="JC980" s="30"/>
      <c r="JD980" s="30"/>
      <c r="JE980" s="30"/>
      <c r="JF980" s="30"/>
      <c r="JG980" s="30"/>
      <c r="JH980" s="30"/>
      <c r="JI980" s="30"/>
      <c r="JJ980" s="30"/>
      <c r="JK980" s="30"/>
      <c r="JL980" s="30"/>
      <c r="JM980" s="30"/>
      <c r="JN980" s="30"/>
      <c r="JO980" s="30"/>
      <c r="JP980" s="30"/>
      <c r="JQ980" s="30"/>
      <c r="JR980" s="30"/>
      <c r="JS980" s="30"/>
      <c r="JT980" s="30"/>
      <c r="JU980" s="30"/>
      <c r="JV980" s="30"/>
      <c r="JW980" s="30"/>
      <c r="JX980" s="30"/>
      <c r="JY980" s="30"/>
      <c r="JZ980" s="30"/>
      <c r="KA980" s="30"/>
      <c r="KB980" s="30"/>
      <c r="KC980" s="30"/>
      <c r="KD980" s="30"/>
      <c r="KE980" s="30"/>
      <c r="KF980" s="30"/>
      <c r="KG980" s="30"/>
      <c r="KH980" s="30"/>
      <c r="KI980" s="30"/>
      <c r="KJ980" s="30"/>
      <c r="KK980" s="30"/>
      <c r="KL980" s="30"/>
      <c r="KM980" s="30"/>
      <c r="KN980" s="30"/>
      <c r="KO980" s="30"/>
      <c r="KP980" s="30"/>
      <c r="KQ980" s="30"/>
      <c r="KR980" s="30"/>
      <c r="KS980" s="30"/>
      <c r="KT980" s="30"/>
      <c r="KU980" s="30"/>
      <c r="KV980" s="30"/>
      <c r="KW980" s="30"/>
      <c r="KX980" s="30"/>
      <c r="KY980" s="30"/>
      <c r="KZ980" s="30"/>
      <c r="LA980" s="30"/>
      <c r="LB980" s="30"/>
      <c r="LC980" s="30"/>
      <c r="LD980" s="30"/>
      <c r="LE980" s="30"/>
      <c r="LF980" s="30"/>
      <c r="LG980" s="30"/>
      <c r="LH980" s="30"/>
      <c r="LI980" s="30"/>
      <c r="LJ980" s="30"/>
      <c r="LK980" s="30"/>
      <c r="LL980" s="30"/>
      <c r="LM980" s="30"/>
      <c r="LN980" s="30"/>
      <c r="LO980" s="30"/>
      <c r="LP980" s="30"/>
      <c r="LQ980" s="30"/>
      <c r="LR980" s="30"/>
      <c r="LS980" s="30"/>
      <c r="LT980" s="30"/>
      <c r="LU980" s="30"/>
      <c r="LV980" s="30"/>
      <c r="LW980" s="30"/>
      <c r="LX980" s="30"/>
      <c r="LY980" s="30"/>
      <c r="LZ980" s="30"/>
      <c r="MA980" s="30"/>
      <c r="MB980" s="30"/>
      <c r="MC980" s="30"/>
      <c r="MD980" s="30"/>
      <c r="ME980" s="30"/>
      <c r="MF980" s="30"/>
      <c r="MG980" s="30"/>
      <c r="MH980" s="30"/>
      <c r="MI980" s="30"/>
      <c r="MJ980" s="30"/>
      <c r="MK980" s="30"/>
      <c r="ML980" s="30"/>
      <c r="MM980" s="30"/>
      <c r="MN980" s="30"/>
      <c r="MO980" s="30"/>
      <c r="MP980" s="30"/>
      <c r="MQ980" s="30"/>
      <c r="MR980" s="30"/>
      <c r="MS980" s="30"/>
      <c r="MT980" s="30"/>
      <c r="MU980" s="30"/>
      <c r="MV980" s="30"/>
      <c r="MW980" s="30"/>
      <c r="MX980" s="30"/>
      <c r="MY980" s="30"/>
      <c r="MZ980" s="30"/>
      <c r="NA980" s="30"/>
      <c r="NB980" s="30"/>
      <c r="NC980" s="30"/>
      <c r="ND980" s="30"/>
      <c r="NE980" s="30"/>
      <c r="NF980" s="30"/>
      <c r="NG980" s="30"/>
      <c r="NH980" s="30"/>
      <c r="NI980" s="30"/>
      <c r="NJ980" s="30"/>
      <c r="NK980" s="30"/>
      <c r="NL980" s="30"/>
      <c r="NM980" s="30"/>
      <c r="NN980" s="30"/>
      <c r="NO980" s="30"/>
      <c r="NP980" s="30"/>
      <c r="NQ980" s="30"/>
      <c r="NR980" s="30"/>
      <c r="NS980" s="30"/>
      <c r="NT980" s="30"/>
      <c r="NU980" s="30"/>
      <c r="NV980" s="30"/>
      <c r="NW980" s="30"/>
      <c r="NX980" s="30"/>
      <c r="NY980" s="30"/>
      <c r="NZ980" s="30"/>
      <c r="OA980" s="30"/>
      <c r="OB980" s="30"/>
      <c r="OC980" s="30"/>
      <c r="OD980" s="30"/>
      <c r="OE980" s="30"/>
      <c r="OF980" s="30"/>
      <c r="OG980" s="30"/>
      <c r="OH980" s="30"/>
      <c r="OI980" s="30"/>
      <c r="OJ980" s="30"/>
      <c r="OK980" s="30"/>
      <c r="OL980" s="30"/>
      <c r="OM980" s="30"/>
      <c r="ON980" s="30"/>
      <c r="OO980" s="30"/>
      <c r="OP980" s="30"/>
      <c r="OQ980" s="30"/>
      <c r="OR980" s="30"/>
      <c r="OS980" s="30"/>
      <c r="OT980" s="30"/>
      <c r="OU980" s="30"/>
      <c r="OV980" s="30"/>
      <c r="OW980" s="30"/>
      <c r="OX980" s="30"/>
      <c r="OY980" s="30"/>
      <c r="OZ980" s="30"/>
      <c r="PA980" s="30"/>
      <c r="PB980" s="30"/>
      <c r="PC980" s="30"/>
      <c r="PD980" s="30"/>
      <c r="PE980" s="30"/>
      <c r="PF980" s="30"/>
      <c r="PG980" s="30"/>
      <c r="PH980" s="30"/>
      <c r="PI980" s="30"/>
      <c r="PJ980" s="30"/>
      <c r="PK980" s="30"/>
      <c r="PL980" s="30"/>
      <c r="PM980" s="30"/>
      <c r="PN980" s="30"/>
      <c r="PO980" s="30"/>
      <c r="PP980" s="30"/>
      <c r="PQ980" s="30"/>
      <c r="PR980" s="30"/>
      <c r="PS980" s="30"/>
      <c r="PT980" s="30"/>
      <c r="PU980" s="30"/>
      <c r="PV980" s="30"/>
      <c r="PW980" s="30"/>
      <c r="PX980" s="30"/>
      <c r="PY980" s="30"/>
      <c r="PZ980" s="30"/>
      <c r="QA980" s="30"/>
      <c r="QB980" s="30"/>
      <c r="QC980" s="30"/>
      <c r="QD980" s="30"/>
      <c r="QE980" s="30"/>
      <c r="QF980" s="30"/>
      <c r="QG980" s="30"/>
      <c r="QH980" s="30"/>
      <c r="QI980" s="30"/>
      <c r="QJ980" s="30"/>
      <c r="QK980" s="30"/>
      <c r="QL980" s="30"/>
      <c r="QM980" s="30"/>
      <c r="QN980" s="30"/>
      <c r="QO980" s="30"/>
      <c r="QP980" s="30"/>
      <c r="QQ980" s="30"/>
      <c r="QR980" s="30"/>
      <c r="QS980" s="30"/>
      <c r="QT980" s="30"/>
      <c r="QU980" s="30"/>
      <c r="QV980" s="30"/>
      <c r="QW980" s="30"/>
      <c r="QX980" s="30"/>
      <c r="QY980" s="30"/>
      <c r="QZ980" s="30"/>
      <c r="RA980" s="30"/>
      <c r="RB980" s="30"/>
      <c r="RC980" s="30"/>
      <c r="RD980" s="30"/>
      <c r="RE980" s="30"/>
      <c r="RF980" s="30"/>
      <c r="RG980" s="30"/>
      <c r="RH980" s="30"/>
      <c r="RI980" s="30"/>
      <c r="RJ980" s="30"/>
      <c r="RK980" s="30"/>
      <c r="RL980" s="30"/>
      <c r="RM980" s="30"/>
      <c r="RN980" s="30"/>
      <c r="RO980" s="30"/>
      <c r="RP980" s="30"/>
      <c r="RQ980" s="30"/>
      <c r="RR980" s="30"/>
      <c r="RS980" s="30"/>
      <c r="RT980" s="30"/>
      <c r="RU980" s="30"/>
      <c r="RV980" s="30"/>
      <c r="RW980" s="30"/>
      <c r="RX980" s="30"/>
      <c r="RY980" s="30"/>
      <c r="RZ980" s="30"/>
      <c r="SA980" s="30"/>
      <c r="SB980" s="30"/>
      <c r="SC980" s="30"/>
      <c r="SD980" s="30"/>
      <c r="SE980" s="30"/>
      <c r="SF980" s="30"/>
      <c r="SG980" s="30"/>
      <c r="SH980" s="30"/>
      <c r="SI980" s="30"/>
      <c r="SJ980" s="30"/>
      <c r="SK980" s="30"/>
      <c r="SL980" s="30"/>
      <c r="SM980" s="30"/>
      <c r="SN980" s="30"/>
      <c r="SO980" s="30"/>
      <c r="SP980" s="30"/>
      <c r="SQ980" s="30"/>
      <c r="SR980" s="30"/>
      <c r="SS980" s="30"/>
      <c r="ST980" s="30"/>
      <c r="SU980" s="30"/>
      <c r="SV980" s="30"/>
      <c r="SW980" s="30"/>
      <c r="SX980" s="30"/>
      <c r="SY980" s="30"/>
      <c r="SZ980" s="30"/>
      <c r="TA980" s="30"/>
      <c r="TB980" s="30"/>
      <c r="TC980" s="30"/>
      <c r="TD980" s="30"/>
      <c r="TE980" s="30"/>
      <c r="TF980" s="30"/>
      <c r="TG980" s="30"/>
      <c r="TH980" s="30"/>
      <c r="TI980" s="30"/>
      <c r="TJ980" s="30"/>
      <c r="TK980" s="30"/>
      <c r="TL980" s="30"/>
      <c r="TM980" s="30"/>
      <c r="TN980" s="30"/>
      <c r="TO980" s="30"/>
      <c r="TP980" s="30"/>
      <c r="TQ980" s="30"/>
      <c r="TR980" s="30"/>
      <c r="TS980" s="30"/>
      <c r="TT980" s="30"/>
      <c r="TU980" s="30"/>
      <c r="TV980" s="30"/>
      <c r="TW980" s="30"/>
      <c r="TX980" s="30"/>
      <c r="TY980" s="30"/>
      <c r="TZ980" s="30"/>
      <c r="UA980" s="30"/>
      <c r="UB980" s="30"/>
      <c r="UC980" s="30"/>
      <c r="UD980" s="30"/>
      <c r="UE980" s="30"/>
      <c r="UF980" s="30"/>
      <c r="UG980" s="30"/>
      <c r="UH980" s="30"/>
      <c r="UI980" s="30"/>
      <c r="UJ980" s="30"/>
      <c r="UK980" s="30"/>
      <c r="UL980" s="30"/>
      <c r="UM980" s="30"/>
      <c r="UN980" s="30"/>
      <c r="UO980" s="30"/>
      <c r="UP980" s="30"/>
      <c r="UQ980" s="30"/>
      <c r="UR980" s="30"/>
      <c r="US980" s="30"/>
      <c r="UT980" s="30"/>
      <c r="UU980" s="30"/>
      <c r="UV980" s="30"/>
      <c r="UW980" s="30"/>
      <c r="UX980" s="30"/>
      <c r="UY980" s="30"/>
      <c r="UZ980" s="30"/>
      <c r="VA980" s="30"/>
      <c r="VB980" s="30"/>
      <c r="VC980" s="30"/>
      <c r="VD980" s="30"/>
      <c r="VE980" s="30"/>
      <c r="VF980" s="30"/>
      <c r="VG980" s="30"/>
      <c r="VH980" s="30"/>
      <c r="VI980" s="30"/>
      <c r="VJ980" s="30"/>
      <c r="VK980" s="30"/>
      <c r="VL980" s="30"/>
      <c r="VM980" s="30"/>
      <c r="VN980" s="30"/>
      <c r="VO980" s="30"/>
      <c r="VP980" s="30"/>
      <c r="VQ980" s="30"/>
      <c r="VR980" s="30"/>
      <c r="VS980" s="30"/>
      <c r="VT980" s="30"/>
      <c r="VU980" s="30"/>
      <c r="VV980" s="30"/>
      <c r="VW980" s="30"/>
      <c r="VX980" s="30"/>
      <c r="VY980" s="30"/>
      <c r="VZ980" s="30"/>
      <c r="WA980" s="30"/>
      <c r="WB980" s="30"/>
      <c r="WC980" s="30"/>
      <c r="WD980" s="30"/>
      <c r="WE980" s="30"/>
      <c r="WF980" s="30"/>
      <c r="WG980" s="30"/>
      <c r="WH980" s="30"/>
      <c r="WI980" s="30"/>
      <c r="WJ980" s="30"/>
      <c r="WK980" s="30"/>
      <c r="WL980" s="30"/>
      <c r="WM980" s="30"/>
      <c r="WN980" s="30"/>
      <c r="WO980" s="30"/>
      <c r="WP980" s="30"/>
      <c r="WQ980" s="30"/>
      <c r="WR980" s="30"/>
      <c r="WS980" s="30"/>
      <c r="WT980" s="30"/>
      <c r="WU980" s="30"/>
      <c r="WV980" s="30"/>
      <c r="WW980" s="30"/>
      <c r="WX980" s="30"/>
      <c r="WY980" s="30"/>
      <c r="WZ980" s="30"/>
      <c r="XA980" s="30"/>
      <c r="XB980" s="30"/>
      <c r="XC980" s="30"/>
      <c r="XD980" s="30"/>
      <c r="XE980" s="30"/>
      <c r="XF980" s="30"/>
      <c r="XG980" s="30"/>
      <c r="XH980" s="30"/>
      <c r="XI980" s="30"/>
      <c r="XJ980" s="30"/>
      <c r="XK980" s="30"/>
      <c r="XL980" s="30"/>
      <c r="XM980" s="30"/>
      <c r="XN980" s="30"/>
      <c r="XO980" s="30"/>
      <c r="XP980" s="30"/>
      <c r="XQ980" s="30"/>
      <c r="XR980" s="30"/>
      <c r="XS980" s="30"/>
      <c r="XT980" s="30"/>
      <c r="XU980" s="30"/>
      <c r="XV980" s="30"/>
      <c r="XW980" s="30"/>
      <c r="XX980" s="30"/>
      <c r="XY980" s="30"/>
      <c r="XZ980" s="30"/>
      <c r="YA980" s="30"/>
      <c r="YB980" s="30"/>
      <c r="YC980" s="30"/>
      <c r="YD980" s="30"/>
      <c r="YE980" s="30"/>
      <c r="YF980" s="30"/>
      <c r="YG980" s="30"/>
      <c r="YH980" s="30"/>
      <c r="YI980" s="30"/>
      <c r="YJ980" s="30"/>
      <c r="YK980" s="30"/>
      <c r="YL980" s="30"/>
      <c r="YM980" s="30"/>
      <c r="YN980" s="30"/>
      <c r="YO980" s="30"/>
      <c r="YP980" s="30"/>
      <c r="YQ980" s="30"/>
      <c r="YR980" s="30"/>
      <c r="YS980" s="30"/>
      <c r="YT980" s="30"/>
      <c r="YU980" s="30"/>
      <c r="YV980" s="30"/>
      <c r="YW980" s="30"/>
      <c r="YX980" s="30"/>
      <c r="YY980" s="30"/>
      <c r="YZ980" s="30"/>
      <c r="ZA980" s="30"/>
      <c r="ZB980" s="30"/>
      <c r="ZC980" s="30"/>
      <c r="ZD980" s="30"/>
      <c r="ZE980" s="30"/>
      <c r="ZF980" s="30"/>
      <c r="ZG980" s="30"/>
      <c r="ZH980" s="30"/>
      <c r="ZI980" s="30"/>
      <c r="ZJ980" s="30"/>
      <c r="ZK980" s="36"/>
      <c r="ZL980" s="30"/>
      <c r="ZM980" s="36"/>
      <c r="ZN980" s="30"/>
      <c r="ZO980" s="36"/>
      <c r="ZP980" s="30"/>
      <c r="ZQ980" s="30"/>
      <c r="ZR980" s="30"/>
      <c r="ZS980" s="30"/>
      <c r="ZT980" s="30"/>
      <c r="ZU980" s="30"/>
      <c r="ZV980" s="30"/>
      <c r="ZW980" s="30"/>
      <c r="ZX980" s="30"/>
      <c r="ZY980" s="30"/>
      <c r="ZZ980" s="30"/>
      <c r="AAA980" s="30"/>
      <c r="AAB980" s="30"/>
      <c r="AAC980" s="30"/>
      <c r="AAD980" s="30"/>
      <c r="AAE980" s="30"/>
      <c r="AAF980" s="30"/>
      <c r="AAG980" s="30"/>
      <c r="AAH980" s="30"/>
      <c r="AAI980" s="30"/>
      <c r="AAJ980" s="30"/>
      <c r="AAK980" s="30"/>
      <c r="AAL980" s="30"/>
      <c r="AAM980" s="30"/>
      <c r="AAN980" s="30"/>
      <c r="AAO980" s="30"/>
      <c r="AAP980" s="30"/>
      <c r="AAQ980" s="30"/>
      <c r="AAR980" s="30"/>
      <c r="AAS980" s="30"/>
      <c r="AAT980" s="30"/>
      <c r="AAU980" s="30"/>
      <c r="AAV980" s="30"/>
      <c r="AAW980" s="30"/>
      <c r="AAX980" s="30"/>
      <c r="AAY980" s="30"/>
      <c r="AAZ980" s="30"/>
      <c r="ABA980" s="30"/>
      <c r="ABB980" s="30"/>
      <c r="ABC980" s="30"/>
      <c r="ABD980" s="30"/>
      <c r="ABE980" s="30"/>
      <c r="ABF980" s="30"/>
      <c r="ABG980" s="30"/>
      <c r="ABH980" s="30"/>
      <c r="ABI980" s="30"/>
      <c r="ABJ980" s="30"/>
      <c r="ABK980" s="30"/>
      <c r="ABL980" s="30"/>
      <c r="ABM980" s="30"/>
      <c r="ABN980" s="30"/>
      <c r="ABO980" s="30"/>
      <c r="ABP980" s="30"/>
      <c r="ABQ980" s="30"/>
      <c r="ABR980" s="30"/>
      <c r="ABS980" s="30"/>
      <c r="ABT980" s="30"/>
      <c r="ABU980" s="30"/>
      <c r="ABV980" s="30"/>
      <c r="ABW980" s="30"/>
      <c r="ABX980" s="30"/>
      <c r="ABY980" s="30"/>
      <c r="ABZ980" s="30"/>
      <c r="ACA980" s="30"/>
      <c r="ACB980" s="30"/>
      <c r="ACC980" s="30"/>
      <c r="ACD980" s="30"/>
      <c r="ACE980" s="30"/>
      <c r="ACF980" s="30"/>
      <c r="ACG980" s="30"/>
      <c r="ACH980" s="30"/>
      <c r="ACI980" s="30"/>
      <c r="ACJ980" s="30"/>
      <c r="ACK980" s="30"/>
      <c r="ACL980" s="30"/>
      <c r="ACM980" s="30"/>
      <c r="ACN980" s="30"/>
      <c r="ACO980" s="30"/>
      <c r="ACP980" s="30"/>
      <c r="ACQ980" s="30"/>
      <c r="ACR980" s="30"/>
      <c r="ACS980" s="30"/>
      <c r="ACT980" s="30"/>
      <c r="ACU980" s="30"/>
      <c r="ACV980" s="30"/>
      <c r="ACW980" s="30"/>
      <c r="ACX980" s="30"/>
      <c r="ACY980" s="30"/>
      <c r="ACZ980" s="30"/>
      <c r="ADA980" s="30"/>
      <c r="ADB980" s="30"/>
      <c r="ADC980" s="30"/>
      <c r="ADD980" s="30"/>
      <c r="ADE980" s="30"/>
      <c r="ADF980" s="30"/>
      <c r="ADG980" s="30"/>
      <c r="ADH980" s="30"/>
      <c r="ADI980" s="30"/>
      <c r="ADJ980" s="30"/>
      <c r="ADK980" s="30"/>
      <c r="ADL980" s="30"/>
      <c r="ADM980" s="30"/>
      <c r="ADN980" s="30"/>
      <c r="ADO980" s="30"/>
      <c r="ADP980" s="30"/>
      <c r="ADQ980" s="30"/>
      <c r="ADR980" s="30"/>
      <c r="ADS980" s="30"/>
      <c r="ADT980" s="30"/>
      <c r="ADU980" s="30"/>
      <c r="ADV980" s="30"/>
      <c r="ADW980" s="30"/>
      <c r="ADX980" s="30"/>
      <c r="ADY980" s="30"/>
      <c r="ADZ980" s="30"/>
      <c r="AEA980" s="30"/>
      <c r="AEB980" s="30"/>
      <c r="AEC980" s="30"/>
      <c r="AED980" s="30"/>
      <c r="AEE980" s="30"/>
      <c r="AEF980" s="30"/>
      <c r="AEG980" s="30"/>
      <c r="AEH980" s="30"/>
      <c r="AEI980" s="30"/>
      <c r="AEJ980" s="30"/>
      <c r="AEK980" s="30"/>
      <c r="AEL980" s="30"/>
      <c r="AEM980" s="30"/>
      <c r="AEN980" s="30"/>
      <c r="AEO980" s="30"/>
      <c r="AEP980" s="30"/>
      <c r="AEQ980" s="30"/>
      <c r="AER980" s="30"/>
      <c r="AES980" s="30"/>
      <c r="AET980" s="30"/>
      <c r="AEU980" s="30"/>
      <c r="AEV980" s="30"/>
      <c r="AEW980" s="30"/>
      <c r="AEX980" s="30"/>
      <c r="AEY980" s="30"/>
      <c r="AEZ980" s="30"/>
      <c r="AFA980" s="30"/>
      <c r="AFB980" s="30"/>
      <c r="AFC980" s="30"/>
      <c r="AFD980" s="30"/>
      <c r="AFE980" s="30"/>
      <c r="AFF980" s="30"/>
      <c r="AFG980" s="30"/>
      <c r="AFH980" s="30"/>
      <c r="AFI980" s="30"/>
      <c r="AFJ980" s="30"/>
      <c r="AFK980" s="30"/>
      <c r="AFL980" s="30"/>
      <c r="AFM980" s="30"/>
      <c r="AFN980" s="30"/>
      <c r="AFO980" s="30"/>
      <c r="AFP980" s="30"/>
      <c r="AFQ980" s="30"/>
      <c r="AFR980" s="30"/>
      <c r="AFS980" s="30"/>
      <c r="AFT980" s="30"/>
      <c r="AFU980" s="30"/>
      <c r="AFV980" s="30"/>
      <c r="AFW980" s="30"/>
      <c r="AFX980" s="30"/>
      <c r="AFY980" s="30"/>
      <c r="AFZ980" s="30"/>
      <c r="AGA980" s="30"/>
      <c r="AGB980" s="30"/>
      <c r="AGC980" s="30"/>
      <c r="AGD980" s="30"/>
      <c r="AGE980" s="30"/>
      <c r="AGF980" s="30"/>
      <c r="AGG980" s="30"/>
      <c r="AGH980" s="30"/>
      <c r="AGI980" s="30"/>
      <c r="AGJ980" s="30"/>
      <c r="AGK980" s="30"/>
      <c r="AGL980" s="30"/>
      <c r="AGM980" s="30"/>
      <c r="AGN980" s="30"/>
      <c r="AGO980" s="30"/>
      <c r="AGP980" s="30"/>
      <c r="AGQ980" s="30"/>
      <c r="AGR980" s="30"/>
      <c r="AGS980" s="30"/>
      <c r="AGT980" s="30"/>
      <c r="AGU980" s="30"/>
      <c r="AGV980" s="30"/>
      <c r="AGW980" s="30"/>
      <c r="AGX980" s="30"/>
      <c r="AGY980" s="30"/>
      <c r="AGZ980" s="30"/>
      <c r="AHA980" s="30"/>
      <c r="AHB980" s="30"/>
      <c r="AHC980" s="30"/>
      <c r="AHD980" s="30"/>
      <c r="AHE980" s="30"/>
      <c r="AHF980" s="30"/>
      <c r="AHG980" s="30"/>
      <c r="AHH980" s="30"/>
      <c r="AHI980" s="30"/>
      <c r="AHJ980" s="30"/>
      <c r="AHK980" s="30"/>
      <c r="AHL980" s="30"/>
      <c r="AHM980" s="30"/>
      <c r="AHN980" s="30"/>
      <c r="AHO980" s="30"/>
      <c r="AHP980" s="30"/>
      <c r="AHQ980" s="30"/>
      <c r="AHR980" s="30"/>
      <c r="AHS980" s="30"/>
      <c r="AHT980" s="30"/>
      <c r="AHU980" s="30"/>
      <c r="AHV980" s="30"/>
      <c r="AHW980" s="30"/>
      <c r="AHX980" s="30"/>
      <c r="AHY980" s="30"/>
      <c r="AHZ980" s="30"/>
      <c r="AIA980" s="30"/>
      <c r="AIB980" s="30"/>
      <c r="AIC980" s="30"/>
      <c r="AID980" s="30"/>
      <c r="AIE980" s="30"/>
      <c r="AIF980" s="30"/>
      <c r="AIG980" s="30"/>
      <c r="AIH980" s="30"/>
      <c r="AII980" s="30"/>
      <c r="AIJ980" s="30"/>
      <c r="AIK980" s="30"/>
      <c r="AIL980" s="30"/>
      <c r="AIM980" s="30"/>
      <c r="AIN980" s="30"/>
      <c r="AIO980" s="30"/>
      <c r="AIP980" s="30"/>
      <c r="AIQ980" s="30"/>
      <c r="AIR980" s="30"/>
      <c r="AIS980" s="30"/>
      <c r="AIT980" s="30"/>
      <c r="AIU980" s="30"/>
      <c r="AIV980" s="30"/>
      <c r="AIW980" s="30"/>
      <c r="AIX980" s="30"/>
      <c r="AIY980" s="30"/>
      <c r="AIZ980" s="30"/>
      <c r="AJA980" s="30"/>
      <c r="AJB980" s="30"/>
      <c r="AJC980" s="30"/>
      <c r="AJD980" s="30"/>
      <c r="AJE980" s="30"/>
      <c r="AJF980" s="30"/>
      <c r="AJG980" s="30"/>
      <c r="AJH980" s="30"/>
      <c r="AJI980" s="30"/>
      <c r="AJJ980" s="30"/>
      <c r="AJK980" s="30"/>
      <c r="AJL980" s="30"/>
      <c r="AJM980" s="30"/>
      <c r="AJN980" s="30"/>
      <c r="AJO980" s="30"/>
      <c r="AJP980" s="30"/>
      <c r="AJQ980" s="30"/>
      <c r="AJR980" s="30"/>
      <c r="AJS980" s="30"/>
      <c r="AJT980" s="30"/>
      <c r="AJU980" s="30"/>
      <c r="AJV980" s="30"/>
      <c r="AJW980" s="30"/>
      <c r="AJX980" s="30"/>
      <c r="AJY980" s="30"/>
      <c r="AJZ980" s="30"/>
      <c r="AKA980" s="30"/>
      <c r="AKB980" s="30"/>
      <c r="AKC980" s="30"/>
      <c r="AKD980" s="30"/>
      <c r="AKE980" s="30"/>
      <c r="AKF980" s="30"/>
      <c r="AKG980" s="30"/>
      <c r="AKH980" s="30"/>
      <c r="AKI980" s="30"/>
      <c r="AKJ980" s="30"/>
      <c r="AKK980" s="30"/>
      <c r="AKL980" s="30"/>
      <c r="AKM980" s="30"/>
      <c r="AKN980" s="30"/>
      <c r="AKO980" s="30"/>
      <c r="AKP980" s="30"/>
      <c r="AKQ980" s="30"/>
      <c r="AKR980" s="30"/>
      <c r="AKS980" s="30"/>
      <c r="AKT980" s="30"/>
      <c r="AKU980" s="30"/>
      <c r="AKV980" s="30"/>
      <c r="AKW980" s="30"/>
      <c r="AKX980" s="30"/>
    </row>
    <row r="981" spans="1:986" ht="16.5" x14ac:dyDescent="0.15">
      <c r="A981" s="30" t="s">
        <v>1831</v>
      </c>
      <c r="B981" s="30"/>
      <c r="C981" s="30"/>
      <c r="D981" s="30"/>
    </row>
    <row r="982" spans="1:986" ht="16.5" x14ac:dyDescent="0.15">
      <c r="A982" s="30" t="s">
        <v>1832</v>
      </c>
      <c r="B982" s="30"/>
      <c r="C982" s="30"/>
      <c r="D982" s="30"/>
    </row>
    <row r="983" spans="1:986" ht="16.5" x14ac:dyDescent="0.15">
      <c r="A983" s="30" t="s">
        <v>1833</v>
      </c>
      <c r="B983" s="30"/>
      <c r="C983" s="30"/>
      <c r="D983" s="30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Z3"/>
  <sheetViews>
    <sheetView workbookViewId="0">
      <selection activeCell="E17" sqref="E17"/>
    </sheetView>
  </sheetViews>
  <sheetFormatPr defaultRowHeight="13.5" x14ac:dyDescent="0.15"/>
  <cols>
    <col min="20" max="20" width="18.375" bestFit="1" customWidth="1"/>
  </cols>
  <sheetData>
    <row r="1" spans="2:26" x14ac:dyDescent="0.15">
      <c r="B1" t="s">
        <v>2244</v>
      </c>
      <c r="C1" t="s">
        <v>2245</v>
      </c>
      <c r="D1" t="s">
        <v>2246</v>
      </c>
      <c r="E1" t="s">
        <v>2247</v>
      </c>
      <c r="F1" t="s">
        <v>2248</v>
      </c>
      <c r="G1" t="s">
        <v>2249</v>
      </c>
      <c r="H1" t="s">
        <v>2250</v>
      </c>
      <c r="I1" t="s">
        <v>2251</v>
      </c>
      <c r="J1" t="s">
        <v>2252</v>
      </c>
      <c r="K1" t="s">
        <v>2253</v>
      </c>
      <c r="L1" t="s">
        <v>2254</v>
      </c>
      <c r="M1" t="s">
        <v>2255</v>
      </c>
      <c r="N1" t="s">
        <v>136</v>
      </c>
      <c r="O1" t="s">
        <v>2256</v>
      </c>
      <c r="P1" t="s">
        <v>2257</v>
      </c>
      <c r="Q1" t="s">
        <v>2258</v>
      </c>
      <c r="R1" t="s">
        <v>2259</v>
      </c>
      <c r="S1" t="s">
        <v>2260</v>
      </c>
      <c r="T1" t="s">
        <v>2261</v>
      </c>
      <c r="U1" t="s">
        <v>2262</v>
      </c>
      <c r="V1" t="s">
        <v>144</v>
      </c>
      <c r="W1" t="s">
        <v>145</v>
      </c>
      <c r="X1" t="s">
        <v>2263</v>
      </c>
      <c r="Y1" t="s">
        <v>2264</v>
      </c>
      <c r="Z1" t="s">
        <v>2265</v>
      </c>
    </row>
    <row r="2" spans="2:26" x14ac:dyDescent="0.15">
      <c r="B2" s="45" t="s">
        <v>2229</v>
      </c>
      <c r="C2" s="44" t="s">
        <v>2230</v>
      </c>
      <c r="D2" s="45" t="s">
        <v>2232</v>
      </c>
      <c r="E2" s="44" t="s">
        <v>2233</v>
      </c>
      <c r="K2" s="44" t="s">
        <v>2231</v>
      </c>
      <c r="L2" s="44" t="s">
        <v>2234</v>
      </c>
      <c r="M2" s="45" t="s">
        <v>2235</v>
      </c>
      <c r="N2" s="44" t="s">
        <v>2236</v>
      </c>
      <c r="O2" s="44" t="s">
        <v>2237</v>
      </c>
      <c r="P2" s="45" t="s">
        <v>2238</v>
      </c>
      <c r="Q2" s="44" t="s">
        <v>2239</v>
      </c>
      <c r="R2" s="45" t="s">
        <v>2240</v>
      </c>
      <c r="S2" s="44" t="s">
        <v>2241</v>
      </c>
      <c r="T2" s="44" t="s">
        <v>2242</v>
      </c>
      <c r="U2" s="45" t="s">
        <v>2243</v>
      </c>
    </row>
    <row r="3" spans="2:26" x14ac:dyDescent="0.15">
      <c r="B3" s="42">
        <f>D3*25</f>
        <v>25</v>
      </c>
      <c r="C3" s="43">
        <v>25</v>
      </c>
      <c r="D3" s="42">
        <v>1</v>
      </c>
      <c r="E3" s="40">
        <v>0</v>
      </c>
      <c r="K3" s="43">
        <v>25</v>
      </c>
      <c r="L3" s="43">
        <v>25</v>
      </c>
      <c r="M3" s="41">
        <v>25</v>
      </c>
      <c r="N3" s="43">
        <f>L3</f>
        <v>25</v>
      </c>
      <c r="O3" s="43">
        <v>25</v>
      </c>
      <c r="P3" s="41">
        <v>25</v>
      </c>
      <c r="Q3" s="40">
        <v>25</v>
      </c>
      <c r="R3" s="41">
        <f>Q3</f>
        <v>25</v>
      </c>
      <c r="S3" s="40">
        <v>25</v>
      </c>
      <c r="T3" s="43">
        <v>5</v>
      </c>
      <c r="U3" s="42">
        <v>25</v>
      </c>
    </row>
  </sheetData>
  <phoneticPr fontId="4" type="noConversion"/>
  <conditionalFormatting sqref="B3:E3 K3:U3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robot</vt:lpstr>
      <vt:lpstr>说明</vt:lpstr>
      <vt:lpstr>各职业基础配置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New User</cp:lastModifiedBy>
  <dcterms:created xsi:type="dcterms:W3CDTF">2014-04-04T11:04:55Z</dcterms:created>
  <dcterms:modified xsi:type="dcterms:W3CDTF">2018-09-01T23:09:42Z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2052-9.1.0.4555</vt:lpwstr>
  </property>
</Properties>
</file>